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stubask-my.sharepoint.com/personal/karolina_gabrisova_stuba_sk/Documents/01_Škola/01_PhD/2. ročník 2025-2026/01_Výučba/KaGa - EACB 2025/03 Zadanie 3/TZB/"/>
    </mc:Choice>
  </mc:AlternateContent>
  <xr:revisionPtr revIDLastSave="0" documentId="13_ncr:1_{B6BD5438-0F42-4BA7-B275-1CEE27C7F2D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YK-Cerpadla" sheetId="1" r:id="rId1"/>
    <sheet name="TV-Cerpadla" sheetId="2" r:id="rId2"/>
  </sheets>
  <externalReferences>
    <externalReference r:id="rId3"/>
  </externalReferences>
  <definedNames>
    <definedName name="konštrukcie">[1]zoznamy!$A$3:$A$10</definedName>
    <definedName name="materialy">[1]zoznamy!$F$3:$F$65541</definedName>
    <definedName name="odpory">[1]zoznamy!$C$3:$C$6</definedName>
    <definedName name="systém">[1]zoznamy!$AB$2:$AB$3</definedName>
  </definedNames>
  <calcPr calcId="191029" calcMode="manual" iterate="1" iterateCount="2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C28" i="2"/>
  <c r="C26" i="2"/>
  <c r="C20" i="2"/>
  <c r="C13" i="2"/>
  <c r="E44" i="2" s="1"/>
  <c r="C28" i="1"/>
  <c r="C20" i="1"/>
  <c r="C25" i="1" s="1"/>
  <c r="C26" i="1" s="1"/>
  <c r="C13" i="1"/>
  <c r="Q8" i="1" s="1"/>
  <c r="E42" i="2" l="1"/>
  <c r="C35" i="1"/>
  <c r="C10" i="1" s="1"/>
  <c r="N8" i="1" s="1"/>
  <c r="R8" i="1" s="1"/>
  <c r="C33" i="2"/>
  <c r="E43" i="2"/>
  <c r="E45" i="2"/>
  <c r="E46" i="2"/>
  <c r="E38" i="2"/>
  <c r="C10" i="2"/>
  <c r="G41" i="2" s="1"/>
  <c r="H41" i="2" s="1"/>
  <c r="E40" i="2"/>
  <c r="E49" i="2"/>
  <c r="E41" i="2"/>
  <c r="E47" i="2"/>
  <c r="E39" i="2"/>
  <c r="Q15" i="1"/>
  <c r="Q16" i="1"/>
  <c r="Q17" i="1"/>
  <c r="N15" i="1"/>
  <c r="R15" i="1" s="1"/>
  <c r="S9" i="1"/>
  <c r="T9" i="1" s="1"/>
  <c r="N17" i="1"/>
  <c r="R17" i="1" s="1"/>
  <c r="S16" i="1"/>
  <c r="T16" i="1" s="1"/>
  <c r="N6" i="1"/>
  <c r="S7" i="1"/>
  <c r="T7" i="1" s="1"/>
  <c r="S15" i="1"/>
  <c r="T15" i="1" s="1"/>
  <c r="N16" i="1"/>
  <c r="N9" i="1"/>
  <c r="S17" i="1"/>
  <c r="T17" i="1" s="1"/>
  <c r="N7" i="1"/>
  <c r="S8" i="1"/>
  <c r="T8" i="1" s="1"/>
  <c r="S6" i="1"/>
  <c r="T6" i="1" s="1"/>
  <c r="G39" i="2"/>
  <c r="H39" i="2" s="1"/>
  <c r="G48" i="2"/>
  <c r="H48" i="2" s="1"/>
  <c r="B44" i="2"/>
  <c r="F44" i="2" s="1"/>
  <c r="B40" i="2"/>
  <c r="F40" i="2" s="1"/>
  <c r="Q7" i="1"/>
  <c r="Q9" i="1"/>
  <c r="E48" i="2"/>
  <c r="Q6" i="1"/>
  <c r="R7" i="1" l="1"/>
  <c r="U7" i="1" s="1"/>
  <c r="B38" i="2"/>
  <c r="F38" i="2" s="1"/>
  <c r="R16" i="1"/>
  <c r="U16" i="1" s="1"/>
  <c r="B47" i="2"/>
  <c r="F47" i="2" s="1"/>
  <c r="B45" i="2"/>
  <c r="F45" i="2" s="1"/>
  <c r="G45" i="2"/>
  <c r="H45" i="2" s="1"/>
  <c r="I45" i="2" s="1"/>
  <c r="G43" i="2"/>
  <c r="H43" i="2" s="1"/>
  <c r="B41" i="2"/>
  <c r="F41" i="2" s="1"/>
  <c r="I41" i="2" s="1"/>
  <c r="G40" i="2"/>
  <c r="H40" i="2" s="1"/>
  <c r="I40" i="2" s="1"/>
  <c r="G42" i="2"/>
  <c r="H42" i="2" s="1"/>
  <c r="G49" i="2"/>
  <c r="H49" i="2" s="1"/>
  <c r="B42" i="2"/>
  <c r="F42" i="2" s="1"/>
  <c r="I42" i="2" s="1"/>
  <c r="B48" i="2"/>
  <c r="F48" i="2" s="1"/>
  <c r="I48" i="2" s="1"/>
  <c r="B49" i="2"/>
  <c r="F49" i="2" s="1"/>
  <c r="G38" i="2"/>
  <c r="H38" i="2" s="1"/>
  <c r="B43" i="2"/>
  <c r="F43" i="2" s="1"/>
  <c r="I43" i="2" s="1"/>
  <c r="G47" i="2"/>
  <c r="H47" i="2" s="1"/>
  <c r="I47" i="2" s="1"/>
  <c r="B39" i="2"/>
  <c r="F39" i="2" s="1"/>
  <c r="I39" i="2" s="1"/>
  <c r="G46" i="2"/>
  <c r="H46" i="2" s="1"/>
  <c r="G44" i="2"/>
  <c r="H44" i="2" s="1"/>
  <c r="I44" i="2" s="1"/>
  <c r="B46" i="2"/>
  <c r="F46" i="2" s="1"/>
  <c r="R6" i="1"/>
  <c r="U6" i="1" s="1"/>
  <c r="U8" i="1"/>
  <c r="R9" i="1"/>
  <c r="U9" i="1" s="1"/>
  <c r="U17" i="1"/>
  <c r="U15" i="1"/>
  <c r="I38" i="2" l="1"/>
  <c r="U18" i="1"/>
  <c r="I49" i="2"/>
  <c r="I46" i="2"/>
  <c r="I50" i="2" s="1"/>
</calcChain>
</file>

<file path=xl/sharedStrings.xml><?xml version="1.0" encoding="utf-8"?>
<sst xmlns="http://schemas.openxmlformats.org/spreadsheetml/2006/main" count="213" uniqueCount="90">
  <si>
    <t>Výpočet podľa STN EN 15316-2</t>
  </si>
  <si>
    <t>SYSTÉMOVÝ VÝKONOVÝ FAKTOR (EXPENDITURE ENERGY FACTOR) - ČERPADLO 1</t>
  </si>
  <si>
    <t>POTREBA ENERGIE - ČERPADLO 1</t>
  </si>
  <si>
    <t>Power label on existing pump (príkon čerpadla)</t>
  </si>
  <si>
    <t>Pel,pmp</t>
  </si>
  <si>
    <t>kW</t>
  </si>
  <si>
    <t>Mesiac</t>
  </si>
  <si>
    <t>PHCW,hydr,des</t>
  </si>
  <si>
    <r>
      <rPr>
        <b/>
        <sz val="9"/>
        <color theme="1"/>
        <rFont val="Calibri"/>
        <family val="2"/>
      </rPr>
      <t>β</t>
    </r>
    <r>
      <rPr>
        <b/>
        <sz val="9"/>
        <color theme="1"/>
        <rFont val="Calibri"/>
        <family val="2"/>
        <scheme val="minor"/>
      </rPr>
      <t>HCW,dis</t>
    </r>
  </si>
  <si>
    <t>tHCW,op</t>
  </si>
  <si>
    <t>fHCW,corr</t>
  </si>
  <si>
    <t>WHCW,dis,hydr,an</t>
  </si>
  <si>
    <t>fHCW,e</t>
  </si>
  <si>
    <r>
      <rPr>
        <b/>
        <sz val="11"/>
        <color theme="1"/>
        <rFont val="Calibri"/>
        <family val="2"/>
        <charset val="238"/>
      </rPr>
      <t>ε</t>
    </r>
    <r>
      <rPr>
        <b/>
        <sz val="9"/>
        <color theme="1"/>
        <rFont val="Calibri"/>
        <family val="2"/>
        <charset val="238"/>
      </rPr>
      <t>HCW,dis</t>
    </r>
  </si>
  <si>
    <t>WHCW,dis,an</t>
  </si>
  <si>
    <t>-</t>
  </si>
  <si>
    <t>konštanta</t>
  </si>
  <si>
    <t>CP1</t>
  </si>
  <si>
    <t>h</t>
  </si>
  <si>
    <t>kWh</t>
  </si>
  <si>
    <t>CP2</t>
  </si>
  <si>
    <t>január</t>
  </si>
  <si>
    <t>EEI (according to EU regulation 622/2012)</t>
  </si>
  <si>
    <t>EEI</t>
  </si>
  <si>
    <t>február</t>
  </si>
  <si>
    <t>marec</t>
  </si>
  <si>
    <t>kPa</t>
  </si>
  <si>
    <t>HYDRAULICKÁ POTREBA ENERGIE - ČERPADLO 1</t>
  </si>
  <si>
    <t>apríl</t>
  </si>
  <si>
    <t>Hydraulic desing power of circulation pump</t>
  </si>
  <si>
    <t>máj</t>
  </si>
  <si>
    <t>factor for hydraulic balance of network</t>
  </si>
  <si>
    <t>fHB</t>
  </si>
  <si>
    <t>jún</t>
  </si>
  <si>
    <t>special factor</t>
  </si>
  <si>
    <t>fspecial</t>
  </si>
  <si>
    <t>júl</t>
  </si>
  <si>
    <t>correction factor</t>
  </si>
  <si>
    <t>august</t>
  </si>
  <si>
    <t>september</t>
  </si>
  <si>
    <t>PRIETOK V PRACOVNOM BODE - ČERPADLO 1</t>
  </si>
  <si>
    <t>október</t>
  </si>
  <si>
    <t>merná tep kapacita</t>
  </si>
  <si>
    <t>c</t>
  </si>
  <si>
    <t>kJ/kg.K</t>
  </si>
  <si>
    <t>november</t>
  </si>
  <si>
    <t>hustota vyk látky</t>
  </si>
  <si>
    <t>rho</t>
  </si>
  <si>
    <t>kg/m3</t>
  </si>
  <si>
    <t>december</t>
  </si>
  <si>
    <t>projek teplotný spád</t>
  </si>
  <si>
    <r>
      <rPr>
        <sz val="11"/>
        <color theme="1"/>
        <rFont val="Calibri"/>
        <family val="2"/>
        <charset val="238"/>
      </rPr>
      <t>Δ</t>
    </r>
    <r>
      <rPr>
        <sz val="14.3"/>
        <color theme="1"/>
        <rFont val="Calibri"/>
        <family val="2"/>
      </rPr>
      <t>T</t>
    </r>
  </si>
  <si>
    <t>K</t>
  </si>
  <si>
    <t>menovitý výkon inšt vyk telies v zone</t>
  </si>
  <si>
    <t>Фem</t>
  </si>
  <si>
    <t>prietok v pracovnom bode</t>
  </si>
  <si>
    <t>Vdes</t>
  </si>
  <si>
    <t>m3/h</t>
  </si>
  <si>
    <t>TLAKOVÝ SPÁD - ČERPADLO 1</t>
  </si>
  <si>
    <t>prídavný tlakový spád odovzd. telesa</t>
  </si>
  <si>
    <t>Δpadd</t>
  </si>
  <si>
    <t>prídavný tlakový spád merača tepla</t>
  </si>
  <si>
    <t>prídavný tlakový spád zariadenia na výrobu tepla</t>
  </si>
  <si>
    <t>pressure losses of additional resistances</t>
  </si>
  <si>
    <t>ΔpHCW,add</t>
  </si>
  <si>
    <t>resistance ratio</t>
  </si>
  <si>
    <t>fcomp</t>
  </si>
  <si>
    <t>max dĺžka potrubia vyk okruhu</t>
  </si>
  <si>
    <t>Lmax</t>
  </si>
  <si>
    <t>m</t>
  </si>
  <si>
    <t>pressure loss per length</t>
  </si>
  <si>
    <t>RHCW,max</t>
  </si>
  <si>
    <t>kPa/m</t>
  </si>
  <si>
    <t>dĺžka zóny</t>
  </si>
  <si>
    <t>Ll</t>
  </si>
  <si>
    <t>šírka zóny</t>
  </si>
  <si>
    <t>Lw</t>
  </si>
  <si>
    <t>počet vyk podlaží v zóne</t>
  </si>
  <si>
    <t>Nlev</t>
  </si>
  <si>
    <t>konštrukčná výška podlaží</t>
  </si>
  <si>
    <t>dĺžka pripájacích potrubí od stúpacích potrubí k VT (10m pre dvojrúrkový s.)</t>
  </si>
  <si>
    <t>lc</t>
  </si>
  <si>
    <t>differential pressure at design point</t>
  </si>
  <si>
    <t>ΔpHCW,des</t>
  </si>
  <si>
    <t>ΔT</t>
  </si>
  <si>
    <t>menovitý výkon zdroja</t>
  </si>
  <si>
    <t>prídavný tlakový spád odovzd. Telesa</t>
  </si>
  <si>
    <t>max dĺžka potrubia cirk. okruhu</t>
  </si>
  <si>
    <t>Hlev</t>
  </si>
  <si>
    <t>OBEHOVÉ ČERPADLO - výpočet podľa STN EN 15316-2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</si>
</sst>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0.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FF0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charset val="238"/>
      <scheme val="minor"/>
    </font>
    <font>
      <b/>
      <sz val="9"/>
      <color theme="1"/>
      <name val="Calibri"/>
      <family val="2"/>
    </font>
    <font>
      <b/>
      <sz val="11"/>
      <color theme="1"/>
      <name val="Calibri"/>
      <family val="2"/>
      <charset val="238"/>
    </font>
    <font>
      <b/>
      <sz val="9"/>
      <color theme="1"/>
      <name val="Calibri"/>
      <family val="2"/>
      <charset val="238"/>
    </font>
    <font>
      <sz val="11"/>
      <color theme="1"/>
      <name val="Calibri"/>
      <family val="2"/>
      <charset val="238"/>
    </font>
    <font>
      <sz val="14.3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/>
    <xf numFmtId="0" fontId="0" fillId="0" borderId="0" xfId="0" applyAlignment="1">
      <alignment horizontal="center"/>
    </xf>
    <xf numFmtId="0" fontId="3" fillId="3" borderId="0" xfId="0" applyFont="1" applyFill="1"/>
    <xf numFmtId="0" fontId="0" fillId="3" borderId="0" xfId="0" applyFill="1"/>
    <xf numFmtId="0" fontId="4" fillId="0" borderId="2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4" borderId="1" xfId="0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5" fontId="6" fillId="5" borderId="1" xfId="0" applyNumberFormat="1" applyFont="1" applyFill="1" applyBorder="1" applyAlignment="1">
      <alignment horizontal="center"/>
    </xf>
    <xf numFmtId="0" fontId="4" fillId="0" borderId="0" xfId="0" applyFont="1"/>
    <xf numFmtId="164" fontId="6" fillId="0" borderId="0" xfId="0" applyNumberFormat="1" applyFont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6" fillId="0" borderId="0" xfId="0" applyFont="1"/>
    <xf numFmtId="0" fontId="9" fillId="0" borderId="1" xfId="0" applyFont="1" applyBorder="1"/>
    <xf numFmtId="0" fontId="6" fillId="6" borderId="1" xfId="0" applyFont="1" applyFill="1" applyBorder="1" applyAlignment="1">
      <alignment horizontal="center"/>
    </xf>
    <xf numFmtId="0" fontId="5" fillId="0" borderId="4" xfId="0" applyFont="1" applyBorder="1"/>
    <xf numFmtId="0" fontId="4" fillId="0" borderId="3" xfId="0" applyFont="1" applyBorder="1"/>
    <xf numFmtId="2" fontId="6" fillId="4" borderId="1" xfId="0" applyNumberFormat="1" applyFont="1" applyFill="1" applyBorder="1" applyAlignment="1">
      <alignment horizontal="center"/>
    </xf>
    <xf numFmtId="165" fontId="6" fillId="4" borderId="1" xfId="0" applyNumberFormat="1" applyFont="1" applyFill="1" applyBorder="1" applyAlignment="1">
      <alignment horizontal="center"/>
    </xf>
    <xf numFmtId="1" fontId="6" fillId="4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 wrapText="1"/>
    </xf>
    <xf numFmtId="0" fontId="5" fillId="0" borderId="5" xfId="0" applyFont="1" applyBorder="1"/>
    <xf numFmtId="2" fontId="6" fillId="0" borderId="0" xfId="0" applyNumberFormat="1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165" fontId="0" fillId="0" borderId="0" xfId="0" applyNumberFormat="1" applyAlignment="1">
      <alignment horizontal="center"/>
    </xf>
    <xf numFmtId="165" fontId="12" fillId="0" borderId="0" xfId="0" applyNumberFormat="1" applyFont="1" applyAlignment="1">
      <alignment horizontal="center"/>
    </xf>
    <xf numFmtId="0" fontId="2" fillId="2" borderId="4" xfId="0" applyFont="1" applyFill="1" applyBorder="1"/>
    <xf numFmtId="0" fontId="2" fillId="2" borderId="0" xfId="0" applyFont="1" applyFill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444045</xdr:colOff>
      <xdr:row>21</xdr:row>
      <xdr:rowOff>66686</xdr:rowOff>
    </xdr:from>
    <xdr:to>
      <xdr:col>6</xdr:col>
      <xdr:colOff>539750</xdr:colOff>
      <xdr:row>30</xdr:row>
      <xdr:rowOff>905</xdr:rowOff>
    </xdr:to>
    <xdr:pic>
      <xdr:nvPicPr>
        <xdr:cNvPr id="2" name="Obrázok 1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1395" y="3924311"/>
          <a:ext cx="2086430" cy="1639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426183</xdr:colOff>
      <xdr:row>9</xdr:row>
      <xdr:rowOff>39321</xdr:rowOff>
    </xdr:from>
    <xdr:to>
      <xdr:col>6</xdr:col>
      <xdr:colOff>328491</xdr:colOff>
      <xdr:row>12</xdr:row>
      <xdr:rowOff>117964</xdr:rowOff>
    </xdr:to>
    <xdr:pic>
      <xdr:nvPicPr>
        <xdr:cNvPr id="3" name="Obrázok 2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2908" y="1753821"/>
          <a:ext cx="1893033" cy="650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314325</xdr:colOff>
      <xdr:row>9</xdr:row>
      <xdr:rowOff>5373</xdr:rowOff>
    </xdr:from>
    <xdr:to>
      <xdr:col>10</xdr:col>
      <xdr:colOff>146598</xdr:colOff>
      <xdr:row>12</xdr:row>
      <xdr:rowOff>100135</xdr:rowOff>
    </xdr:to>
    <xdr:pic>
      <xdr:nvPicPr>
        <xdr:cNvPr id="4" name="Obrázok 3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719873"/>
          <a:ext cx="2270673" cy="666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409674</xdr:colOff>
      <xdr:row>3</xdr:row>
      <xdr:rowOff>52241</xdr:rowOff>
    </xdr:from>
    <xdr:to>
      <xdr:col>10</xdr:col>
      <xdr:colOff>35780</xdr:colOff>
      <xdr:row>9</xdr:row>
      <xdr:rowOff>38567</xdr:rowOff>
    </xdr:to>
    <xdr:pic>
      <xdr:nvPicPr>
        <xdr:cNvPr id="5" name="Obrázok 4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5828" y="597364"/>
          <a:ext cx="4075014" cy="1088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482600</xdr:colOff>
      <xdr:row>30</xdr:row>
      <xdr:rowOff>58708</xdr:rowOff>
    </xdr:from>
    <xdr:to>
      <xdr:col>7</xdr:col>
      <xdr:colOff>31750</xdr:colOff>
      <xdr:row>32</xdr:row>
      <xdr:rowOff>146050</xdr:rowOff>
    </xdr:to>
    <xdr:pic>
      <xdr:nvPicPr>
        <xdr:cNvPr id="6" name="Obrázok 5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9950" y="5621308"/>
          <a:ext cx="2149475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190500</xdr:colOff>
      <xdr:row>20</xdr:row>
      <xdr:rowOff>142624</xdr:rowOff>
    </xdr:from>
    <xdr:to>
      <xdr:col>18</xdr:col>
      <xdr:colOff>115954</xdr:colOff>
      <xdr:row>26</xdr:row>
      <xdr:rowOff>56461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4385151-84B1-4A92-A88B-EDBCB68FE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31300" y="3895474"/>
          <a:ext cx="5392804" cy="1018737"/>
        </a:xfrm>
        <a:prstGeom prst="rect">
          <a:avLst/>
        </a:prstGeom>
      </xdr:spPr>
    </xdr:pic>
    <xdr:clientData/>
  </xdr:twoCellAnchor>
  <xdr:twoCellAnchor>
    <xdr:from>
      <xdr:col>14</xdr:col>
      <xdr:colOff>120650</xdr:colOff>
      <xdr:row>17</xdr:row>
      <xdr:rowOff>133350</xdr:rowOff>
    </xdr:from>
    <xdr:to>
      <xdr:col>14</xdr:col>
      <xdr:colOff>469900</xdr:colOff>
      <xdr:row>20</xdr:row>
      <xdr:rowOff>76200</xdr:rowOff>
    </xdr:to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8B22B159-72EF-F2E5-9E8F-B6CB99119086}"/>
            </a:ext>
          </a:extLst>
        </xdr:cNvPr>
        <xdr:cNvSpPr/>
      </xdr:nvSpPr>
      <xdr:spPr>
        <a:xfrm rot="10800000">
          <a:off x="11639550" y="3276600"/>
          <a:ext cx="349250" cy="552450"/>
        </a:xfrm>
        <a:prstGeom prst="downArrow">
          <a:avLst/>
        </a:prstGeom>
        <a:solidFill>
          <a:schemeClr val="bg1">
            <a:lumMod val="50000"/>
          </a:schemeClr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268772</xdr:colOff>
      <xdr:row>18</xdr:row>
      <xdr:rowOff>181618</xdr:rowOff>
    </xdr:from>
    <xdr:to>
      <xdr:col>8</xdr:col>
      <xdr:colOff>255695</xdr:colOff>
      <xdr:row>29</xdr:row>
      <xdr:rowOff>114534</xdr:rowOff>
    </xdr:to>
    <xdr:pic>
      <xdr:nvPicPr>
        <xdr:cNvPr id="2" name="Obrázok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596" y="3610618"/>
          <a:ext cx="2508245" cy="2017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415193</xdr:colOff>
      <xdr:row>9</xdr:row>
      <xdr:rowOff>53730</xdr:rowOff>
    </xdr:from>
    <xdr:to>
      <xdr:col>7</xdr:col>
      <xdr:colOff>91151</xdr:colOff>
      <xdr:row>13</xdr:row>
      <xdr:rowOff>117231</xdr:rowOff>
    </xdr:to>
    <xdr:pic>
      <xdr:nvPicPr>
        <xdr:cNvPr id="3" name="Obrázok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9668" y="1577730"/>
          <a:ext cx="2323908" cy="825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341296</xdr:colOff>
      <xdr:row>2</xdr:row>
      <xdr:rowOff>162170</xdr:rowOff>
    </xdr:from>
    <xdr:to>
      <xdr:col>9</xdr:col>
      <xdr:colOff>406889</xdr:colOff>
      <xdr:row>7</xdr:row>
      <xdr:rowOff>16118</xdr:rowOff>
    </xdr:to>
    <xdr:pic>
      <xdr:nvPicPr>
        <xdr:cNvPr id="4" name="Obrázok 3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7450" y="525585"/>
          <a:ext cx="4010408" cy="774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381322</xdr:colOff>
      <xdr:row>31</xdr:row>
      <xdr:rowOff>37067</xdr:rowOff>
    </xdr:from>
    <xdr:to>
      <xdr:col>8</xdr:col>
      <xdr:colOff>206792</xdr:colOff>
      <xdr:row>32</xdr:row>
      <xdr:rowOff>155276</xdr:rowOff>
    </xdr:to>
    <xdr:pic>
      <xdr:nvPicPr>
        <xdr:cNvPr id="5" name="Obrázok 4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9146" y="5931361"/>
          <a:ext cx="2346792" cy="3087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torage\02.PP\EC\EC%20Dokumenty\vzor_11.1.2014_mesacna%20metod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dentifikacia"/>
      <sheetName val="Geometria"/>
      <sheetName val="U"/>
      <sheetName val="Qh"/>
      <sheetName val="Qvyk"/>
      <sheetName val="Qtv"/>
      <sheetName val="Zdroj"/>
      <sheetName val="Bilancia"/>
      <sheetName val="TOB"/>
      <sheetName val="VYK"/>
      <sheetName val="TV"/>
      <sheetName val="Rekapitulácia"/>
      <sheetName val="Energia"/>
      <sheetName val="EPI, CO2"/>
      <sheetName val="Literatura"/>
      <sheetName val="zoznamy"/>
      <sheetName val="Intenzi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AB2" t="str">
            <v>jednorúrkový</v>
          </cell>
        </row>
        <row r="3">
          <cell r="A3" t="str">
            <v>Obvodová stena 1:</v>
          </cell>
          <cell r="C3" t="str">
            <v>Odpor pri prestupe tepla na vnútornom povrchu (vodorovne)</v>
          </cell>
          <cell r="F3" t="str">
            <v>Debnenie, vnútorné</v>
          </cell>
          <cell r="AB3" t="str">
            <v>dvojrúrkový</v>
          </cell>
        </row>
        <row r="4">
          <cell r="A4" t="str">
            <v>Obvodová stena 2:</v>
          </cell>
          <cell r="C4" t="str">
            <v>Odpor pri prestupe tepla na vnútornom povrchu (hore)</v>
          </cell>
          <cell r="F4" t="str">
            <v>Dlažba, keramická</v>
          </cell>
        </row>
        <row r="5">
          <cell r="A5" t="str">
            <v>Strecha 1:</v>
          </cell>
          <cell r="C5" t="str">
            <v>Odpor pri prestupe tepla na vnútornom povrchu (dolu)</v>
          </cell>
          <cell r="F5" t="str">
            <v>Doska, oceľobetónová</v>
          </cell>
        </row>
        <row r="6">
          <cell r="A6" t="str">
            <v>Strecha 2:</v>
          </cell>
          <cell r="C6" t="str">
            <v>Odpor pri prestupe tepla na vonkajšom povrchu</v>
          </cell>
          <cell r="F6" t="str">
            <v>Doska, drevená, mäkká (kolmo na vlákna)</v>
          </cell>
        </row>
        <row r="7">
          <cell r="A7" t="str">
            <v>Strop do podstrešného priestoru:</v>
          </cell>
          <cell r="F7" t="str">
            <v>Doska, drevovláknitá Hofatex</v>
          </cell>
        </row>
        <row r="8">
          <cell r="A8" t="str">
            <v>Podlaha nad nevykurovaným suterénom 1:</v>
          </cell>
          <cell r="F8" t="str">
            <v>Doska, drevotriesková</v>
          </cell>
        </row>
        <row r="9">
          <cell r="A9" t="str">
            <v>Podlaha nad nevykurovaným suterénom 2:</v>
          </cell>
          <cell r="F9" t="str">
            <v>Doska, laminátová</v>
          </cell>
        </row>
        <row r="10">
          <cell r="A10" t="str">
            <v>Podlaha na teréne podľa STN EN ISO 13370:</v>
          </cell>
          <cell r="F10" t="str">
            <v>Doska, plynosilikátová</v>
          </cell>
        </row>
        <row r="11">
          <cell r="F11" t="str">
            <v>Fólia, polyetylénová</v>
          </cell>
        </row>
        <row r="12">
          <cell r="F12" t="str">
            <v>Hydroizolácia</v>
          </cell>
        </row>
        <row r="13">
          <cell r="F13" t="str">
            <v>Izolácia, tepelná</v>
          </cell>
        </row>
        <row r="14">
          <cell r="F14" t="str">
            <v>Izolácia, tepelná, polystyrén EPS</v>
          </cell>
        </row>
        <row r="15">
          <cell r="F15" t="str">
            <v xml:space="preserve">Izolácia, tepelná kročajová tvrdená </v>
          </cell>
        </row>
        <row r="16">
          <cell r="F16" t="str">
            <v xml:space="preserve">Izolácia, tepelná tvrdená </v>
          </cell>
        </row>
        <row r="17">
          <cell r="F17" t="str">
            <v>Izolácia, tepelná, kamenná vlna</v>
          </cell>
        </row>
        <row r="18">
          <cell r="F18" t="str">
            <v>Izolácia, tepelná, minerálna vlna</v>
          </cell>
        </row>
        <row r="19">
          <cell r="F19" t="str">
            <v>Izolácia, tepelná, polyuretán, tuhý</v>
          </cell>
        </row>
        <row r="20">
          <cell r="F20" t="str">
            <v>Malta, lepiaca</v>
          </cell>
        </row>
        <row r="21">
          <cell r="F21" t="str">
            <v>Medzera, vzduchová odvetraná</v>
          </cell>
        </row>
        <row r="22">
          <cell r="F22" t="str">
            <v>Murivo, tehlové Porotherm Profi</v>
          </cell>
        </row>
        <row r="23">
          <cell r="F23" t="str">
            <v>Násyp, struskový</v>
          </cell>
        </row>
        <row r="24">
          <cell r="F24" t="str">
            <v>Obklad, drevený</v>
          </cell>
        </row>
        <row r="25">
          <cell r="F25" t="str">
            <v>Omietka, akrylátová</v>
          </cell>
        </row>
        <row r="26">
          <cell r="F26" t="str">
            <v>Omietka, silikátová</v>
          </cell>
        </row>
        <row r="27">
          <cell r="F27" t="str">
            <v>Omietka, vápenná</v>
          </cell>
        </row>
        <row r="28">
          <cell r="F28" t="str">
            <v>Omietka, vnútorná</v>
          </cell>
        </row>
        <row r="29">
          <cell r="F29" t="str">
            <v>Panel, obvodový, plynosilikátový</v>
          </cell>
        </row>
        <row r="30">
          <cell r="F30" t="str">
            <v>Panel, stropný, železobetónový</v>
          </cell>
        </row>
        <row r="31">
          <cell r="F31" t="str">
            <v>Parkety, drevené</v>
          </cell>
        </row>
        <row r="32">
          <cell r="F32" t="str">
            <v>Pena, podkladová</v>
          </cell>
        </row>
        <row r="33">
          <cell r="F33" t="str">
            <v>Poter, betónový</v>
          </cell>
        </row>
        <row r="34">
          <cell r="F34" t="str">
            <v>Rošt, drevený (mäkké drevo, tok rovnobežne s vláknami)</v>
          </cell>
        </row>
        <row r="35">
          <cell r="F35" t="str">
            <v>Sadrokartón</v>
          </cell>
        </row>
        <row r="36">
          <cell r="F36" t="str">
            <v>Štrk</v>
          </cell>
        </row>
        <row r="37">
          <cell r="F37" t="str">
            <v>Tvárnice, obvodové Ytong P-500</v>
          </cell>
        </row>
        <row r="38">
          <cell r="F38" t="str">
            <v>Vzduchová medzera 30mm (vodorovne)</v>
          </cell>
        </row>
      </sheetData>
      <sheetData sheetId="17"/>
    </sheetDataSet>
  </externalBook>
</externalLink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U36"/>
  <sheetViews>
    <sheetView zoomScale="105" zoomScaleNormal="130" workbookViewId="0">
      <selection activeCell="C5" sqref="C5"/>
    </sheetView>
  </sheetViews>
  <sheetFormatPr defaultRowHeight="14.4" x14ac:dyDescent="0.3"/>
  <cols>
    <col min="1" max="1" width="37.33203125" customWidth="1"/>
    <col min="2" max="2" width="12.6640625" customWidth="1"/>
    <col min="3" max="3" width="14" style="2" bestFit="1" customWidth="1"/>
    <col min="6" max="6" width="11.5546875" customWidth="1"/>
    <col min="12" max="12" width="10.6640625" customWidth="1"/>
    <col min="18" max="18" width="15.33203125" bestFit="1" customWidth="1"/>
    <col min="19" max="19" width="13.33203125" bestFit="1" customWidth="1"/>
  </cols>
  <sheetData>
    <row r="1" spans="1:21" x14ac:dyDescent="0.3">
      <c r="A1" s="38" t="s">
        <v>89</v>
      </c>
      <c r="B1" s="39"/>
      <c r="C1" s="39"/>
    </row>
    <row r="2" spans="1:21" x14ac:dyDescent="0.3">
      <c r="A2" s="34"/>
    </row>
    <row r="3" spans="1:21" x14ac:dyDescent="0.3">
      <c r="A3" s="3" t="s">
        <v>1</v>
      </c>
      <c r="B3" s="3"/>
      <c r="C3" s="3"/>
      <c r="L3" s="3" t="s">
        <v>2</v>
      </c>
      <c r="M3" s="4"/>
      <c r="N3" s="4"/>
      <c r="O3" s="35"/>
      <c r="T3" s="5"/>
    </row>
    <row r="4" spans="1:21" x14ac:dyDescent="0.3">
      <c r="A4" s="13" t="s">
        <v>3</v>
      </c>
      <c r="B4" s="7" t="s">
        <v>4</v>
      </c>
      <c r="C4" s="14">
        <v>3.4000000000000002E-2</v>
      </c>
      <c r="D4" s="9" t="s">
        <v>5</v>
      </c>
      <c r="L4" s="10" t="s">
        <v>6</v>
      </c>
      <c r="M4" s="11"/>
      <c r="N4" s="8" t="s">
        <v>7</v>
      </c>
      <c r="O4" s="12" t="s">
        <v>8</v>
      </c>
      <c r="P4" s="12" t="s">
        <v>9</v>
      </c>
      <c r="Q4" s="12" t="s">
        <v>10</v>
      </c>
      <c r="R4" s="12" t="s">
        <v>11</v>
      </c>
      <c r="S4" s="12" t="s">
        <v>12</v>
      </c>
      <c r="T4" s="8" t="s">
        <v>13</v>
      </c>
      <c r="U4" s="12" t="s">
        <v>14</v>
      </c>
    </row>
    <row r="5" spans="1:21" x14ac:dyDescent="0.3">
      <c r="A5" s="13" t="s">
        <v>16</v>
      </c>
      <c r="B5" s="7" t="s">
        <v>17</v>
      </c>
      <c r="C5" s="14">
        <v>0.75</v>
      </c>
      <c r="L5" s="10"/>
      <c r="M5" s="6"/>
      <c r="N5" s="8" t="s">
        <v>5</v>
      </c>
      <c r="O5" s="8" t="s">
        <v>15</v>
      </c>
      <c r="P5" s="8" t="s">
        <v>18</v>
      </c>
      <c r="Q5" s="8" t="s">
        <v>15</v>
      </c>
      <c r="R5" s="8" t="s">
        <v>19</v>
      </c>
      <c r="S5" s="8" t="s">
        <v>15</v>
      </c>
      <c r="T5" s="8" t="s">
        <v>15</v>
      </c>
      <c r="U5" s="8" t="s">
        <v>19</v>
      </c>
    </row>
    <row r="6" spans="1:21" ht="15" customHeight="1" x14ac:dyDescent="0.3">
      <c r="A6" s="13" t="s">
        <v>16</v>
      </c>
      <c r="B6" s="7" t="s">
        <v>20</v>
      </c>
      <c r="C6" s="14">
        <v>0.25</v>
      </c>
      <c r="L6" s="6" t="s">
        <v>21</v>
      </c>
      <c r="M6" s="6"/>
      <c r="N6" s="15">
        <f>$C$10</f>
        <v>1.031117545751172E-2</v>
      </c>
      <c r="O6" s="26"/>
      <c r="P6" s="20">
        <v>744</v>
      </c>
      <c r="Q6" s="15">
        <f>$C$13</f>
        <v>1</v>
      </c>
      <c r="R6" s="16">
        <f>N6*O6*P6*Q6</f>
        <v>0</v>
      </c>
      <c r="S6" s="15">
        <f>$C$4/$C$10</f>
        <v>3.2973932157493167</v>
      </c>
      <c r="T6" s="16" t="e">
        <f>S6*($C$5+$C$6*O6^-1)*$C$7/0.25</f>
        <v>#DIV/0!</v>
      </c>
      <c r="U6" s="17" t="e">
        <f>R6*T6</f>
        <v>#DIV/0!</v>
      </c>
    </row>
    <row r="7" spans="1:21" x14ac:dyDescent="0.3">
      <c r="A7" s="13" t="s">
        <v>22</v>
      </c>
      <c r="B7" s="7" t="s">
        <v>23</v>
      </c>
      <c r="C7" s="14">
        <v>0.23</v>
      </c>
      <c r="L7" s="6" t="s">
        <v>24</v>
      </c>
      <c r="M7" s="11"/>
      <c r="N7" s="15">
        <f t="shared" ref="N7:N17" si="0">$C$10</f>
        <v>1.031117545751172E-2</v>
      </c>
      <c r="O7" s="26"/>
      <c r="P7" s="20">
        <v>672</v>
      </c>
      <c r="Q7" s="15">
        <f t="shared" ref="Q7:Q17" si="1">$C$13</f>
        <v>1</v>
      </c>
      <c r="R7" s="16">
        <f>N7*O7*P7*Q7</f>
        <v>0</v>
      </c>
      <c r="S7" s="15">
        <f>$C$4/$C$10</f>
        <v>3.2973932157493167</v>
      </c>
      <c r="T7" s="16" t="e">
        <f t="shared" ref="T7:T17" si="2">S7*($C$5+$C$6*O7^-1)*$C$7/0.25</f>
        <v>#DIV/0!</v>
      </c>
      <c r="U7" s="17" t="e">
        <f t="shared" ref="U7:U17" si="3">R7*T7</f>
        <v>#DIV/0!</v>
      </c>
    </row>
    <row r="8" spans="1:21" x14ac:dyDescent="0.3">
      <c r="L8" s="6" t="s">
        <v>25</v>
      </c>
      <c r="M8" s="11"/>
      <c r="N8" s="15">
        <f t="shared" si="0"/>
        <v>1.031117545751172E-2</v>
      </c>
      <c r="O8" s="26"/>
      <c r="P8" s="20">
        <v>744</v>
      </c>
      <c r="Q8" s="15">
        <f t="shared" si="1"/>
        <v>1</v>
      </c>
      <c r="R8" s="16">
        <f>N8*O8*P8*Q8</f>
        <v>0</v>
      </c>
      <c r="S8" s="15">
        <f>$C$4/$C$10</f>
        <v>3.2973932157493167</v>
      </c>
      <c r="T8" s="16" t="e">
        <f t="shared" si="2"/>
        <v>#DIV/0!</v>
      </c>
      <c r="U8" s="17" t="e">
        <f t="shared" si="3"/>
        <v>#DIV/0!</v>
      </c>
    </row>
    <row r="9" spans="1:21" x14ac:dyDescent="0.3">
      <c r="A9" s="3" t="s">
        <v>27</v>
      </c>
      <c r="B9" s="18"/>
      <c r="C9" s="19"/>
      <c r="L9" s="6" t="s">
        <v>28</v>
      </c>
      <c r="M9" s="11"/>
      <c r="N9" s="15">
        <f t="shared" si="0"/>
        <v>1.031117545751172E-2</v>
      </c>
      <c r="O9" s="26"/>
      <c r="P9" s="20">
        <v>720</v>
      </c>
      <c r="Q9" s="15">
        <f t="shared" si="1"/>
        <v>1</v>
      </c>
      <c r="R9" s="16">
        <f>N9*O9*P9*Q9</f>
        <v>0</v>
      </c>
      <c r="S9" s="15">
        <f>$C$4/$C$10</f>
        <v>3.2973932157493167</v>
      </c>
      <c r="T9" s="16" t="e">
        <f t="shared" si="2"/>
        <v>#DIV/0!</v>
      </c>
      <c r="U9" s="17" t="e">
        <f t="shared" si="3"/>
        <v>#DIV/0!</v>
      </c>
    </row>
    <row r="10" spans="1:21" ht="15" customHeight="1" x14ac:dyDescent="0.3">
      <c r="A10" s="6" t="s">
        <v>29</v>
      </c>
      <c r="B10" s="7" t="s">
        <v>7</v>
      </c>
      <c r="C10" s="15">
        <f>C35*C20/3600</f>
        <v>1.031117545751172E-2</v>
      </c>
      <c r="D10" s="9" t="s">
        <v>5</v>
      </c>
      <c r="L10" s="6" t="s">
        <v>30</v>
      </c>
      <c r="M10" s="11"/>
      <c r="N10" s="15"/>
      <c r="O10" s="26"/>
      <c r="P10" s="20"/>
      <c r="Q10" s="15"/>
      <c r="R10" s="16"/>
      <c r="S10" s="16"/>
      <c r="T10" s="16"/>
      <c r="U10" s="17"/>
    </row>
    <row r="11" spans="1:21" x14ac:dyDescent="0.3">
      <c r="A11" s="6" t="s">
        <v>31</v>
      </c>
      <c r="B11" s="7" t="s">
        <v>32</v>
      </c>
      <c r="C11" s="14">
        <v>1</v>
      </c>
      <c r="D11" t="s">
        <v>15</v>
      </c>
      <c r="L11" s="6" t="s">
        <v>33</v>
      </c>
      <c r="M11" s="11"/>
      <c r="N11" s="15"/>
      <c r="O11" s="26"/>
      <c r="P11" s="20"/>
      <c r="Q11" s="15"/>
      <c r="R11" s="16"/>
      <c r="S11" s="16"/>
      <c r="T11" s="16"/>
      <c r="U11" s="17"/>
    </row>
    <row r="12" spans="1:21" x14ac:dyDescent="0.3">
      <c r="A12" s="6" t="s">
        <v>34</v>
      </c>
      <c r="B12" s="7" t="s">
        <v>35</v>
      </c>
      <c r="C12" s="14">
        <v>1</v>
      </c>
      <c r="D12" t="s">
        <v>15</v>
      </c>
      <c r="L12" s="6" t="s">
        <v>36</v>
      </c>
      <c r="M12" s="11"/>
      <c r="N12" s="15"/>
      <c r="O12" s="26"/>
      <c r="P12" s="20"/>
      <c r="Q12" s="15"/>
      <c r="R12" s="16"/>
      <c r="S12" s="16"/>
      <c r="T12" s="16"/>
      <c r="U12" s="17"/>
    </row>
    <row r="13" spans="1:21" x14ac:dyDescent="0.3">
      <c r="A13" s="6" t="s">
        <v>37</v>
      </c>
      <c r="B13" s="7" t="s">
        <v>10</v>
      </c>
      <c r="C13" s="15">
        <f>C11*C12</f>
        <v>1</v>
      </c>
      <c r="D13" t="s">
        <v>15</v>
      </c>
      <c r="L13" s="6" t="s">
        <v>38</v>
      </c>
      <c r="M13" s="11"/>
      <c r="N13" s="15"/>
      <c r="O13" s="26"/>
      <c r="P13" s="20"/>
      <c r="Q13" s="15"/>
      <c r="R13" s="16"/>
      <c r="S13" s="16"/>
      <c r="T13" s="16"/>
      <c r="U13" s="17"/>
    </row>
    <row r="14" spans="1:21" x14ac:dyDescent="0.3">
      <c r="L14" s="6" t="s">
        <v>39</v>
      </c>
      <c r="M14" s="11"/>
      <c r="N14" s="15"/>
      <c r="O14" s="26"/>
      <c r="P14" s="20"/>
      <c r="Q14" s="15"/>
      <c r="R14" s="16"/>
      <c r="S14" s="16"/>
      <c r="T14" s="16"/>
      <c r="U14" s="17"/>
    </row>
    <row r="15" spans="1:21" x14ac:dyDescent="0.3">
      <c r="A15" s="3" t="s">
        <v>40</v>
      </c>
      <c r="L15" s="6" t="s">
        <v>41</v>
      </c>
      <c r="M15" s="11"/>
      <c r="N15" s="15">
        <f t="shared" si="0"/>
        <v>1.031117545751172E-2</v>
      </c>
      <c r="O15" s="26"/>
      <c r="P15" s="20">
        <v>744</v>
      </c>
      <c r="Q15" s="15">
        <f t="shared" si="1"/>
        <v>1</v>
      </c>
      <c r="R15" s="16">
        <f t="shared" ref="R15:R17" si="4">N15*O15*P15*Q15</f>
        <v>0</v>
      </c>
      <c r="S15" s="15">
        <f>$C$4/$C$10</f>
        <v>3.2973932157493167</v>
      </c>
      <c r="T15" s="16" t="e">
        <f t="shared" si="2"/>
        <v>#DIV/0!</v>
      </c>
      <c r="U15" s="17" t="e">
        <f t="shared" si="3"/>
        <v>#DIV/0!</v>
      </c>
    </row>
    <row r="16" spans="1:21" x14ac:dyDescent="0.3">
      <c r="A16" s="6" t="s">
        <v>42</v>
      </c>
      <c r="B16" s="22" t="s">
        <v>43</v>
      </c>
      <c r="C16" s="14">
        <v>4.18</v>
      </c>
      <c r="D16" s="9" t="s">
        <v>44</v>
      </c>
      <c r="L16" s="6" t="s">
        <v>45</v>
      </c>
      <c r="M16" s="11"/>
      <c r="N16" s="15">
        <f t="shared" si="0"/>
        <v>1.031117545751172E-2</v>
      </c>
      <c r="O16" s="26"/>
      <c r="P16" s="20">
        <v>720</v>
      </c>
      <c r="Q16" s="15">
        <f t="shared" si="1"/>
        <v>1</v>
      </c>
      <c r="R16" s="16">
        <f t="shared" si="4"/>
        <v>0</v>
      </c>
      <c r="S16" s="15">
        <f>$C$4/$C$10</f>
        <v>3.2973932157493167</v>
      </c>
      <c r="T16" s="16" t="e">
        <f t="shared" si="2"/>
        <v>#DIV/0!</v>
      </c>
      <c r="U16" s="17" t="e">
        <f t="shared" si="3"/>
        <v>#DIV/0!</v>
      </c>
    </row>
    <row r="17" spans="1:21" x14ac:dyDescent="0.3">
      <c r="A17" s="6" t="s">
        <v>46</v>
      </c>
      <c r="B17" s="22" t="s">
        <v>47</v>
      </c>
      <c r="C17" s="14">
        <v>1000</v>
      </c>
      <c r="D17" s="9" t="s">
        <v>48</v>
      </c>
      <c r="L17" s="6" t="s">
        <v>49</v>
      </c>
      <c r="M17" s="11"/>
      <c r="N17" s="15">
        <f t="shared" si="0"/>
        <v>1.031117545751172E-2</v>
      </c>
      <c r="O17" s="26"/>
      <c r="P17" s="20">
        <v>744</v>
      </c>
      <c r="Q17" s="15">
        <f t="shared" si="1"/>
        <v>1</v>
      </c>
      <c r="R17" s="16">
        <f t="shared" si="4"/>
        <v>0</v>
      </c>
      <c r="S17" s="15">
        <f>$C$4/$C$10</f>
        <v>3.2973932157493167</v>
      </c>
      <c r="T17" s="16" t="e">
        <f t="shared" si="2"/>
        <v>#DIV/0!</v>
      </c>
      <c r="U17" s="17" t="e">
        <f t="shared" si="3"/>
        <v>#DIV/0!</v>
      </c>
    </row>
    <row r="18" spans="1:21" ht="18.600000000000001" x14ac:dyDescent="0.35">
      <c r="A18" s="6" t="s">
        <v>50</v>
      </c>
      <c r="B18" s="22" t="s">
        <v>51</v>
      </c>
      <c r="C18" s="23">
        <v>10</v>
      </c>
      <c r="D18" s="24" t="s">
        <v>52</v>
      </c>
      <c r="U18" s="36" t="e">
        <f>SUM(U6:U17)</f>
        <v>#DIV/0!</v>
      </c>
    </row>
    <row r="19" spans="1:21" x14ac:dyDescent="0.3">
      <c r="A19" s="6" t="s">
        <v>53</v>
      </c>
      <c r="B19" s="25" t="s">
        <v>54</v>
      </c>
      <c r="C19" s="26">
        <v>5.77</v>
      </c>
      <c r="D19" s="9" t="s">
        <v>5</v>
      </c>
    </row>
    <row r="20" spans="1:21" x14ac:dyDescent="0.3">
      <c r="A20" s="32" t="s">
        <v>55</v>
      </c>
      <c r="B20" s="22" t="s">
        <v>56</v>
      </c>
      <c r="C20" s="15">
        <f>(3600*C19)/('VYK-Cerpadla'!C16*'VYK-Cerpadla'!C17*'VYK-Cerpadla'!C18)</f>
        <v>0.49693779904306218</v>
      </c>
      <c r="D20" s="9" t="s">
        <v>57</v>
      </c>
    </row>
    <row r="22" spans="1:21" ht="14.7" customHeight="1" x14ac:dyDescent="0.3">
      <c r="A22" s="3" t="s">
        <v>58</v>
      </c>
    </row>
    <row r="23" spans="1:21" x14ac:dyDescent="0.3">
      <c r="A23" s="13" t="s">
        <v>59</v>
      </c>
      <c r="B23" s="22" t="s">
        <v>60</v>
      </c>
      <c r="C23" s="27">
        <f>4.5*12</f>
        <v>54</v>
      </c>
      <c r="D23" s="9" t="s">
        <v>26</v>
      </c>
    </row>
    <row r="24" spans="1:21" x14ac:dyDescent="0.3">
      <c r="A24" s="13" t="s">
        <v>61</v>
      </c>
      <c r="B24" s="22" t="s">
        <v>60</v>
      </c>
      <c r="C24" s="28">
        <v>10</v>
      </c>
      <c r="D24" s="9" t="s">
        <v>26</v>
      </c>
    </row>
    <row r="25" spans="1:21" x14ac:dyDescent="0.3">
      <c r="A25" s="13" t="s">
        <v>62</v>
      </c>
      <c r="B25" s="22" t="s">
        <v>60</v>
      </c>
      <c r="C25" s="28">
        <f>20*C20^2</f>
        <v>4.9389435223552569</v>
      </c>
      <c r="D25" s="9" t="s">
        <v>26</v>
      </c>
    </row>
    <row r="26" spans="1:21" x14ac:dyDescent="0.3">
      <c r="A26" s="29" t="s">
        <v>63</v>
      </c>
      <c r="B26" s="22" t="s">
        <v>64</v>
      </c>
      <c r="C26" s="20">
        <f>C23+C24+C25</f>
        <v>68.93894352235526</v>
      </c>
      <c r="D26" s="9" t="s">
        <v>26</v>
      </c>
    </row>
    <row r="27" spans="1:21" x14ac:dyDescent="0.3">
      <c r="A27" s="13" t="s">
        <v>65</v>
      </c>
      <c r="B27" s="22" t="s">
        <v>66</v>
      </c>
      <c r="C27" s="14">
        <v>0.3</v>
      </c>
      <c r="D27" t="s">
        <v>15</v>
      </c>
    </row>
    <row r="28" spans="1:21" x14ac:dyDescent="0.3">
      <c r="A28" s="13" t="s">
        <v>67</v>
      </c>
      <c r="B28" s="22" t="s">
        <v>68</v>
      </c>
      <c r="C28" s="20">
        <f>2*(C30+(C31/2)+(C32*C33)+C34)</f>
        <v>44.300000000000004</v>
      </c>
      <c r="D28" s="9" t="s">
        <v>69</v>
      </c>
    </row>
    <row r="29" spans="1:21" x14ac:dyDescent="0.3">
      <c r="A29" s="13" t="s">
        <v>70</v>
      </c>
      <c r="B29" s="22" t="s">
        <v>71</v>
      </c>
      <c r="C29" s="26">
        <v>0.1</v>
      </c>
      <c r="D29" s="9" t="s">
        <v>72</v>
      </c>
    </row>
    <row r="30" spans="1:21" x14ac:dyDescent="0.3">
      <c r="A30" s="13" t="s">
        <v>73</v>
      </c>
      <c r="B30" s="7" t="s">
        <v>74</v>
      </c>
      <c r="C30" s="27">
        <v>12.5</v>
      </c>
      <c r="D30" t="s">
        <v>69</v>
      </c>
    </row>
    <row r="31" spans="1:21" x14ac:dyDescent="0.3">
      <c r="A31" s="13" t="s">
        <v>75</v>
      </c>
      <c r="B31" s="22" t="s">
        <v>76</v>
      </c>
      <c r="C31" s="27">
        <v>12.6</v>
      </c>
      <c r="D31" s="9" t="s">
        <v>69</v>
      </c>
    </row>
    <row r="32" spans="1:21" x14ac:dyDescent="0.3">
      <c r="A32" s="13" t="s">
        <v>77</v>
      </c>
      <c r="B32" s="22" t="s">
        <v>78</v>
      </c>
      <c r="C32" s="28">
        <v>1</v>
      </c>
      <c r="D32" s="9" t="s">
        <v>69</v>
      </c>
    </row>
    <row r="33" spans="1:4" x14ac:dyDescent="0.3">
      <c r="A33" s="30" t="s">
        <v>79</v>
      </c>
      <c r="B33" s="7" t="s">
        <v>88</v>
      </c>
      <c r="C33" s="14">
        <v>3.35</v>
      </c>
      <c r="D33" s="9" t="s">
        <v>69</v>
      </c>
    </row>
    <row r="34" spans="1:4" ht="24.6" x14ac:dyDescent="0.3">
      <c r="A34" s="31" t="s">
        <v>80</v>
      </c>
      <c r="B34" s="7" t="s">
        <v>81</v>
      </c>
      <c r="C34" s="14">
        <v>0</v>
      </c>
      <c r="D34" s="9" t="s">
        <v>69</v>
      </c>
    </row>
    <row r="35" spans="1:4" x14ac:dyDescent="0.3">
      <c r="A35" s="13" t="s">
        <v>82</v>
      </c>
      <c r="B35" s="22" t="s">
        <v>83</v>
      </c>
      <c r="C35" s="15">
        <f>(1+C27)*C29*C28+C26</f>
        <v>74.69794352235526</v>
      </c>
      <c r="D35" s="9" t="s">
        <v>26</v>
      </c>
    </row>
    <row r="36" spans="1:4" x14ac:dyDescent="0.3">
      <c r="D36" s="9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I50"/>
  <sheetViews>
    <sheetView tabSelected="1" zoomScale="110" zoomScaleNormal="130" workbookViewId="0">
      <selection activeCell="D23" sqref="D23"/>
    </sheetView>
  </sheetViews>
  <sheetFormatPr defaultColWidth="8.6640625" defaultRowHeight="14.4" x14ac:dyDescent="0.3"/>
  <cols>
    <col min="1" max="1" width="37.33203125" customWidth="1"/>
    <col min="2" max="2" width="12.6640625" customWidth="1"/>
    <col min="3" max="3" width="14" style="2" bestFit="1" customWidth="1"/>
    <col min="4" max="4" width="10.6640625" bestFit="1" customWidth="1"/>
    <col min="6" max="6" width="11.5546875" customWidth="1"/>
  </cols>
  <sheetData>
    <row r="1" spans="1:4" x14ac:dyDescent="0.3">
      <c r="A1" s="1" t="s">
        <v>0</v>
      </c>
    </row>
    <row r="2" spans="1:4" x14ac:dyDescent="0.3">
      <c r="A2" s="34"/>
    </row>
    <row r="3" spans="1:4" x14ac:dyDescent="0.3">
      <c r="A3" s="3" t="s">
        <v>1</v>
      </c>
      <c r="B3" s="3"/>
      <c r="C3" s="3"/>
    </row>
    <row r="4" spans="1:4" x14ac:dyDescent="0.3">
      <c r="A4" s="13" t="s">
        <v>3</v>
      </c>
      <c r="B4" s="7" t="s">
        <v>4</v>
      </c>
      <c r="C4" s="14">
        <v>2.5000000000000001E-2</v>
      </c>
      <c r="D4" s="9" t="s">
        <v>5</v>
      </c>
    </row>
    <row r="5" spans="1:4" x14ac:dyDescent="0.3">
      <c r="A5" s="13" t="s">
        <v>16</v>
      </c>
      <c r="B5" s="7" t="s">
        <v>17</v>
      </c>
      <c r="C5" s="14">
        <v>0.5</v>
      </c>
    </row>
    <row r="6" spans="1:4" ht="15" customHeight="1" x14ac:dyDescent="0.3">
      <c r="A6" s="13" t="s">
        <v>16</v>
      </c>
      <c r="B6" s="7" t="s">
        <v>20</v>
      </c>
      <c r="C6" s="14">
        <v>0.63</v>
      </c>
    </row>
    <row r="7" spans="1:4" x14ac:dyDescent="0.3">
      <c r="A7" s="13" t="s">
        <v>22</v>
      </c>
      <c r="B7" s="7" t="s">
        <v>23</v>
      </c>
      <c r="C7" s="14">
        <v>0.23</v>
      </c>
    </row>
    <row r="9" spans="1:4" x14ac:dyDescent="0.3">
      <c r="A9" s="3" t="s">
        <v>27</v>
      </c>
      <c r="B9" s="18"/>
      <c r="C9" s="19"/>
    </row>
    <row r="10" spans="1:4" ht="15" customHeight="1" x14ac:dyDescent="0.3">
      <c r="A10" s="6" t="s">
        <v>29</v>
      </c>
      <c r="B10" s="7" t="s">
        <v>7</v>
      </c>
      <c r="C10" s="15">
        <f>$C$33*$C$20/3600</f>
        <v>2.5954094976076553E-2</v>
      </c>
      <c r="D10" s="9" t="s">
        <v>5</v>
      </c>
    </row>
    <row r="11" spans="1:4" x14ac:dyDescent="0.3">
      <c r="A11" s="6" t="s">
        <v>31</v>
      </c>
      <c r="B11" s="21" t="s">
        <v>32</v>
      </c>
      <c r="C11" s="14">
        <v>1</v>
      </c>
      <c r="D11" t="s">
        <v>15</v>
      </c>
    </row>
    <row r="12" spans="1:4" x14ac:dyDescent="0.3">
      <c r="A12" s="6" t="s">
        <v>34</v>
      </c>
      <c r="B12" s="21" t="s">
        <v>35</v>
      </c>
      <c r="C12" s="14">
        <v>1</v>
      </c>
      <c r="D12" t="s">
        <v>15</v>
      </c>
    </row>
    <row r="13" spans="1:4" x14ac:dyDescent="0.3">
      <c r="A13" s="6" t="s">
        <v>37</v>
      </c>
      <c r="B13" s="21" t="s">
        <v>10</v>
      </c>
      <c r="C13" s="15">
        <f>C11*C12</f>
        <v>1</v>
      </c>
      <c r="D13" t="s">
        <v>15</v>
      </c>
    </row>
    <row r="15" spans="1:4" x14ac:dyDescent="0.3">
      <c r="A15" s="3" t="s">
        <v>40</v>
      </c>
    </row>
    <row r="16" spans="1:4" x14ac:dyDescent="0.3">
      <c r="A16" s="6" t="s">
        <v>42</v>
      </c>
      <c r="B16" s="22" t="s">
        <v>43</v>
      </c>
      <c r="C16" s="14">
        <v>4.18</v>
      </c>
      <c r="D16" s="9" t="s">
        <v>44</v>
      </c>
    </row>
    <row r="17" spans="1:4" x14ac:dyDescent="0.3">
      <c r="A17" s="6" t="s">
        <v>46</v>
      </c>
      <c r="B17" s="22" t="s">
        <v>47</v>
      </c>
      <c r="C17" s="14">
        <v>1000</v>
      </c>
      <c r="D17" s="9" t="s">
        <v>48</v>
      </c>
    </row>
    <row r="18" spans="1:4" x14ac:dyDescent="0.3">
      <c r="A18" s="6" t="s">
        <v>50</v>
      </c>
      <c r="B18" s="22" t="s">
        <v>84</v>
      </c>
      <c r="C18" s="23">
        <v>5</v>
      </c>
      <c r="D18" s="24" t="s">
        <v>52</v>
      </c>
    </row>
    <row r="19" spans="1:4" x14ac:dyDescent="0.3">
      <c r="A19" s="32" t="s">
        <v>85</v>
      </c>
      <c r="B19" s="22" t="s">
        <v>5</v>
      </c>
      <c r="C19" s="14">
        <v>5.77</v>
      </c>
      <c r="D19" s="9"/>
    </row>
    <row r="20" spans="1:4" x14ac:dyDescent="0.3">
      <c r="A20" s="32" t="s">
        <v>55</v>
      </c>
      <c r="B20" s="22" t="s">
        <v>56</v>
      </c>
      <c r="C20" s="15">
        <f>(3600*C19)/('TV-Cerpadla'!C16*'TV-Cerpadla'!C17*'TV-Cerpadla'!C18)</f>
        <v>0.99387559808612436</v>
      </c>
      <c r="D20" s="9" t="s">
        <v>57</v>
      </c>
    </row>
    <row r="21" spans="1:4" ht="14.7" customHeight="1" x14ac:dyDescent="0.3"/>
    <row r="22" spans="1:4" x14ac:dyDescent="0.3">
      <c r="A22" s="3" t="s">
        <v>58</v>
      </c>
    </row>
    <row r="23" spans="1:4" x14ac:dyDescent="0.3">
      <c r="A23" s="13" t="s">
        <v>86</v>
      </c>
      <c r="B23" s="22" t="s">
        <v>60</v>
      </c>
      <c r="C23" s="28">
        <v>0</v>
      </c>
      <c r="D23" s="9" t="s">
        <v>26</v>
      </c>
    </row>
    <row r="24" spans="1:4" x14ac:dyDescent="0.3">
      <c r="A24" s="13" t="s">
        <v>61</v>
      </c>
      <c r="B24" s="22" t="s">
        <v>60</v>
      </c>
      <c r="C24" s="28">
        <v>10</v>
      </c>
      <c r="D24" s="9" t="s">
        <v>26</v>
      </c>
    </row>
    <row r="25" spans="1:4" x14ac:dyDescent="0.3">
      <c r="A25" s="13" t="s">
        <v>62</v>
      </c>
      <c r="B25" s="22" t="s">
        <v>60</v>
      </c>
      <c r="C25" s="28">
        <v>80</v>
      </c>
      <c r="D25" s="9" t="s">
        <v>26</v>
      </c>
    </row>
    <row r="26" spans="1:4" x14ac:dyDescent="0.3">
      <c r="A26" s="13" t="s">
        <v>63</v>
      </c>
      <c r="B26" s="22" t="s">
        <v>64</v>
      </c>
      <c r="C26" s="20">
        <f>C23+C24+C25</f>
        <v>90</v>
      </c>
      <c r="D26" s="9" t="s">
        <v>26</v>
      </c>
    </row>
    <row r="27" spans="1:4" x14ac:dyDescent="0.3">
      <c r="A27" s="13" t="s">
        <v>65</v>
      </c>
      <c r="B27" s="22" t="s">
        <v>66</v>
      </c>
      <c r="C27" s="14">
        <v>0.3</v>
      </c>
      <c r="D27" t="s">
        <v>15</v>
      </c>
    </row>
    <row r="28" spans="1:4" x14ac:dyDescent="0.3">
      <c r="A28" s="13" t="s">
        <v>87</v>
      </c>
      <c r="B28" s="22" t="s">
        <v>68</v>
      </c>
      <c r="C28" s="20">
        <f>2*C30+2.5+C31*C32</f>
        <v>30.85</v>
      </c>
      <c r="D28" s="9" t="s">
        <v>69</v>
      </c>
    </row>
    <row r="29" spans="1:4" x14ac:dyDescent="0.3">
      <c r="A29" s="13" t="s">
        <v>70</v>
      </c>
      <c r="B29" s="22" t="s">
        <v>71</v>
      </c>
      <c r="C29" s="15">
        <v>0.1</v>
      </c>
      <c r="D29" s="9" t="s">
        <v>72</v>
      </c>
    </row>
    <row r="30" spans="1:4" x14ac:dyDescent="0.3">
      <c r="A30" s="13" t="s">
        <v>73</v>
      </c>
      <c r="B30" s="7" t="s">
        <v>74</v>
      </c>
      <c r="C30" s="27">
        <v>12.5</v>
      </c>
      <c r="D30" t="s">
        <v>69</v>
      </c>
    </row>
    <row r="31" spans="1:4" x14ac:dyDescent="0.3">
      <c r="A31" s="13" t="s">
        <v>77</v>
      </c>
      <c r="B31" s="22" t="s">
        <v>78</v>
      </c>
      <c r="C31" s="28">
        <v>1</v>
      </c>
      <c r="D31" s="9" t="s">
        <v>69</v>
      </c>
    </row>
    <row r="32" spans="1:4" x14ac:dyDescent="0.3">
      <c r="A32" s="30" t="s">
        <v>79</v>
      </c>
      <c r="B32" s="7" t="s">
        <v>88</v>
      </c>
      <c r="C32" s="14">
        <v>3.35</v>
      </c>
      <c r="D32" s="9" t="s">
        <v>69</v>
      </c>
    </row>
    <row r="33" spans="1:9" x14ac:dyDescent="0.3">
      <c r="A33" s="13" t="s">
        <v>82</v>
      </c>
      <c r="B33" s="22" t="s">
        <v>83</v>
      </c>
      <c r="C33" s="15">
        <f>(1+C27)*C29*C28+C26</f>
        <v>94.010500000000008</v>
      </c>
      <c r="D33" s="9" t="s">
        <v>26</v>
      </c>
    </row>
    <row r="35" spans="1:9" x14ac:dyDescent="0.3">
      <c r="A35" s="3" t="s">
        <v>2</v>
      </c>
      <c r="H35" s="5"/>
    </row>
    <row r="36" spans="1:9" x14ac:dyDescent="0.3">
      <c r="A36" s="10" t="s">
        <v>6</v>
      </c>
      <c r="B36" s="8" t="s">
        <v>7</v>
      </c>
      <c r="C36" s="12" t="s">
        <v>8</v>
      </c>
      <c r="D36" s="12" t="s">
        <v>9</v>
      </c>
      <c r="E36" s="12" t="s">
        <v>10</v>
      </c>
      <c r="F36" s="12" t="s">
        <v>11</v>
      </c>
      <c r="G36" s="12" t="s">
        <v>12</v>
      </c>
      <c r="H36" s="8" t="s">
        <v>13</v>
      </c>
      <c r="I36" s="12" t="s">
        <v>14</v>
      </c>
    </row>
    <row r="37" spans="1:9" x14ac:dyDescent="0.3">
      <c r="A37" s="10"/>
      <c r="B37" s="8" t="s">
        <v>5</v>
      </c>
      <c r="C37" s="8" t="s">
        <v>15</v>
      </c>
      <c r="D37" s="8" t="s">
        <v>18</v>
      </c>
      <c r="E37" s="8" t="s">
        <v>15</v>
      </c>
      <c r="F37" s="8" t="s">
        <v>19</v>
      </c>
      <c r="G37" s="8" t="s">
        <v>15</v>
      </c>
      <c r="H37" s="8" t="s">
        <v>15</v>
      </c>
      <c r="I37" s="8" t="s">
        <v>19</v>
      </c>
    </row>
    <row r="38" spans="1:9" x14ac:dyDescent="0.3">
      <c r="A38" s="6" t="s">
        <v>21</v>
      </c>
      <c r="B38" s="15">
        <f>$C$10</f>
        <v>2.5954094976076553E-2</v>
      </c>
      <c r="C38" s="26">
        <v>1</v>
      </c>
      <c r="D38" s="20">
        <v>744</v>
      </c>
      <c r="E38" s="15">
        <f>$C$13</f>
        <v>1</v>
      </c>
      <c r="F38" s="16">
        <f>B38*C38*D38*E38</f>
        <v>19.309846662200957</v>
      </c>
      <c r="G38" s="16">
        <f>$C$4/$C$10</f>
        <v>0.96323913521330651</v>
      </c>
      <c r="H38" s="16">
        <f>G38*($C$5+$C$6*C38^-1)*$C$7/0.25</f>
        <v>1.0013834049677535</v>
      </c>
      <c r="I38" s="17">
        <f>F38*H38</f>
        <v>19.336560000000002</v>
      </c>
    </row>
    <row r="39" spans="1:9" x14ac:dyDescent="0.3">
      <c r="A39" s="6" t="s">
        <v>24</v>
      </c>
      <c r="B39" s="15">
        <f t="shared" ref="B39:B49" si="0">$C$10</f>
        <v>2.5954094976076553E-2</v>
      </c>
      <c r="C39" s="26">
        <v>1</v>
      </c>
      <c r="D39" s="20">
        <v>672</v>
      </c>
      <c r="E39" s="15">
        <f t="shared" ref="E39:E49" si="1">$C$13</f>
        <v>1</v>
      </c>
      <c r="F39" s="16">
        <f t="shared" ref="F39:F49" si="2">B39*C39*D39*E39</f>
        <v>17.441151823923445</v>
      </c>
      <c r="G39" s="16">
        <f t="shared" ref="G39:G49" si="3">$C$4/$C$10</f>
        <v>0.96323913521330651</v>
      </c>
      <c r="H39" s="16">
        <f t="shared" ref="H39:H49" si="4">G39*($C$5+$C$6*C39^-1)*$C$7/0.25</f>
        <v>1.0013834049677535</v>
      </c>
      <c r="I39" s="17">
        <f t="shared" ref="I39:I49" si="5">F39*H39</f>
        <v>17.465280000000003</v>
      </c>
    </row>
    <row r="40" spans="1:9" x14ac:dyDescent="0.3">
      <c r="A40" s="6" t="s">
        <v>25</v>
      </c>
      <c r="B40" s="15">
        <f t="shared" si="0"/>
        <v>2.5954094976076553E-2</v>
      </c>
      <c r="C40" s="26">
        <v>1</v>
      </c>
      <c r="D40" s="20">
        <v>744</v>
      </c>
      <c r="E40" s="15">
        <f t="shared" si="1"/>
        <v>1</v>
      </c>
      <c r="F40" s="16">
        <f t="shared" si="2"/>
        <v>19.309846662200957</v>
      </c>
      <c r="G40" s="16">
        <f t="shared" si="3"/>
        <v>0.96323913521330651</v>
      </c>
      <c r="H40" s="16">
        <f t="shared" si="4"/>
        <v>1.0013834049677535</v>
      </c>
      <c r="I40" s="17">
        <f t="shared" si="5"/>
        <v>19.336560000000002</v>
      </c>
    </row>
    <row r="41" spans="1:9" x14ac:dyDescent="0.3">
      <c r="A41" s="6" t="s">
        <v>28</v>
      </c>
      <c r="B41" s="15">
        <f t="shared" si="0"/>
        <v>2.5954094976076553E-2</v>
      </c>
      <c r="C41" s="26">
        <v>1</v>
      </c>
      <c r="D41" s="20">
        <v>720</v>
      </c>
      <c r="E41" s="15">
        <f t="shared" si="1"/>
        <v>1</v>
      </c>
      <c r="F41" s="16">
        <f t="shared" si="2"/>
        <v>18.686948382775117</v>
      </c>
      <c r="G41" s="16">
        <f t="shared" si="3"/>
        <v>0.96323913521330651</v>
      </c>
      <c r="H41" s="16">
        <f t="shared" si="4"/>
        <v>1.0013834049677535</v>
      </c>
      <c r="I41" s="17">
        <f t="shared" si="5"/>
        <v>18.712800000000001</v>
      </c>
    </row>
    <row r="42" spans="1:9" x14ac:dyDescent="0.3">
      <c r="A42" s="6" t="s">
        <v>30</v>
      </c>
      <c r="B42" s="15">
        <f t="shared" si="0"/>
        <v>2.5954094976076553E-2</v>
      </c>
      <c r="C42" s="26">
        <v>1</v>
      </c>
      <c r="D42" s="20">
        <v>744</v>
      </c>
      <c r="E42" s="15">
        <f t="shared" si="1"/>
        <v>1</v>
      </c>
      <c r="F42" s="16">
        <f t="shared" si="2"/>
        <v>19.309846662200957</v>
      </c>
      <c r="G42" s="16">
        <f t="shared" si="3"/>
        <v>0.96323913521330651</v>
      </c>
      <c r="H42" s="16">
        <f t="shared" si="4"/>
        <v>1.0013834049677535</v>
      </c>
      <c r="I42" s="17">
        <f t="shared" si="5"/>
        <v>19.336560000000002</v>
      </c>
    </row>
    <row r="43" spans="1:9" x14ac:dyDescent="0.3">
      <c r="A43" s="6" t="s">
        <v>33</v>
      </c>
      <c r="B43" s="15">
        <f t="shared" si="0"/>
        <v>2.5954094976076553E-2</v>
      </c>
      <c r="C43" s="26">
        <v>1</v>
      </c>
      <c r="D43" s="20">
        <v>720</v>
      </c>
      <c r="E43" s="15">
        <f t="shared" si="1"/>
        <v>1</v>
      </c>
      <c r="F43" s="16">
        <f t="shared" si="2"/>
        <v>18.686948382775117</v>
      </c>
      <c r="G43" s="16">
        <f t="shared" si="3"/>
        <v>0.96323913521330651</v>
      </c>
      <c r="H43" s="16">
        <f t="shared" si="4"/>
        <v>1.0013834049677535</v>
      </c>
      <c r="I43" s="17">
        <f>F43*H43</f>
        <v>18.712800000000001</v>
      </c>
    </row>
    <row r="44" spans="1:9" x14ac:dyDescent="0.3">
      <c r="A44" s="6" t="s">
        <v>36</v>
      </c>
      <c r="B44" s="15">
        <f t="shared" si="0"/>
        <v>2.5954094976076553E-2</v>
      </c>
      <c r="C44" s="26">
        <v>1</v>
      </c>
      <c r="D44" s="20">
        <v>744</v>
      </c>
      <c r="E44" s="15">
        <f t="shared" si="1"/>
        <v>1</v>
      </c>
      <c r="F44" s="16">
        <f t="shared" si="2"/>
        <v>19.309846662200957</v>
      </c>
      <c r="G44" s="16">
        <f t="shared" si="3"/>
        <v>0.96323913521330651</v>
      </c>
      <c r="H44" s="16">
        <f t="shared" si="4"/>
        <v>1.0013834049677535</v>
      </c>
      <c r="I44" s="17">
        <f t="shared" si="5"/>
        <v>19.336560000000002</v>
      </c>
    </row>
    <row r="45" spans="1:9" x14ac:dyDescent="0.3">
      <c r="A45" s="6" t="s">
        <v>38</v>
      </c>
      <c r="B45" s="15">
        <f t="shared" si="0"/>
        <v>2.5954094976076553E-2</v>
      </c>
      <c r="C45" s="26">
        <v>1</v>
      </c>
      <c r="D45" s="20">
        <v>744</v>
      </c>
      <c r="E45" s="15">
        <f t="shared" si="1"/>
        <v>1</v>
      </c>
      <c r="F45" s="16">
        <f t="shared" si="2"/>
        <v>19.309846662200957</v>
      </c>
      <c r="G45" s="16">
        <f t="shared" si="3"/>
        <v>0.96323913521330651</v>
      </c>
      <c r="H45" s="16">
        <f t="shared" si="4"/>
        <v>1.0013834049677535</v>
      </c>
      <c r="I45" s="17">
        <f t="shared" si="5"/>
        <v>19.336560000000002</v>
      </c>
    </row>
    <row r="46" spans="1:9" x14ac:dyDescent="0.3">
      <c r="A46" s="6" t="s">
        <v>39</v>
      </c>
      <c r="B46" s="15">
        <f t="shared" si="0"/>
        <v>2.5954094976076553E-2</v>
      </c>
      <c r="C46" s="26">
        <v>1</v>
      </c>
      <c r="D46" s="20">
        <v>720</v>
      </c>
      <c r="E46" s="15">
        <f t="shared" si="1"/>
        <v>1</v>
      </c>
      <c r="F46" s="16">
        <f t="shared" si="2"/>
        <v>18.686948382775117</v>
      </c>
      <c r="G46" s="16">
        <f t="shared" si="3"/>
        <v>0.96323913521330651</v>
      </c>
      <c r="H46" s="16">
        <f t="shared" si="4"/>
        <v>1.0013834049677535</v>
      </c>
      <c r="I46" s="17">
        <f t="shared" si="5"/>
        <v>18.712800000000001</v>
      </c>
    </row>
    <row r="47" spans="1:9" x14ac:dyDescent="0.3">
      <c r="A47" s="6" t="s">
        <v>41</v>
      </c>
      <c r="B47" s="15">
        <f t="shared" si="0"/>
        <v>2.5954094976076553E-2</v>
      </c>
      <c r="C47" s="26">
        <v>1</v>
      </c>
      <c r="D47" s="20">
        <v>744</v>
      </c>
      <c r="E47" s="15">
        <f t="shared" si="1"/>
        <v>1</v>
      </c>
      <c r="F47" s="16">
        <f t="shared" si="2"/>
        <v>19.309846662200957</v>
      </c>
      <c r="G47" s="16">
        <f t="shared" si="3"/>
        <v>0.96323913521330651</v>
      </c>
      <c r="H47" s="16">
        <f t="shared" si="4"/>
        <v>1.0013834049677535</v>
      </c>
      <c r="I47" s="17">
        <f t="shared" si="5"/>
        <v>19.336560000000002</v>
      </c>
    </row>
    <row r="48" spans="1:9" x14ac:dyDescent="0.3">
      <c r="A48" s="6" t="s">
        <v>45</v>
      </c>
      <c r="B48" s="15">
        <f t="shared" si="0"/>
        <v>2.5954094976076553E-2</v>
      </c>
      <c r="C48" s="26">
        <v>1</v>
      </c>
      <c r="D48" s="20">
        <v>720</v>
      </c>
      <c r="E48" s="15">
        <f t="shared" si="1"/>
        <v>1</v>
      </c>
      <c r="F48" s="16">
        <f t="shared" si="2"/>
        <v>18.686948382775117</v>
      </c>
      <c r="G48" s="16">
        <f t="shared" si="3"/>
        <v>0.96323913521330651</v>
      </c>
      <c r="H48" s="16">
        <f t="shared" si="4"/>
        <v>1.0013834049677535</v>
      </c>
      <c r="I48" s="17">
        <f t="shared" si="5"/>
        <v>18.712800000000001</v>
      </c>
    </row>
    <row r="49" spans="1:9" x14ac:dyDescent="0.3">
      <c r="A49" s="6" t="s">
        <v>49</v>
      </c>
      <c r="B49" s="15">
        <f t="shared" si="0"/>
        <v>2.5954094976076553E-2</v>
      </c>
      <c r="C49" s="26">
        <v>1</v>
      </c>
      <c r="D49" s="20">
        <v>744</v>
      </c>
      <c r="E49" s="15">
        <f t="shared" si="1"/>
        <v>1</v>
      </c>
      <c r="F49" s="16">
        <f t="shared" si="2"/>
        <v>19.309846662200957</v>
      </c>
      <c r="G49" s="16">
        <f t="shared" si="3"/>
        <v>0.96323913521330651</v>
      </c>
      <c r="H49" s="16">
        <f t="shared" si="4"/>
        <v>1.0013834049677535</v>
      </c>
      <c r="I49" s="17">
        <f t="shared" si="5"/>
        <v>19.336560000000002</v>
      </c>
    </row>
    <row r="50" spans="1:9" x14ac:dyDescent="0.3">
      <c r="E50" s="33"/>
      <c r="I50" s="37">
        <f>SUM(I38:I49)</f>
        <v>227.67239999999995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VYK-Cerpadla</vt:lpstr>
      <vt:lpstr>TV-Cerpadla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Krajčík</dc:creator>
  <cp:lastModifiedBy>Karolína Gábrišová</cp:lastModifiedBy>
  <dcterms:created xsi:type="dcterms:W3CDTF">2023-09-28T12:41:00Z</dcterms:created>
  <dcterms:modified xsi:type="dcterms:W3CDTF">2025-10-17T10:47:46Z</dcterms:modified>
</cp:coreProperties>
</file>