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tubask-my.sharepoint.com/personal/karolina_gabrisova_stuba_sk/Documents/01_Škola/01_PhD/2. ročník 2025-2026/01_Výučba/KaGa - EACB 2025/03 Zadanie 3/TZB/"/>
    </mc:Choice>
  </mc:AlternateContent>
  <xr:revisionPtr revIDLastSave="13" documentId="11_9BCBD67A967AF98F0F5868388A359884D5CF3CF1" xr6:coauthVersionLast="47" xr6:coauthVersionMax="47" xr10:uidLastSave="{7CD9A13A-0206-49F5-80A8-16C8D2EBD0AD}"/>
  <bookViews>
    <workbookView xWindow="-108" yWindow="-108" windowWidth="23256" windowHeight="12456" tabRatio="818" firstSheet="14" activeTab="16" xr2:uid="{00000000-000D-0000-FFFF-FFFF00000000}"/>
  </bookViews>
  <sheets>
    <sheet name="VstupneUdaje" sheetId="1" state="hidden" r:id="rId1"/>
    <sheet name="Dennostupne" sheetId="6" state="hidden" r:id="rId2"/>
    <sheet name="Hárok7" sheetId="7" state="hidden" r:id="rId3"/>
    <sheet name="Konstrukcie" sheetId="5" state="hidden" r:id="rId4"/>
    <sheet name="Konstrukcie nové" sheetId="23" state="hidden" r:id="rId5"/>
    <sheet name="PodlahaTeren" sheetId="10" state="hidden" r:id="rId6"/>
    <sheet name="OtvoroveKonstrukcie" sheetId="4" state="hidden" r:id="rId7"/>
    <sheet name="KonstrukcieSUM" sheetId="9" state="hidden" r:id="rId8"/>
    <sheet name="OtvoroveKonstrukcie nové" sheetId="24" state="hidden" r:id="rId9"/>
    <sheet name="TepelneStraty" sheetId="3" state="hidden" r:id="rId10"/>
    <sheet name="PotrebaTeplaVyk nové" sheetId="25" state="hidden" r:id="rId11"/>
    <sheet name="PotrebaTeplaVyk 3 roky_STENY" sheetId="34" state="hidden" r:id="rId12"/>
    <sheet name="PotrebaTeplaVyk 3 roky_STRECHA" sheetId="35" state="hidden" r:id="rId13"/>
    <sheet name="PotrebaTeplaVyk 3 roky_OKNA" sheetId="36" state="hidden" r:id="rId14"/>
    <sheet name="VYK_bilancia" sheetId="40" r:id="rId15"/>
    <sheet name="TV_bilancia" sheetId="47" r:id="rId16"/>
    <sheet name="osvetlenie" sheetId="48" r:id="rId17"/>
    <sheet name="TV-Solar_Vstupy" sheetId="19" state="hidden" r:id="rId18"/>
    <sheet name="PotrebEnergieVYK 2018" sheetId="16" state="hidden" r:id="rId19"/>
    <sheet name="PotrebEnergieVYK 2017" sheetId="32" state="hidden" r:id="rId20"/>
    <sheet name="PotrebEnergieVYK 2016" sheetId="33" state="hidden" r:id="rId21"/>
    <sheet name="PotrebaEnergieTV" sheetId="17" state="hidden" r:id="rId22"/>
  </sheets>
  <externalReferences>
    <externalReference r:id="rId23"/>
    <externalReference r:id="rId24"/>
  </externalReferences>
  <definedNames>
    <definedName name="konštrukcie">[1]zoznamy!$A$3:$A$10</definedName>
    <definedName name="materialy">[1]zoznamy!$F$3:$F$65541</definedName>
    <definedName name="odpory">[1]zoznamy!$C$3:$C$6</definedName>
    <definedName name="systém">[1]zoznamy!$AB$2:$AB$3</definedName>
  </definedNames>
  <calcPr calcId="191029" iterate="1" iterateCount="200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8" l="1"/>
  <c r="F14" i="48"/>
  <c r="E14" i="48"/>
  <c r="G14" i="48" s="1"/>
  <c r="F13" i="48"/>
  <c r="E13" i="48"/>
  <c r="G13" i="48" s="1"/>
  <c r="F12" i="48"/>
  <c r="E12" i="48"/>
  <c r="G12" i="48" s="1"/>
  <c r="F11" i="48"/>
  <c r="E11" i="48"/>
  <c r="G11" i="48" s="1"/>
  <c r="F10" i="48"/>
  <c r="E10" i="48"/>
  <c r="G10" i="48" s="1"/>
  <c r="F9" i="48"/>
  <c r="E9" i="48"/>
  <c r="G9" i="48" s="1"/>
  <c r="F8" i="48"/>
  <c r="E8" i="48"/>
  <c r="E15" i="48" s="1"/>
  <c r="G8" i="48" l="1"/>
  <c r="G15" i="48" s="1"/>
  <c r="N6" i="47" l="1"/>
  <c r="N7" i="47"/>
  <c r="N8" i="47"/>
  <c r="N9" i="47"/>
  <c r="N10" i="47"/>
  <c r="N11" i="47"/>
  <c r="N12" i="47"/>
  <c r="N13" i="47"/>
  <c r="N14" i="47"/>
  <c r="N15" i="47"/>
  <c r="N16" i="47"/>
  <c r="N5" i="47"/>
  <c r="L17" i="47"/>
  <c r="K17" i="47"/>
  <c r="N17" i="47" s="1"/>
  <c r="L6" i="40"/>
  <c r="L7" i="40"/>
  <c r="L8" i="40"/>
  <c r="L9" i="40"/>
  <c r="L10" i="40"/>
  <c r="L11" i="40"/>
  <c r="L12" i="40"/>
  <c r="L13" i="40"/>
  <c r="L14" i="40"/>
  <c r="L15" i="40"/>
  <c r="L16" i="40"/>
  <c r="L5" i="40"/>
  <c r="B80" i="19" l="1"/>
  <c r="C79" i="19"/>
  <c r="B79" i="19"/>
  <c r="C78" i="19"/>
  <c r="B78" i="19"/>
  <c r="C77" i="19"/>
  <c r="B77" i="19"/>
  <c r="C76" i="19"/>
  <c r="B76" i="19"/>
  <c r="C75" i="19"/>
  <c r="B75" i="19"/>
  <c r="C74" i="19"/>
  <c r="B74" i="19"/>
  <c r="C73" i="19"/>
  <c r="B73" i="19"/>
  <c r="C72" i="19"/>
  <c r="B72" i="19"/>
  <c r="C71" i="19"/>
  <c r="B71" i="19"/>
  <c r="C70" i="19"/>
  <c r="B70" i="19"/>
  <c r="C69" i="19"/>
  <c r="B69" i="19"/>
  <c r="D68" i="19"/>
  <c r="C68" i="19"/>
  <c r="B68" i="19"/>
  <c r="C67" i="19"/>
  <c r="B67" i="19"/>
  <c r="B66" i="19"/>
  <c r="B65" i="19"/>
  <c r="B63" i="19"/>
  <c r="R18" i="19"/>
  <c r="J18" i="19"/>
  <c r="N18" i="19" s="1"/>
  <c r="R17" i="19"/>
  <c r="J17" i="19"/>
  <c r="N17" i="19" s="1"/>
  <c r="R16" i="19"/>
  <c r="J16" i="19"/>
  <c r="S16" i="19" s="1"/>
  <c r="U16" i="19" s="1"/>
  <c r="R15" i="19"/>
  <c r="J15" i="19"/>
  <c r="R14" i="19"/>
  <c r="J14" i="19"/>
  <c r="N14" i="19" s="1"/>
  <c r="R13" i="19"/>
  <c r="J13" i="19"/>
  <c r="S13" i="19" s="1"/>
  <c r="R12" i="19"/>
  <c r="J12" i="19"/>
  <c r="S12" i="19" s="1"/>
  <c r="R11" i="19"/>
  <c r="J11" i="19"/>
  <c r="N11" i="19" s="1"/>
  <c r="R10" i="19"/>
  <c r="J10" i="19"/>
  <c r="S10" i="19" s="1"/>
  <c r="R9" i="19"/>
  <c r="J9" i="19"/>
  <c r="S9" i="19" s="1"/>
  <c r="R8" i="19"/>
  <c r="J8" i="19"/>
  <c r="S8" i="19" s="1"/>
  <c r="R7" i="19"/>
  <c r="J7" i="19"/>
  <c r="N7" i="19" s="1"/>
  <c r="K54" i="17"/>
  <c r="K37" i="17" s="1"/>
  <c r="K53" i="17"/>
  <c r="K46" i="17"/>
  <c r="K45" i="17"/>
  <c r="K33" i="17"/>
  <c r="K29" i="17" s="1"/>
  <c r="K32" i="17"/>
  <c r="K28" i="17" s="1"/>
  <c r="K21" i="17"/>
  <c r="K20" i="17"/>
  <c r="K14" i="17"/>
  <c r="K49" i="17" s="1"/>
  <c r="K9" i="17"/>
  <c r="K7" i="17"/>
  <c r="C6" i="17"/>
  <c r="K8" i="33"/>
  <c r="K7" i="33"/>
  <c r="K6" i="33"/>
  <c r="K5" i="33"/>
  <c r="K4" i="33"/>
  <c r="K3" i="33"/>
  <c r="K8" i="32"/>
  <c r="K7" i="32"/>
  <c r="K6" i="32"/>
  <c r="K5" i="32"/>
  <c r="K4" i="32"/>
  <c r="K3" i="32"/>
  <c r="K8" i="16"/>
  <c r="K7" i="16"/>
  <c r="K6" i="16"/>
  <c r="C6" i="16"/>
  <c r="K4" i="16"/>
  <c r="K3" i="16"/>
  <c r="Q118" i="36"/>
  <c r="P118" i="36"/>
  <c r="O118" i="36"/>
  <c r="N118" i="36"/>
  <c r="M118" i="36"/>
  <c r="Q114" i="36"/>
  <c r="P114" i="36"/>
  <c r="O114" i="36"/>
  <c r="N114" i="36"/>
  <c r="M114" i="36"/>
  <c r="Q113" i="36"/>
  <c r="P113" i="36"/>
  <c r="O113" i="36"/>
  <c r="N113" i="36"/>
  <c r="M113" i="36"/>
  <c r="Z78" i="36"/>
  <c r="Y78" i="36"/>
  <c r="AA77" i="36"/>
  <c r="AA76" i="36"/>
  <c r="Z64" i="36" s="1"/>
  <c r="AB64" i="36" s="1"/>
  <c r="AA75" i="36"/>
  <c r="Z63" i="36" s="1"/>
  <c r="AB63" i="36" s="1"/>
  <c r="AA74" i="36"/>
  <c r="Z62" i="36" s="1"/>
  <c r="AB62" i="36" s="1"/>
  <c r="AA73" i="36"/>
  <c r="Z61" i="36" s="1"/>
  <c r="AB61" i="36" s="1"/>
  <c r="U73" i="36"/>
  <c r="V73" i="36" s="1"/>
  <c r="P73" i="36"/>
  <c r="O73" i="36"/>
  <c r="K73" i="36"/>
  <c r="J73" i="36"/>
  <c r="AA72" i="36"/>
  <c r="Z60" i="36" s="1"/>
  <c r="AB60" i="36" s="1"/>
  <c r="P72" i="36"/>
  <c r="K72" i="36"/>
  <c r="J72" i="36"/>
  <c r="AA71" i="36"/>
  <c r="Z59" i="36" s="1"/>
  <c r="AB59" i="36" s="1"/>
  <c r="P71" i="36"/>
  <c r="K71" i="36"/>
  <c r="J71" i="36"/>
  <c r="AA70" i="36"/>
  <c r="Z58" i="36" s="1"/>
  <c r="P70" i="36"/>
  <c r="K70" i="36"/>
  <c r="J70" i="36"/>
  <c r="AA69" i="36"/>
  <c r="P69" i="36"/>
  <c r="K69" i="36"/>
  <c r="J69" i="36"/>
  <c r="P68" i="36"/>
  <c r="K68" i="36"/>
  <c r="J68" i="36"/>
  <c r="P67" i="36"/>
  <c r="K67" i="36"/>
  <c r="J67" i="36"/>
  <c r="P66" i="36"/>
  <c r="K66" i="36"/>
  <c r="J66" i="36"/>
  <c r="X65" i="36"/>
  <c r="P65" i="36"/>
  <c r="K65" i="36"/>
  <c r="J65" i="36"/>
  <c r="AH64" i="36"/>
  <c r="AF64" i="36"/>
  <c r="Y64" i="36"/>
  <c r="AE64" i="36" s="1"/>
  <c r="P64" i="36"/>
  <c r="K64" i="36"/>
  <c r="J64" i="36"/>
  <c r="AH63" i="36"/>
  <c r="AF63" i="36"/>
  <c r="Y63" i="36"/>
  <c r="AE63" i="36" s="1"/>
  <c r="P63" i="36"/>
  <c r="K63" i="36"/>
  <c r="J63" i="36"/>
  <c r="AH62" i="36"/>
  <c r="AF62" i="36"/>
  <c r="AE62" i="36"/>
  <c r="P62" i="36"/>
  <c r="K62" i="36"/>
  <c r="J62" i="36"/>
  <c r="AF61" i="36"/>
  <c r="AE61" i="36"/>
  <c r="P61" i="36"/>
  <c r="K61" i="36"/>
  <c r="J61" i="36"/>
  <c r="AF60" i="36"/>
  <c r="AE60" i="36"/>
  <c r="P60" i="36"/>
  <c r="K60" i="36"/>
  <c r="J60" i="36"/>
  <c r="AH59" i="36"/>
  <c r="AF59" i="36"/>
  <c r="Y59" i="36"/>
  <c r="AE59" i="36" s="1"/>
  <c r="AH58" i="36"/>
  <c r="AH65" i="36" s="1"/>
  <c r="AF58" i="36"/>
  <c r="Y58" i="36"/>
  <c r="AE58" i="36" s="1"/>
  <c r="P57" i="36"/>
  <c r="K57" i="36"/>
  <c r="J57" i="36"/>
  <c r="P56" i="36"/>
  <c r="K56" i="36"/>
  <c r="J56" i="36"/>
  <c r="P55" i="36"/>
  <c r="K55" i="36"/>
  <c r="J55" i="36"/>
  <c r="P54" i="36"/>
  <c r="K54" i="36"/>
  <c r="J54" i="36"/>
  <c r="P53" i="36"/>
  <c r="K53" i="36"/>
  <c r="J53" i="36"/>
  <c r="P52" i="36"/>
  <c r="K52" i="36"/>
  <c r="J52" i="36"/>
  <c r="Z51" i="36"/>
  <c r="Y51" i="36"/>
  <c r="P51" i="36"/>
  <c r="K51" i="36"/>
  <c r="J51" i="36"/>
  <c r="AA50" i="36"/>
  <c r="P50" i="36"/>
  <c r="K50" i="36"/>
  <c r="J50" i="36"/>
  <c r="AA49" i="36"/>
  <c r="Z37" i="36" s="1"/>
  <c r="AB37" i="36" s="1"/>
  <c r="P49" i="36"/>
  <c r="K49" i="36"/>
  <c r="J49" i="36"/>
  <c r="AA48" i="36"/>
  <c r="P48" i="36"/>
  <c r="K48" i="36"/>
  <c r="J48" i="36"/>
  <c r="AA47" i="36"/>
  <c r="P47" i="36"/>
  <c r="K47" i="36"/>
  <c r="J47" i="36"/>
  <c r="AA46" i="36"/>
  <c r="Z34" i="36" s="1"/>
  <c r="AB34" i="36" s="1"/>
  <c r="P46" i="36"/>
  <c r="K46" i="36"/>
  <c r="J46" i="36"/>
  <c r="AA45" i="36"/>
  <c r="Z33" i="36" s="1"/>
  <c r="AB33" i="36" s="1"/>
  <c r="P45" i="36"/>
  <c r="K45" i="36"/>
  <c r="J45" i="36"/>
  <c r="AA44" i="36"/>
  <c r="Z32" i="36" s="1"/>
  <c r="AB32" i="36" s="1"/>
  <c r="P44" i="36"/>
  <c r="K44" i="36"/>
  <c r="J44" i="36"/>
  <c r="AA43" i="36"/>
  <c r="Z31" i="36" s="1"/>
  <c r="AB31" i="36" s="1"/>
  <c r="P43" i="36"/>
  <c r="K43" i="36"/>
  <c r="J43" i="36"/>
  <c r="AA42" i="36"/>
  <c r="P42" i="36"/>
  <c r="K42" i="36"/>
  <c r="J42" i="36"/>
  <c r="P41" i="36"/>
  <c r="K41" i="36"/>
  <c r="J41" i="36"/>
  <c r="P40" i="36"/>
  <c r="K40" i="36"/>
  <c r="J40" i="36"/>
  <c r="P39" i="36"/>
  <c r="K39" i="36"/>
  <c r="J39" i="36"/>
  <c r="X38" i="36"/>
  <c r="P38" i="36"/>
  <c r="K38" i="36"/>
  <c r="J38" i="36"/>
  <c r="AH37" i="36"/>
  <c r="AF37" i="36"/>
  <c r="Y37" i="36"/>
  <c r="AE37" i="36" s="1"/>
  <c r="P37" i="36"/>
  <c r="K37" i="36"/>
  <c r="J37" i="36"/>
  <c r="AF36" i="36"/>
  <c r="Y36" i="36"/>
  <c r="AE36" i="36" s="1"/>
  <c r="P36" i="36"/>
  <c r="K36" i="36"/>
  <c r="J36" i="36"/>
  <c r="AH35" i="36"/>
  <c r="AF35" i="36"/>
  <c r="AE35" i="36"/>
  <c r="Z35" i="36"/>
  <c r="AB35" i="36" s="1"/>
  <c r="P35" i="36"/>
  <c r="K35" i="36"/>
  <c r="J35" i="36"/>
  <c r="AF34" i="36"/>
  <c r="AE34" i="36"/>
  <c r="P34" i="36"/>
  <c r="K34" i="36"/>
  <c r="J34" i="36"/>
  <c r="AH33" i="36"/>
  <c r="AF33" i="36"/>
  <c r="AE33" i="36"/>
  <c r="P33" i="36"/>
  <c r="K33" i="36"/>
  <c r="J33" i="36"/>
  <c r="AH32" i="36"/>
  <c r="AF32" i="36"/>
  <c r="Y32" i="36"/>
  <c r="P32" i="36"/>
  <c r="K32" i="36"/>
  <c r="J32" i="36"/>
  <c r="AH31" i="36"/>
  <c r="AH38" i="36" s="1"/>
  <c r="AF31" i="36"/>
  <c r="AE31" i="36"/>
  <c r="P31" i="36"/>
  <c r="K31" i="36"/>
  <c r="J31" i="36"/>
  <c r="P30" i="36"/>
  <c r="K30" i="36"/>
  <c r="J30" i="36"/>
  <c r="P29" i="36"/>
  <c r="K29" i="36"/>
  <c r="J29" i="36"/>
  <c r="P28" i="36"/>
  <c r="K28" i="36"/>
  <c r="J28" i="36"/>
  <c r="P27" i="36"/>
  <c r="K27" i="36"/>
  <c r="J27" i="36"/>
  <c r="P26" i="36"/>
  <c r="K26" i="36"/>
  <c r="J26" i="36"/>
  <c r="P25" i="36"/>
  <c r="K25" i="36"/>
  <c r="J25" i="36"/>
  <c r="Z24" i="36"/>
  <c r="Y24" i="36"/>
  <c r="P24" i="36"/>
  <c r="K24" i="36"/>
  <c r="J24" i="36"/>
  <c r="AA23" i="36"/>
  <c r="P23" i="36"/>
  <c r="K23" i="36"/>
  <c r="J23" i="36"/>
  <c r="AA22" i="36"/>
  <c r="Z10" i="36" s="1"/>
  <c r="AB10" i="36" s="1"/>
  <c r="P22" i="36"/>
  <c r="K22" i="36"/>
  <c r="J22" i="36"/>
  <c r="AA21" i="36"/>
  <c r="Z9" i="36" s="1"/>
  <c r="AB9" i="36" s="1"/>
  <c r="AA20" i="36"/>
  <c r="Z8" i="36" s="1"/>
  <c r="AB8" i="36" s="1"/>
  <c r="P20" i="36"/>
  <c r="O20" i="36"/>
  <c r="K20" i="36"/>
  <c r="J20" i="36"/>
  <c r="AA19" i="36"/>
  <c r="Z7" i="36" s="1"/>
  <c r="AB7" i="36" s="1"/>
  <c r="P19" i="36"/>
  <c r="O19" i="36"/>
  <c r="K19" i="36"/>
  <c r="J19" i="36"/>
  <c r="F19" i="36"/>
  <c r="F24" i="36" s="1"/>
  <c r="E19" i="36"/>
  <c r="E24" i="36" s="1"/>
  <c r="D19" i="36"/>
  <c r="D24" i="36" s="1"/>
  <c r="AA18" i="36"/>
  <c r="Z6" i="36" s="1"/>
  <c r="AB6" i="36" s="1"/>
  <c r="P18" i="36"/>
  <c r="O18" i="36"/>
  <c r="K18" i="36"/>
  <c r="J18" i="36"/>
  <c r="AA17" i="36"/>
  <c r="Z5" i="36" s="1"/>
  <c r="AB5" i="36" s="1"/>
  <c r="Q17" i="36"/>
  <c r="S17" i="36" s="1"/>
  <c r="AA16" i="36"/>
  <c r="Z4" i="36" s="1"/>
  <c r="AB4" i="36" s="1"/>
  <c r="P16" i="36"/>
  <c r="O16" i="36"/>
  <c r="K16" i="36"/>
  <c r="J16" i="36"/>
  <c r="AA15" i="36"/>
  <c r="P15" i="36"/>
  <c r="O15" i="36"/>
  <c r="K15" i="36"/>
  <c r="J15" i="36"/>
  <c r="P14" i="36"/>
  <c r="O14" i="36"/>
  <c r="K14" i="36"/>
  <c r="J14" i="36"/>
  <c r="P13" i="36"/>
  <c r="O13" i="36"/>
  <c r="Q13" i="36" s="1"/>
  <c r="S13" i="36" s="1"/>
  <c r="K13" i="36"/>
  <c r="J13" i="36"/>
  <c r="O12" i="36"/>
  <c r="K12" i="36"/>
  <c r="J12" i="36"/>
  <c r="X11" i="36"/>
  <c r="O11" i="36"/>
  <c r="K11" i="36"/>
  <c r="J11" i="36"/>
  <c r="AH10" i="36"/>
  <c r="AF10" i="36"/>
  <c r="Y10" i="36"/>
  <c r="D10" i="36"/>
  <c r="AH9" i="36"/>
  <c r="AF9" i="36"/>
  <c r="Y9" i="36"/>
  <c r="AE9" i="36" s="1"/>
  <c r="O9" i="36"/>
  <c r="K9" i="36"/>
  <c r="J9" i="36"/>
  <c r="AH8" i="36"/>
  <c r="AF8" i="36"/>
  <c r="AE8" i="36"/>
  <c r="O8" i="36"/>
  <c r="K8" i="36"/>
  <c r="J8" i="36"/>
  <c r="AH7" i="36"/>
  <c r="AF7" i="36"/>
  <c r="AE7" i="36"/>
  <c r="O7" i="36"/>
  <c r="K7" i="36"/>
  <c r="J7" i="36"/>
  <c r="AH6" i="36"/>
  <c r="AF6" i="36"/>
  <c r="AE6" i="36"/>
  <c r="AH5" i="36"/>
  <c r="AF5" i="36"/>
  <c r="Y5" i="36"/>
  <c r="AE5" i="36" s="1"/>
  <c r="AH4" i="36"/>
  <c r="AH11" i="36" s="1"/>
  <c r="AF4" i="36"/>
  <c r="Y4" i="36"/>
  <c r="Q118" i="35"/>
  <c r="P118" i="35"/>
  <c r="O118" i="35"/>
  <c r="N118" i="35"/>
  <c r="M118" i="35"/>
  <c r="Q114" i="35"/>
  <c r="P114" i="35"/>
  <c r="O114" i="35"/>
  <c r="N114" i="35"/>
  <c r="M114" i="35"/>
  <c r="Q113" i="35"/>
  <c r="P113" i="35"/>
  <c r="O113" i="35"/>
  <c r="N113" i="35"/>
  <c r="M113" i="35"/>
  <c r="Z78" i="35"/>
  <c r="Y78" i="35"/>
  <c r="AA77" i="35"/>
  <c r="AA76" i="35"/>
  <c r="Z64" i="35" s="1"/>
  <c r="AB64" i="35" s="1"/>
  <c r="AA75" i="35"/>
  <c r="Z63" i="35" s="1"/>
  <c r="AB63" i="35" s="1"/>
  <c r="AA74" i="35"/>
  <c r="Z62" i="35" s="1"/>
  <c r="AB62" i="35" s="1"/>
  <c r="AA73" i="35"/>
  <c r="Z61" i="35" s="1"/>
  <c r="AB61" i="35" s="1"/>
  <c r="U73" i="35"/>
  <c r="V73" i="35" s="1"/>
  <c r="P73" i="35"/>
  <c r="O73" i="35"/>
  <c r="K73" i="35"/>
  <c r="J73" i="35"/>
  <c r="AA72" i="35"/>
  <c r="Z60" i="35" s="1"/>
  <c r="AB60" i="35" s="1"/>
  <c r="P72" i="35"/>
  <c r="K72" i="35"/>
  <c r="J72" i="35"/>
  <c r="AA71" i="35"/>
  <c r="Z59" i="35" s="1"/>
  <c r="AB59" i="35" s="1"/>
  <c r="P71" i="35"/>
  <c r="K71" i="35"/>
  <c r="J71" i="35"/>
  <c r="AA70" i="35"/>
  <c r="Z58" i="35" s="1"/>
  <c r="P70" i="35"/>
  <c r="K70" i="35"/>
  <c r="J70" i="35"/>
  <c r="AA69" i="35"/>
  <c r="P69" i="35"/>
  <c r="K69" i="35"/>
  <c r="J69" i="35"/>
  <c r="P68" i="35"/>
  <c r="K68" i="35"/>
  <c r="J68" i="35"/>
  <c r="P67" i="35"/>
  <c r="K67" i="35"/>
  <c r="J67" i="35"/>
  <c r="P66" i="35"/>
  <c r="K66" i="35"/>
  <c r="J66" i="35"/>
  <c r="X65" i="35"/>
  <c r="P65" i="35"/>
  <c r="K65" i="35"/>
  <c r="J65" i="35"/>
  <c r="AH64" i="35"/>
  <c r="AF64" i="35"/>
  <c r="Y64" i="35"/>
  <c r="AE64" i="35" s="1"/>
  <c r="P64" i="35"/>
  <c r="K64" i="35"/>
  <c r="J64" i="35"/>
  <c r="AH63" i="35"/>
  <c r="AF63" i="35"/>
  <c r="Y63" i="35"/>
  <c r="AE63" i="35" s="1"/>
  <c r="P63" i="35"/>
  <c r="K63" i="35"/>
  <c r="J63" i="35"/>
  <c r="AH62" i="35"/>
  <c r="AF62" i="35"/>
  <c r="AE62" i="35"/>
  <c r="P62" i="35"/>
  <c r="K62" i="35"/>
  <c r="J62" i="35"/>
  <c r="AF61" i="35"/>
  <c r="AE61" i="35"/>
  <c r="P61" i="35"/>
  <c r="K61" i="35"/>
  <c r="J61" i="35"/>
  <c r="AF60" i="35"/>
  <c r="AE60" i="35"/>
  <c r="P60" i="35"/>
  <c r="K60" i="35"/>
  <c r="J60" i="35"/>
  <c r="AH59" i="35"/>
  <c r="AF59" i="35"/>
  <c r="Y59" i="35"/>
  <c r="AE59" i="35" s="1"/>
  <c r="AH58" i="35"/>
  <c r="AH65" i="35" s="1"/>
  <c r="AF58" i="35"/>
  <c r="Y58" i="35"/>
  <c r="K57" i="35"/>
  <c r="J57" i="35"/>
  <c r="K56" i="35"/>
  <c r="J56" i="35"/>
  <c r="P55" i="35"/>
  <c r="K55" i="35"/>
  <c r="J55" i="35"/>
  <c r="P54" i="35"/>
  <c r="K54" i="35"/>
  <c r="J54" i="35"/>
  <c r="P53" i="35"/>
  <c r="K53" i="35"/>
  <c r="J53" i="35"/>
  <c r="P52" i="35"/>
  <c r="K52" i="35"/>
  <c r="J52" i="35"/>
  <c r="Z51" i="35"/>
  <c r="Y51" i="35"/>
  <c r="P51" i="35"/>
  <c r="K51" i="35"/>
  <c r="J51" i="35"/>
  <c r="AA50" i="35"/>
  <c r="P50" i="35"/>
  <c r="K50" i="35"/>
  <c r="J50" i="35"/>
  <c r="AA49" i="35"/>
  <c r="Z37" i="35" s="1"/>
  <c r="AB37" i="35" s="1"/>
  <c r="P49" i="35"/>
  <c r="K49" i="35"/>
  <c r="J49" i="35"/>
  <c r="AA48" i="35"/>
  <c r="Z36" i="35" s="1"/>
  <c r="AB36" i="35" s="1"/>
  <c r="P48" i="35"/>
  <c r="K48" i="35"/>
  <c r="J48" i="35"/>
  <c r="AA47" i="35"/>
  <c r="Z35" i="35" s="1"/>
  <c r="AB35" i="35" s="1"/>
  <c r="P47" i="35"/>
  <c r="K47" i="35"/>
  <c r="J47" i="35"/>
  <c r="AA46" i="35"/>
  <c r="Z34" i="35" s="1"/>
  <c r="AB34" i="35" s="1"/>
  <c r="P46" i="35"/>
  <c r="K46" i="35"/>
  <c r="J46" i="35"/>
  <c r="AA45" i="35"/>
  <c r="Z33" i="35" s="1"/>
  <c r="AB33" i="35" s="1"/>
  <c r="P45" i="35"/>
  <c r="K45" i="35"/>
  <c r="J45" i="35"/>
  <c r="AA44" i="35"/>
  <c r="Z32" i="35" s="1"/>
  <c r="AB32" i="35" s="1"/>
  <c r="P44" i="35"/>
  <c r="K44" i="35"/>
  <c r="J44" i="35"/>
  <c r="AA43" i="35"/>
  <c r="Z31" i="35" s="1"/>
  <c r="AB31" i="35" s="1"/>
  <c r="P43" i="35"/>
  <c r="K43" i="35"/>
  <c r="J43" i="35"/>
  <c r="AA42" i="35"/>
  <c r="P42" i="35"/>
  <c r="K42" i="35"/>
  <c r="J42" i="35"/>
  <c r="P41" i="35"/>
  <c r="K41" i="35"/>
  <c r="J41" i="35"/>
  <c r="P40" i="35"/>
  <c r="K40" i="35"/>
  <c r="J40" i="35"/>
  <c r="P39" i="35"/>
  <c r="K39" i="35"/>
  <c r="J39" i="35"/>
  <c r="X38" i="35"/>
  <c r="P38" i="35"/>
  <c r="K38" i="35"/>
  <c r="J38" i="35"/>
  <c r="AH37" i="35"/>
  <c r="AF37" i="35"/>
  <c r="Y37" i="35"/>
  <c r="AE37" i="35" s="1"/>
  <c r="P37" i="35"/>
  <c r="K37" i="35"/>
  <c r="J37" i="35"/>
  <c r="AF36" i="35"/>
  <c r="Y36" i="35"/>
  <c r="AE36" i="35" s="1"/>
  <c r="P36" i="35"/>
  <c r="K36" i="35"/>
  <c r="J36" i="35"/>
  <c r="AH35" i="35"/>
  <c r="AF35" i="35"/>
  <c r="AE35" i="35"/>
  <c r="AG35" i="35" s="1"/>
  <c r="P35" i="35"/>
  <c r="K35" i="35"/>
  <c r="J35" i="35"/>
  <c r="AF34" i="35"/>
  <c r="AE34" i="35"/>
  <c r="P34" i="35"/>
  <c r="K34" i="35"/>
  <c r="J34" i="35"/>
  <c r="AH33" i="35"/>
  <c r="AF33" i="35"/>
  <c r="AE33" i="35"/>
  <c r="P33" i="35"/>
  <c r="K33" i="35"/>
  <c r="J33" i="35"/>
  <c r="AH32" i="35"/>
  <c r="AF32" i="35"/>
  <c r="Y32" i="35"/>
  <c r="AE32" i="35" s="1"/>
  <c r="P32" i="35"/>
  <c r="K32" i="35"/>
  <c r="J32" i="35"/>
  <c r="AH31" i="35"/>
  <c r="AH38" i="35" s="1"/>
  <c r="AF31" i="35"/>
  <c r="AE31" i="35"/>
  <c r="AG31" i="35" s="1"/>
  <c r="P31" i="35"/>
  <c r="K31" i="35"/>
  <c r="J31" i="35"/>
  <c r="P30" i="35"/>
  <c r="K30" i="35"/>
  <c r="J30" i="35"/>
  <c r="P29" i="35"/>
  <c r="K29" i="35"/>
  <c r="J29" i="35"/>
  <c r="P28" i="35"/>
  <c r="K28" i="35"/>
  <c r="J28" i="35"/>
  <c r="P27" i="35"/>
  <c r="K27" i="35"/>
  <c r="J27" i="35"/>
  <c r="P26" i="35"/>
  <c r="K26" i="35"/>
  <c r="J26" i="35"/>
  <c r="P25" i="35"/>
  <c r="K25" i="35"/>
  <c r="J25" i="35"/>
  <c r="Z24" i="35"/>
  <c r="Y24" i="35"/>
  <c r="P24" i="35"/>
  <c r="K24" i="35"/>
  <c r="J24" i="35"/>
  <c r="AA23" i="35"/>
  <c r="P23" i="35"/>
  <c r="K23" i="35"/>
  <c r="J23" i="35"/>
  <c r="AA22" i="35"/>
  <c r="Z10" i="35" s="1"/>
  <c r="P22" i="35"/>
  <c r="K22" i="35"/>
  <c r="J22" i="35"/>
  <c r="AA21" i="35"/>
  <c r="AA20" i="35"/>
  <c r="P20" i="35"/>
  <c r="O20" i="35"/>
  <c r="K20" i="35"/>
  <c r="J20" i="35"/>
  <c r="AA19" i="35"/>
  <c r="Z7" i="35" s="1"/>
  <c r="AB7" i="35" s="1"/>
  <c r="P19" i="35"/>
  <c r="O19" i="35"/>
  <c r="K19" i="35"/>
  <c r="J19" i="35"/>
  <c r="F19" i="35"/>
  <c r="F24" i="35" s="1"/>
  <c r="F20" i="35" s="1"/>
  <c r="E19" i="35"/>
  <c r="E24" i="35" s="1"/>
  <c r="E21" i="35" s="1"/>
  <c r="D19" i="35"/>
  <c r="D24" i="35" s="1"/>
  <c r="D21" i="35" s="1"/>
  <c r="AA18" i="35"/>
  <c r="Z6" i="35" s="1"/>
  <c r="AB6" i="35" s="1"/>
  <c r="P18" i="35"/>
  <c r="O18" i="35"/>
  <c r="K18" i="35"/>
  <c r="J18" i="35"/>
  <c r="AA17" i="35"/>
  <c r="Q17" i="35"/>
  <c r="S17" i="35" s="1"/>
  <c r="AA16" i="35"/>
  <c r="Z4" i="35" s="1"/>
  <c r="AB4" i="35" s="1"/>
  <c r="P16" i="35"/>
  <c r="O16" i="35"/>
  <c r="K16" i="35"/>
  <c r="J16" i="35"/>
  <c r="AA15" i="35"/>
  <c r="P15" i="35"/>
  <c r="O15" i="35"/>
  <c r="K15" i="35"/>
  <c r="J15" i="35"/>
  <c r="P14" i="35"/>
  <c r="O14" i="35"/>
  <c r="K14" i="35"/>
  <c r="J14" i="35"/>
  <c r="P13" i="35"/>
  <c r="O13" i="35"/>
  <c r="K13" i="35"/>
  <c r="J13" i="35"/>
  <c r="O12" i="35"/>
  <c r="K12" i="35"/>
  <c r="J12" i="35"/>
  <c r="X11" i="35"/>
  <c r="O11" i="35"/>
  <c r="K11" i="35"/>
  <c r="J11" i="35"/>
  <c r="AH10" i="35"/>
  <c r="AF10" i="35"/>
  <c r="AB10" i="35"/>
  <c r="Y10" i="35"/>
  <c r="D10" i="35"/>
  <c r="AH9" i="35"/>
  <c r="AF9" i="35"/>
  <c r="Z9" i="35"/>
  <c r="AB9" i="35" s="1"/>
  <c r="Y9" i="35"/>
  <c r="AE9" i="35" s="1"/>
  <c r="O9" i="35"/>
  <c r="K9" i="35"/>
  <c r="J9" i="35"/>
  <c r="AH8" i="35"/>
  <c r="AF8" i="35"/>
  <c r="AE8" i="35"/>
  <c r="AG8" i="35" s="1"/>
  <c r="Z8" i="35"/>
  <c r="AB8" i="35" s="1"/>
  <c r="O8" i="35"/>
  <c r="K8" i="35"/>
  <c r="J8" i="35"/>
  <c r="AH7" i="35"/>
  <c r="AF7" i="35"/>
  <c r="AE7" i="35"/>
  <c r="O7" i="35"/>
  <c r="K7" i="35"/>
  <c r="J7" i="35"/>
  <c r="AH6" i="35"/>
  <c r="AF6" i="35"/>
  <c r="AE6" i="35"/>
  <c r="AH5" i="35"/>
  <c r="AF5" i="35"/>
  <c r="Z5" i="35"/>
  <c r="AB5" i="35" s="1"/>
  <c r="Y5" i="35"/>
  <c r="AH4" i="35"/>
  <c r="AH11" i="35" s="1"/>
  <c r="AF4" i="35"/>
  <c r="Y4" i="35"/>
  <c r="AE4" i="35" s="1"/>
  <c r="Q118" i="34"/>
  <c r="P118" i="34"/>
  <c r="O118" i="34"/>
  <c r="N118" i="34"/>
  <c r="M118" i="34"/>
  <c r="Q114" i="34"/>
  <c r="P114" i="34"/>
  <c r="O114" i="34"/>
  <c r="N114" i="34"/>
  <c r="M114" i="34"/>
  <c r="Q113" i="34"/>
  <c r="P113" i="34"/>
  <c r="O113" i="34"/>
  <c r="N113" i="34"/>
  <c r="M113" i="34"/>
  <c r="Z78" i="34"/>
  <c r="Y78" i="34"/>
  <c r="AA77" i="34"/>
  <c r="AA76" i="34"/>
  <c r="Z64" i="34" s="1"/>
  <c r="AB64" i="34" s="1"/>
  <c r="AA75" i="34"/>
  <c r="Z63" i="34" s="1"/>
  <c r="AB63" i="34" s="1"/>
  <c r="AA74" i="34"/>
  <c r="Z62" i="34" s="1"/>
  <c r="AB62" i="34" s="1"/>
  <c r="AA73" i="34"/>
  <c r="Z61" i="34" s="1"/>
  <c r="AB61" i="34" s="1"/>
  <c r="U73" i="34"/>
  <c r="V73" i="34" s="1"/>
  <c r="P73" i="34"/>
  <c r="O73" i="34"/>
  <c r="K73" i="34"/>
  <c r="J73" i="34"/>
  <c r="AA72" i="34"/>
  <c r="Z60" i="34" s="1"/>
  <c r="AB60" i="34" s="1"/>
  <c r="P72" i="34"/>
  <c r="K72" i="34"/>
  <c r="J72" i="34"/>
  <c r="AA71" i="34"/>
  <c r="Z59" i="34" s="1"/>
  <c r="AB59" i="34" s="1"/>
  <c r="P71" i="34"/>
  <c r="K71" i="34"/>
  <c r="J71" i="34"/>
  <c r="AA70" i="34"/>
  <c r="Z58" i="34" s="1"/>
  <c r="AB58" i="34" s="1"/>
  <c r="P70" i="34"/>
  <c r="K70" i="34"/>
  <c r="J70" i="34"/>
  <c r="AA69" i="34"/>
  <c r="P69" i="34"/>
  <c r="K69" i="34"/>
  <c r="J69" i="34"/>
  <c r="P68" i="34"/>
  <c r="K68" i="34"/>
  <c r="J68" i="34"/>
  <c r="P67" i="34"/>
  <c r="K67" i="34"/>
  <c r="J67" i="34"/>
  <c r="P66" i="34"/>
  <c r="K66" i="34"/>
  <c r="J66" i="34"/>
  <c r="X65" i="34"/>
  <c r="P65" i="34"/>
  <c r="K65" i="34"/>
  <c r="J65" i="34"/>
  <c r="AH64" i="34"/>
  <c r="AF64" i="34"/>
  <c r="Y64" i="34"/>
  <c r="AE64" i="34" s="1"/>
  <c r="P64" i="34"/>
  <c r="K64" i="34"/>
  <c r="J64" i="34"/>
  <c r="AH63" i="34"/>
  <c r="AF63" i="34"/>
  <c r="Y63" i="34"/>
  <c r="AE63" i="34" s="1"/>
  <c r="P63" i="34"/>
  <c r="K63" i="34"/>
  <c r="J63" i="34"/>
  <c r="AH62" i="34"/>
  <c r="AF62" i="34"/>
  <c r="AE62" i="34"/>
  <c r="P62" i="34"/>
  <c r="K62" i="34"/>
  <c r="J62" i="34"/>
  <c r="AF61" i="34"/>
  <c r="AE61" i="34"/>
  <c r="P61" i="34"/>
  <c r="K61" i="34"/>
  <c r="J61" i="34"/>
  <c r="AF60" i="34"/>
  <c r="AE60" i="34"/>
  <c r="P60" i="34"/>
  <c r="K60" i="34"/>
  <c r="J60" i="34"/>
  <c r="AH59" i="34"/>
  <c r="AF59" i="34"/>
  <c r="Y59" i="34"/>
  <c r="AE59" i="34" s="1"/>
  <c r="AH58" i="34"/>
  <c r="AH65" i="34" s="1"/>
  <c r="AF58" i="34"/>
  <c r="Y58" i="34"/>
  <c r="AE58" i="34" s="1"/>
  <c r="K57" i="34"/>
  <c r="J57" i="34"/>
  <c r="K56" i="34"/>
  <c r="J56" i="34"/>
  <c r="P55" i="34"/>
  <c r="K55" i="34"/>
  <c r="J55" i="34"/>
  <c r="P54" i="34"/>
  <c r="K54" i="34"/>
  <c r="J54" i="34"/>
  <c r="P53" i="34"/>
  <c r="K53" i="34"/>
  <c r="J53" i="34"/>
  <c r="P52" i="34"/>
  <c r="K52" i="34"/>
  <c r="J52" i="34"/>
  <c r="Z51" i="34"/>
  <c r="Y51" i="34"/>
  <c r="P51" i="34"/>
  <c r="K51" i="34"/>
  <c r="J51" i="34"/>
  <c r="AA50" i="34"/>
  <c r="P50" i="34"/>
  <c r="K50" i="34"/>
  <c r="J50" i="34"/>
  <c r="AA49" i="34"/>
  <c r="Z37" i="34" s="1"/>
  <c r="AB37" i="34" s="1"/>
  <c r="P49" i="34"/>
  <c r="K49" i="34"/>
  <c r="J49" i="34"/>
  <c r="AA48" i="34"/>
  <c r="Z36" i="34" s="1"/>
  <c r="AB36" i="34" s="1"/>
  <c r="P48" i="34"/>
  <c r="K48" i="34"/>
  <c r="J48" i="34"/>
  <c r="AA47" i="34"/>
  <c r="Z35" i="34" s="1"/>
  <c r="AB35" i="34" s="1"/>
  <c r="P47" i="34"/>
  <c r="K47" i="34"/>
  <c r="J47" i="34"/>
  <c r="AA46" i="34"/>
  <c r="Z34" i="34" s="1"/>
  <c r="AB34" i="34" s="1"/>
  <c r="P46" i="34"/>
  <c r="K46" i="34"/>
  <c r="J46" i="34"/>
  <c r="AA45" i="34"/>
  <c r="Z33" i="34" s="1"/>
  <c r="P45" i="34"/>
  <c r="K45" i="34"/>
  <c r="J45" i="34"/>
  <c r="AA44" i="34"/>
  <c r="Z32" i="34" s="1"/>
  <c r="AB32" i="34" s="1"/>
  <c r="P44" i="34"/>
  <c r="K44" i="34"/>
  <c r="J44" i="34"/>
  <c r="AA43" i="34"/>
  <c r="Z31" i="34" s="1"/>
  <c r="AB31" i="34" s="1"/>
  <c r="P43" i="34"/>
  <c r="K43" i="34"/>
  <c r="J43" i="34"/>
  <c r="AA42" i="34"/>
  <c r="P42" i="34"/>
  <c r="K42" i="34"/>
  <c r="J42" i="34"/>
  <c r="P41" i="34"/>
  <c r="K41" i="34"/>
  <c r="J41" i="34"/>
  <c r="P40" i="34"/>
  <c r="K40" i="34"/>
  <c r="J40" i="34"/>
  <c r="P39" i="34"/>
  <c r="K39" i="34"/>
  <c r="J39" i="34"/>
  <c r="X38" i="34"/>
  <c r="P38" i="34"/>
  <c r="K38" i="34"/>
  <c r="J38" i="34"/>
  <c r="AH37" i="34"/>
  <c r="AF37" i="34"/>
  <c r="Y37" i="34"/>
  <c r="AE37" i="34" s="1"/>
  <c r="P37" i="34"/>
  <c r="K37" i="34"/>
  <c r="J37" i="34"/>
  <c r="AF36" i="34"/>
  <c r="Y36" i="34"/>
  <c r="AE36" i="34" s="1"/>
  <c r="AG36" i="34" s="1"/>
  <c r="P36" i="34"/>
  <c r="K36" i="34"/>
  <c r="J36" i="34"/>
  <c r="AH35" i="34"/>
  <c r="AF35" i="34"/>
  <c r="AE35" i="34"/>
  <c r="P35" i="34"/>
  <c r="K35" i="34"/>
  <c r="J35" i="34"/>
  <c r="AF34" i="34"/>
  <c r="AE34" i="34"/>
  <c r="P34" i="34"/>
  <c r="K34" i="34"/>
  <c r="J34" i="34"/>
  <c r="AH33" i="34"/>
  <c r="AF33" i="34"/>
  <c r="AE33" i="34"/>
  <c r="P33" i="34"/>
  <c r="K33" i="34"/>
  <c r="J33" i="34"/>
  <c r="AH32" i="34"/>
  <c r="AF32" i="34"/>
  <c r="Y32" i="34"/>
  <c r="AE32" i="34" s="1"/>
  <c r="P32" i="34"/>
  <c r="K32" i="34"/>
  <c r="J32" i="34"/>
  <c r="AH31" i="34"/>
  <c r="AH38" i="34" s="1"/>
  <c r="AF31" i="34"/>
  <c r="AE31" i="34"/>
  <c r="P31" i="34"/>
  <c r="K31" i="34"/>
  <c r="J31" i="34"/>
  <c r="P30" i="34"/>
  <c r="K30" i="34"/>
  <c r="J30" i="34"/>
  <c r="P29" i="34"/>
  <c r="K29" i="34"/>
  <c r="J29" i="34"/>
  <c r="P28" i="34"/>
  <c r="K28" i="34"/>
  <c r="J28" i="34"/>
  <c r="P27" i="34"/>
  <c r="K27" i="34"/>
  <c r="J27" i="34"/>
  <c r="P26" i="34"/>
  <c r="K26" i="34"/>
  <c r="J26" i="34"/>
  <c r="P25" i="34"/>
  <c r="K25" i="34"/>
  <c r="J25" i="34"/>
  <c r="Z24" i="34"/>
  <c r="Y24" i="34"/>
  <c r="P24" i="34"/>
  <c r="K24" i="34"/>
  <c r="J24" i="34"/>
  <c r="AA23" i="34"/>
  <c r="P23" i="34"/>
  <c r="K23" i="34"/>
  <c r="J23" i="34"/>
  <c r="AA22" i="34"/>
  <c r="Z10" i="34" s="1"/>
  <c r="AB10" i="34" s="1"/>
  <c r="P22" i="34"/>
  <c r="K22" i="34"/>
  <c r="J22" i="34"/>
  <c r="AA21" i="34"/>
  <c r="Z9" i="34" s="1"/>
  <c r="AB9" i="34" s="1"/>
  <c r="AA20" i="34"/>
  <c r="Z8" i="34" s="1"/>
  <c r="AB8" i="34" s="1"/>
  <c r="P20" i="34"/>
  <c r="O20" i="34"/>
  <c r="K20" i="34"/>
  <c r="J20" i="34"/>
  <c r="AA19" i="34"/>
  <c r="Z7" i="34" s="1"/>
  <c r="AB7" i="34" s="1"/>
  <c r="P19" i="34"/>
  <c r="O19" i="34"/>
  <c r="K19" i="34"/>
  <c r="J19" i="34"/>
  <c r="F19" i="34"/>
  <c r="F24" i="34" s="1"/>
  <c r="F20" i="34" s="1"/>
  <c r="E19" i="34"/>
  <c r="E24" i="34" s="1"/>
  <c r="E20" i="34" s="1"/>
  <c r="D19" i="34"/>
  <c r="D24" i="34" s="1"/>
  <c r="AA18" i="34"/>
  <c r="Z6" i="34" s="1"/>
  <c r="AB6" i="34" s="1"/>
  <c r="P18" i="34"/>
  <c r="O18" i="34"/>
  <c r="K18" i="34"/>
  <c r="J18" i="34"/>
  <c r="AA17" i="34"/>
  <c r="Z5" i="34" s="1"/>
  <c r="AB5" i="34" s="1"/>
  <c r="Q17" i="34"/>
  <c r="S17" i="34" s="1"/>
  <c r="AA16" i="34"/>
  <c r="Z4" i="34" s="1"/>
  <c r="AB4" i="34" s="1"/>
  <c r="P16" i="34"/>
  <c r="O16" i="34"/>
  <c r="K16" i="34"/>
  <c r="J16" i="34"/>
  <c r="AA15" i="34"/>
  <c r="P15" i="34"/>
  <c r="O15" i="34"/>
  <c r="K15" i="34"/>
  <c r="J15" i="34"/>
  <c r="P14" i="34"/>
  <c r="O14" i="34"/>
  <c r="K14" i="34"/>
  <c r="J14" i="34"/>
  <c r="P13" i="34"/>
  <c r="O13" i="34"/>
  <c r="K13" i="34"/>
  <c r="J13" i="34"/>
  <c r="O12" i="34"/>
  <c r="K12" i="34"/>
  <c r="J12" i="34"/>
  <c r="X11" i="34"/>
  <c r="O11" i="34"/>
  <c r="K11" i="34"/>
  <c r="J11" i="34"/>
  <c r="AH10" i="34"/>
  <c r="AF10" i="34"/>
  <c r="Y10" i="34"/>
  <c r="D10" i="34"/>
  <c r="AH9" i="34"/>
  <c r="AF9" i="34"/>
  <c r="Y9" i="34"/>
  <c r="AE9" i="34" s="1"/>
  <c r="O9" i="34"/>
  <c r="K9" i="34"/>
  <c r="J9" i="34"/>
  <c r="AH8" i="34"/>
  <c r="AF8" i="34"/>
  <c r="AE8" i="34"/>
  <c r="O8" i="34"/>
  <c r="K8" i="34"/>
  <c r="J8" i="34"/>
  <c r="AH7" i="34"/>
  <c r="AF7" i="34"/>
  <c r="AE7" i="34"/>
  <c r="O7" i="34"/>
  <c r="K7" i="34"/>
  <c r="J7" i="34"/>
  <c r="AH6" i="34"/>
  <c r="AF6" i="34"/>
  <c r="AE6" i="34"/>
  <c r="AH5" i="34"/>
  <c r="AF5" i="34"/>
  <c r="Y5" i="34"/>
  <c r="AE5" i="34" s="1"/>
  <c r="AH4" i="34"/>
  <c r="AH11" i="34" s="1"/>
  <c r="AF4" i="34"/>
  <c r="Y4" i="34"/>
  <c r="AE4" i="34" s="1"/>
  <c r="Q55" i="25"/>
  <c r="P55" i="25"/>
  <c r="O55" i="25"/>
  <c r="N55" i="25"/>
  <c r="M55" i="25"/>
  <c r="Q51" i="25"/>
  <c r="P51" i="25"/>
  <c r="O51" i="25"/>
  <c r="N51" i="25"/>
  <c r="M51" i="25"/>
  <c r="Q50" i="25"/>
  <c r="P50" i="25"/>
  <c r="O50" i="25"/>
  <c r="N50" i="25"/>
  <c r="M50" i="25"/>
  <c r="F19" i="25"/>
  <c r="F24" i="25" s="1"/>
  <c r="F21" i="25" s="1"/>
  <c r="E19" i="25"/>
  <c r="E24" i="25" s="1"/>
  <c r="E21" i="25" s="1"/>
  <c r="D19" i="25"/>
  <c r="D24" i="25" s="1"/>
  <c r="D14" i="25"/>
  <c r="P12" i="25"/>
  <c r="Y11" i="25"/>
  <c r="X11" i="25"/>
  <c r="P11" i="25"/>
  <c r="AE10" i="25"/>
  <c r="AD10" i="25"/>
  <c r="AA10" i="25"/>
  <c r="AE9" i="25"/>
  <c r="AD9" i="25"/>
  <c r="AA9" i="25"/>
  <c r="O9" i="25"/>
  <c r="AE8" i="25"/>
  <c r="AD8" i="25"/>
  <c r="AA8" i="25"/>
  <c r="P8" i="25"/>
  <c r="O8" i="25"/>
  <c r="AE7" i="25"/>
  <c r="AD7" i="25"/>
  <c r="AA7" i="25"/>
  <c r="O7" i="25"/>
  <c r="AE6" i="25"/>
  <c r="AD6" i="25"/>
  <c r="AA6" i="25"/>
  <c r="O6" i="25"/>
  <c r="AE5" i="25"/>
  <c r="AD5" i="25"/>
  <c r="AA5" i="25"/>
  <c r="O5" i="25"/>
  <c r="AE4" i="25"/>
  <c r="AD4" i="25"/>
  <c r="AA4" i="25"/>
  <c r="C10" i="17"/>
  <c r="G11" i="3"/>
  <c r="G10" i="3"/>
  <c r="G9" i="3"/>
  <c r="G8" i="3"/>
  <c r="G5" i="3"/>
  <c r="G4" i="3"/>
  <c r="G3" i="3"/>
  <c r="G2" i="3"/>
  <c r="G1" i="3"/>
  <c r="M56" i="24"/>
  <c r="Q56" i="24" s="1"/>
  <c r="L56" i="24"/>
  <c r="H56" i="24"/>
  <c r="M55" i="24"/>
  <c r="Q55" i="24" s="1"/>
  <c r="L55" i="24"/>
  <c r="H55" i="24"/>
  <c r="P55" i="24" s="1"/>
  <c r="M54" i="24"/>
  <c r="Q54" i="24" s="1"/>
  <c r="L54" i="24"/>
  <c r="H54" i="24"/>
  <c r="M53" i="24"/>
  <c r="Q53" i="24" s="1"/>
  <c r="L53" i="24"/>
  <c r="H53" i="24"/>
  <c r="P53" i="24" s="1"/>
  <c r="M52" i="24"/>
  <c r="Q52" i="24" s="1"/>
  <c r="L52" i="24"/>
  <c r="H52" i="24"/>
  <c r="M51" i="24"/>
  <c r="Q51" i="24" s="1"/>
  <c r="L51" i="24"/>
  <c r="H51" i="24"/>
  <c r="P51" i="24" s="1"/>
  <c r="M50" i="24"/>
  <c r="Q50" i="24" s="1"/>
  <c r="L50" i="24"/>
  <c r="H50" i="24"/>
  <c r="M49" i="24"/>
  <c r="Q49" i="24" s="1"/>
  <c r="L49" i="24"/>
  <c r="H49" i="24"/>
  <c r="P49" i="24" s="1"/>
  <c r="M48" i="24"/>
  <c r="Q48" i="24" s="1"/>
  <c r="L48" i="24"/>
  <c r="H48" i="24"/>
  <c r="M47" i="24"/>
  <c r="Q47" i="24" s="1"/>
  <c r="L47" i="24"/>
  <c r="H47" i="24"/>
  <c r="P47" i="24" s="1"/>
  <c r="M46" i="24"/>
  <c r="Q46" i="24" s="1"/>
  <c r="L46" i="24"/>
  <c r="H46" i="24"/>
  <c r="M45" i="24"/>
  <c r="Q45" i="24" s="1"/>
  <c r="L45" i="24"/>
  <c r="H45" i="24"/>
  <c r="P45" i="24" s="1"/>
  <c r="M44" i="24"/>
  <c r="Q44" i="24" s="1"/>
  <c r="L44" i="24"/>
  <c r="H44" i="24"/>
  <c r="G43" i="24"/>
  <c r="F43" i="24"/>
  <c r="E43" i="24"/>
  <c r="D43" i="24"/>
  <c r="C43" i="24"/>
  <c r="M38" i="24"/>
  <c r="Q38" i="24" s="1"/>
  <c r="L38" i="24"/>
  <c r="K38" i="24"/>
  <c r="H38" i="24"/>
  <c r="M37" i="24"/>
  <c r="Q37" i="24" s="1"/>
  <c r="L37" i="24"/>
  <c r="K37" i="24"/>
  <c r="H37" i="24"/>
  <c r="M36" i="24"/>
  <c r="Q36" i="24" s="1"/>
  <c r="L36" i="24"/>
  <c r="K36" i="24"/>
  <c r="H36" i="24"/>
  <c r="M35" i="24"/>
  <c r="Q35" i="24" s="1"/>
  <c r="L35" i="24"/>
  <c r="K35" i="24"/>
  <c r="H35" i="24"/>
  <c r="M34" i="24"/>
  <c r="Q34" i="24" s="1"/>
  <c r="L34" i="24"/>
  <c r="K34" i="24"/>
  <c r="H34" i="24"/>
  <c r="M33" i="24"/>
  <c r="Q33" i="24" s="1"/>
  <c r="L33" i="24"/>
  <c r="K33" i="24"/>
  <c r="H33" i="24"/>
  <c r="M32" i="24"/>
  <c r="Q32" i="24" s="1"/>
  <c r="L32" i="24"/>
  <c r="K32" i="24"/>
  <c r="H32" i="24"/>
  <c r="M31" i="24"/>
  <c r="Q31" i="24" s="1"/>
  <c r="L31" i="24"/>
  <c r="K31" i="24"/>
  <c r="H31" i="24"/>
  <c r="M30" i="24"/>
  <c r="Q30" i="24" s="1"/>
  <c r="L30" i="24"/>
  <c r="K30" i="24"/>
  <c r="H30" i="24"/>
  <c r="M29" i="24"/>
  <c r="Q29" i="24" s="1"/>
  <c r="L29" i="24"/>
  <c r="K29" i="24"/>
  <c r="H29" i="24"/>
  <c r="M28" i="24"/>
  <c r="Q28" i="24" s="1"/>
  <c r="L28" i="24"/>
  <c r="K28" i="24"/>
  <c r="H28" i="24"/>
  <c r="M27" i="24"/>
  <c r="Q27" i="24" s="1"/>
  <c r="L27" i="24"/>
  <c r="K27" i="24"/>
  <c r="H27" i="24"/>
  <c r="M26" i="24"/>
  <c r="Q26" i="24" s="1"/>
  <c r="L26" i="24"/>
  <c r="K26" i="24"/>
  <c r="H26" i="24"/>
  <c r="O26" i="24" s="1"/>
  <c r="M25" i="24"/>
  <c r="Q25" i="24" s="1"/>
  <c r="L25" i="24"/>
  <c r="K25" i="24"/>
  <c r="H25" i="24"/>
  <c r="M24" i="24"/>
  <c r="Q24" i="24" s="1"/>
  <c r="L24" i="24"/>
  <c r="K24" i="24"/>
  <c r="H24" i="24"/>
  <c r="M23" i="24"/>
  <c r="Q23" i="24" s="1"/>
  <c r="L23" i="24"/>
  <c r="K23" i="24"/>
  <c r="H23" i="24"/>
  <c r="M22" i="24"/>
  <c r="Q22" i="24" s="1"/>
  <c r="L22" i="24"/>
  <c r="K22" i="24"/>
  <c r="H22" i="24"/>
  <c r="M21" i="24"/>
  <c r="Q21" i="24" s="1"/>
  <c r="L21" i="24"/>
  <c r="K21" i="24"/>
  <c r="H21" i="24"/>
  <c r="O21" i="24" s="1"/>
  <c r="M20" i="24"/>
  <c r="Q20" i="24" s="1"/>
  <c r="L20" i="24"/>
  <c r="K20" i="24"/>
  <c r="H20" i="24"/>
  <c r="M19" i="24"/>
  <c r="Q19" i="24" s="1"/>
  <c r="L19" i="24"/>
  <c r="K19" i="24"/>
  <c r="H19" i="24"/>
  <c r="M18" i="24"/>
  <c r="Q18" i="24" s="1"/>
  <c r="L18" i="24"/>
  <c r="K18" i="24"/>
  <c r="H18" i="24"/>
  <c r="M17" i="24"/>
  <c r="Q17" i="24" s="1"/>
  <c r="L17" i="24"/>
  <c r="K17" i="24"/>
  <c r="H17" i="24"/>
  <c r="M16" i="24"/>
  <c r="Q16" i="24" s="1"/>
  <c r="L16" i="24"/>
  <c r="K16" i="24"/>
  <c r="H16" i="24"/>
  <c r="O12" i="25" s="1"/>
  <c r="M15" i="24"/>
  <c r="Q15" i="24" s="1"/>
  <c r="L15" i="24"/>
  <c r="K15" i="24"/>
  <c r="H15" i="24"/>
  <c r="M14" i="24"/>
  <c r="Q14" i="24" s="1"/>
  <c r="L14" i="24"/>
  <c r="K14" i="24"/>
  <c r="H14" i="24"/>
  <c r="M13" i="24"/>
  <c r="Q13" i="24" s="1"/>
  <c r="L13" i="24"/>
  <c r="K13" i="24"/>
  <c r="H13" i="24"/>
  <c r="O13" i="24" s="1"/>
  <c r="M12" i="24"/>
  <c r="Q12" i="24" s="1"/>
  <c r="L12" i="24"/>
  <c r="K12" i="24"/>
  <c r="H12" i="24"/>
  <c r="M11" i="24"/>
  <c r="Q11" i="24" s="1"/>
  <c r="L11" i="24"/>
  <c r="K11" i="24"/>
  <c r="H11" i="24"/>
  <c r="M10" i="24"/>
  <c r="Q10" i="24" s="1"/>
  <c r="L10" i="24"/>
  <c r="K10" i="24"/>
  <c r="H10" i="24"/>
  <c r="M9" i="24"/>
  <c r="Q9" i="24" s="1"/>
  <c r="L9" i="24"/>
  <c r="K9" i="24"/>
  <c r="H9" i="24"/>
  <c r="M8" i="24"/>
  <c r="Q8" i="24" s="1"/>
  <c r="L8" i="24"/>
  <c r="K8" i="24"/>
  <c r="H8" i="24"/>
  <c r="M7" i="24"/>
  <c r="Q7" i="24" s="1"/>
  <c r="L7" i="24"/>
  <c r="K7" i="24"/>
  <c r="H7" i="24"/>
  <c r="M6" i="24"/>
  <c r="Q6" i="24" s="1"/>
  <c r="L6" i="24"/>
  <c r="K6" i="24"/>
  <c r="H6" i="24"/>
  <c r="M5" i="24"/>
  <c r="Q5" i="24" s="1"/>
  <c r="L5" i="24"/>
  <c r="K5" i="24"/>
  <c r="H5" i="24"/>
  <c r="M4" i="24"/>
  <c r="Q4" i="24" s="1"/>
  <c r="L4" i="24"/>
  <c r="K4" i="24"/>
  <c r="H4" i="24"/>
  <c r="M3" i="24"/>
  <c r="Q3" i="24" s="1"/>
  <c r="L3" i="24"/>
  <c r="K3" i="24"/>
  <c r="H3" i="24"/>
  <c r="H9" i="9"/>
  <c r="C9" i="9"/>
  <c r="K12" i="25" s="1"/>
  <c r="B9" i="9"/>
  <c r="J12" i="25" s="1"/>
  <c r="H8" i="9"/>
  <c r="C8" i="9"/>
  <c r="K11" i="25" s="1"/>
  <c r="B8" i="9"/>
  <c r="J11" i="25" s="1"/>
  <c r="H6" i="9"/>
  <c r="G6" i="9"/>
  <c r="C6" i="9"/>
  <c r="K9" i="25" s="1"/>
  <c r="B6" i="9"/>
  <c r="J9" i="25" s="1"/>
  <c r="G5" i="9"/>
  <c r="C5" i="9"/>
  <c r="K8" i="25" s="1"/>
  <c r="B5" i="9"/>
  <c r="J8" i="25" s="1"/>
  <c r="G4" i="9"/>
  <c r="C4" i="9"/>
  <c r="K7" i="25" s="1"/>
  <c r="B4" i="9"/>
  <c r="J7" i="25" s="1"/>
  <c r="G3" i="9"/>
  <c r="C3" i="9"/>
  <c r="K6" i="25" s="1"/>
  <c r="B3" i="9"/>
  <c r="J6" i="25" s="1"/>
  <c r="G2" i="9"/>
  <c r="C2" i="9"/>
  <c r="K5" i="34" s="1"/>
  <c r="B2" i="9"/>
  <c r="J5" i="25" s="1"/>
  <c r="M56" i="4"/>
  <c r="Q56" i="4" s="1"/>
  <c r="L56" i="4"/>
  <c r="H56" i="4"/>
  <c r="P56" i="4" s="1"/>
  <c r="M55" i="4"/>
  <c r="Q55" i="4" s="1"/>
  <c r="L55" i="4"/>
  <c r="H55" i="4"/>
  <c r="P55" i="4" s="1"/>
  <c r="M54" i="4"/>
  <c r="Q54" i="4" s="1"/>
  <c r="L54" i="4"/>
  <c r="H54" i="4"/>
  <c r="P54" i="4" s="1"/>
  <c r="M53" i="4"/>
  <c r="Q53" i="4" s="1"/>
  <c r="L53" i="4"/>
  <c r="H53" i="4"/>
  <c r="P53" i="4" s="1"/>
  <c r="M52" i="4"/>
  <c r="Q52" i="4" s="1"/>
  <c r="L52" i="4"/>
  <c r="H52" i="4"/>
  <c r="P52" i="4" s="1"/>
  <c r="M51" i="4"/>
  <c r="Q51" i="4" s="1"/>
  <c r="L51" i="4"/>
  <c r="H51" i="4"/>
  <c r="P51" i="4" s="1"/>
  <c r="M50" i="4"/>
  <c r="Q50" i="4" s="1"/>
  <c r="L50" i="4"/>
  <c r="H50" i="4"/>
  <c r="P50" i="4" s="1"/>
  <c r="M49" i="4"/>
  <c r="Q49" i="4" s="1"/>
  <c r="L49" i="4"/>
  <c r="H49" i="4"/>
  <c r="P49" i="4" s="1"/>
  <c r="M48" i="4"/>
  <c r="Q48" i="4" s="1"/>
  <c r="L48" i="4"/>
  <c r="H48" i="4"/>
  <c r="P48" i="4" s="1"/>
  <c r="M47" i="4"/>
  <c r="Q47" i="4" s="1"/>
  <c r="L47" i="4"/>
  <c r="H47" i="4"/>
  <c r="P47" i="4" s="1"/>
  <c r="M46" i="4"/>
  <c r="Q46" i="4" s="1"/>
  <c r="L46" i="4"/>
  <c r="H46" i="4"/>
  <c r="P46" i="4" s="1"/>
  <c r="M45" i="4"/>
  <c r="Q45" i="4" s="1"/>
  <c r="L45" i="4"/>
  <c r="H45" i="4"/>
  <c r="P45" i="4" s="1"/>
  <c r="M44" i="4"/>
  <c r="Q44" i="4" s="1"/>
  <c r="L44" i="4"/>
  <c r="H44" i="4"/>
  <c r="P44" i="4" s="1"/>
  <c r="G43" i="4"/>
  <c r="F43" i="4"/>
  <c r="E43" i="4"/>
  <c r="D43" i="4"/>
  <c r="C43" i="4"/>
  <c r="M38" i="4"/>
  <c r="Q38" i="4" s="1"/>
  <c r="L38" i="4"/>
  <c r="K38" i="4"/>
  <c r="H38" i="4"/>
  <c r="M37" i="4"/>
  <c r="Q37" i="4" s="1"/>
  <c r="L37" i="4"/>
  <c r="K37" i="4"/>
  <c r="H37" i="4"/>
  <c r="M36" i="4"/>
  <c r="Q36" i="4" s="1"/>
  <c r="L36" i="4"/>
  <c r="K36" i="4"/>
  <c r="H36" i="4"/>
  <c r="M35" i="4"/>
  <c r="Q35" i="4" s="1"/>
  <c r="L35" i="4"/>
  <c r="K35" i="4"/>
  <c r="H35" i="4"/>
  <c r="M34" i="4"/>
  <c r="Q34" i="4" s="1"/>
  <c r="L34" i="4"/>
  <c r="K34" i="4"/>
  <c r="H34" i="4"/>
  <c r="M33" i="4"/>
  <c r="Q33" i="4" s="1"/>
  <c r="L33" i="4"/>
  <c r="K33" i="4"/>
  <c r="P33" i="4" s="1"/>
  <c r="H33" i="4"/>
  <c r="M32" i="4"/>
  <c r="Q32" i="4" s="1"/>
  <c r="L32" i="4"/>
  <c r="K32" i="4"/>
  <c r="H32" i="4"/>
  <c r="M31" i="4"/>
  <c r="Q31" i="4" s="1"/>
  <c r="L31" i="4"/>
  <c r="K31" i="4"/>
  <c r="H31" i="4"/>
  <c r="M30" i="4"/>
  <c r="Q30" i="4" s="1"/>
  <c r="L30" i="4"/>
  <c r="K30" i="4"/>
  <c r="H30" i="4"/>
  <c r="M29" i="4"/>
  <c r="Q29" i="4" s="1"/>
  <c r="U48" i="34" s="1"/>
  <c r="V48" i="34" s="1"/>
  <c r="L29" i="4"/>
  <c r="K29" i="4"/>
  <c r="H29" i="4"/>
  <c r="M28" i="4"/>
  <c r="Q28" i="4" s="1"/>
  <c r="U47" i="34" s="1"/>
  <c r="V47" i="34" s="1"/>
  <c r="L28" i="4"/>
  <c r="K28" i="4"/>
  <c r="H28" i="4"/>
  <c r="M27" i="4"/>
  <c r="Q27" i="4" s="1"/>
  <c r="L27" i="4"/>
  <c r="K27" i="4"/>
  <c r="H27" i="4"/>
  <c r="M26" i="4"/>
  <c r="Q26" i="4" s="1"/>
  <c r="L26" i="4"/>
  <c r="K26" i="4"/>
  <c r="H26" i="4"/>
  <c r="M25" i="4"/>
  <c r="Q25" i="4" s="1"/>
  <c r="L25" i="4"/>
  <c r="K25" i="4"/>
  <c r="H25" i="4"/>
  <c r="M24" i="4"/>
  <c r="Q24" i="4" s="1"/>
  <c r="U43" i="34" s="1"/>
  <c r="V43" i="34" s="1"/>
  <c r="L24" i="4"/>
  <c r="K24" i="4"/>
  <c r="H24" i="4"/>
  <c r="M23" i="4"/>
  <c r="Q23" i="4" s="1"/>
  <c r="L23" i="4"/>
  <c r="K23" i="4"/>
  <c r="H23" i="4"/>
  <c r="M22" i="4"/>
  <c r="Q22" i="4" s="1"/>
  <c r="L22" i="4"/>
  <c r="K22" i="4"/>
  <c r="H22" i="4"/>
  <c r="M21" i="4"/>
  <c r="Q21" i="4" s="1"/>
  <c r="L21" i="4"/>
  <c r="K21" i="4"/>
  <c r="H21" i="4"/>
  <c r="M20" i="4"/>
  <c r="Q20" i="4" s="1"/>
  <c r="L20" i="4"/>
  <c r="K20" i="4"/>
  <c r="H20" i="4"/>
  <c r="M19" i="4"/>
  <c r="Q19" i="4" s="1"/>
  <c r="L19" i="4"/>
  <c r="K19" i="4"/>
  <c r="H19" i="4"/>
  <c r="M18" i="4"/>
  <c r="Q18" i="4" s="1"/>
  <c r="L18" i="4"/>
  <c r="K18" i="4"/>
  <c r="H18" i="4"/>
  <c r="M17" i="4"/>
  <c r="Q17" i="4" s="1"/>
  <c r="U36" i="34" s="1"/>
  <c r="V36" i="34" s="1"/>
  <c r="L17" i="4"/>
  <c r="K17" i="4"/>
  <c r="H17" i="4"/>
  <c r="M16" i="4"/>
  <c r="Q16" i="4" s="1"/>
  <c r="L16" i="4"/>
  <c r="K16" i="4"/>
  <c r="H16" i="4"/>
  <c r="M15" i="4"/>
  <c r="Q15" i="4" s="1"/>
  <c r="L15" i="4"/>
  <c r="K15" i="4"/>
  <c r="H15" i="4"/>
  <c r="M14" i="4"/>
  <c r="Q14" i="4" s="1"/>
  <c r="L14" i="4"/>
  <c r="K14" i="4"/>
  <c r="H14" i="4"/>
  <c r="M13" i="4"/>
  <c r="Q13" i="4" s="1"/>
  <c r="L13" i="4"/>
  <c r="O13" i="4" s="1"/>
  <c r="K13" i="4"/>
  <c r="H13" i="4"/>
  <c r="M12" i="4"/>
  <c r="Q12" i="4" s="1"/>
  <c r="L12" i="4"/>
  <c r="K12" i="4"/>
  <c r="H12" i="4"/>
  <c r="M11" i="4"/>
  <c r="Q11" i="4" s="1"/>
  <c r="L11" i="4"/>
  <c r="K11" i="4"/>
  <c r="H11" i="4"/>
  <c r="M10" i="4"/>
  <c r="Q10" i="4" s="1"/>
  <c r="L10" i="4"/>
  <c r="K10" i="4"/>
  <c r="H10" i="4"/>
  <c r="M9" i="4"/>
  <c r="Q9" i="4" s="1"/>
  <c r="L9" i="4"/>
  <c r="K9" i="4"/>
  <c r="H9" i="4"/>
  <c r="M8" i="4"/>
  <c r="Q8" i="4" s="1"/>
  <c r="L8" i="4"/>
  <c r="K8" i="4"/>
  <c r="H8" i="4"/>
  <c r="M7" i="4"/>
  <c r="Q7" i="4" s="1"/>
  <c r="L7" i="4"/>
  <c r="K7" i="4"/>
  <c r="H7" i="4"/>
  <c r="M6" i="4"/>
  <c r="Q6" i="4" s="1"/>
  <c r="L6" i="4"/>
  <c r="K6" i="4"/>
  <c r="H6" i="4"/>
  <c r="M5" i="4"/>
  <c r="Q5" i="4" s="1"/>
  <c r="U24" i="34" s="1"/>
  <c r="V24" i="34" s="1"/>
  <c r="L5" i="4"/>
  <c r="K5" i="4"/>
  <c r="H5" i="4"/>
  <c r="M4" i="4"/>
  <c r="Q4" i="4" s="1"/>
  <c r="U23" i="34" s="1"/>
  <c r="V23" i="34" s="1"/>
  <c r="L4" i="4"/>
  <c r="K4" i="4"/>
  <c r="H4" i="4"/>
  <c r="M3" i="4"/>
  <c r="Q3" i="4" s="1"/>
  <c r="L3" i="4"/>
  <c r="K3" i="4"/>
  <c r="H3" i="4"/>
  <c r="C64" i="23"/>
  <c r="E61" i="23"/>
  <c r="E60" i="23"/>
  <c r="E59" i="23"/>
  <c r="C51" i="23"/>
  <c r="E48" i="23"/>
  <c r="E47" i="23"/>
  <c r="E46" i="23"/>
  <c r="C38" i="23"/>
  <c r="E34" i="23"/>
  <c r="E33" i="23"/>
  <c r="E32" i="23"/>
  <c r="E31" i="23"/>
  <c r="K26" i="23"/>
  <c r="S25" i="23"/>
  <c r="M24" i="23"/>
  <c r="U23" i="23"/>
  <c r="M23" i="23"/>
  <c r="C23" i="23"/>
  <c r="U22" i="23"/>
  <c r="M22" i="23"/>
  <c r="U21" i="23"/>
  <c r="M21" i="23"/>
  <c r="E21" i="23"/>
  <c r="U20" i="23"/>
  <c r="M20" i="23"/>
  <c r="E20" i="23"/>
  <c r="M19" i="23"/>
  <c r="E19" i="23"/>
  <c r="E18" i="23"/>
  <c r="S12" i="23"/>
  <c r="K11" i="23"/>
  <c r="C10" i="23"/>
  <c r="U9" i="23"/>
  <c r="M9" i="23"/>
  <c r="M8" i="23"/>
  <c r="U7" i="23"/>
  <c r="M7" i="23"/>
  <c r="U6" i="23"/>
  <c r="M6" i="23"/>
  <c r="E6" i="23"/>
  <c r="U5" i="23"/>
  <c r="M5" i="23"/>
  <c r="E5" i="23"/>
  <c r="M4" i="23"/>
  <c r="E4" i="23"/>
  <c r="C64" i="5"/>
  <c r="E61" i="5"/>
  <c r="E60" i="5"/>
  <c r="E59" i="5"/>
  <c r="E64" i="5" s="1"/>
  <c r="E66" i="5" s="1"/>
  <c r="C51" i="5"/>
  <c r="E48" i="5"/>
  <c r="E47" i="5"/>
  <c r="E46" i="5"/>
  <c r="C38" i="5"/>
  <c r="F4" i="9" s="1"/>
  <c r="E33" i="5"/>
  <c r="E32" i="5"/>
  <c r="E31" i="5"/>
  <c r="K26" i="5"/>
  <c r="S25" i="5"/>
  <c r="M24" i="5"/>
  <c r="U23" i="5"/>
  <c r="M23" i="5"/>
  <c r="C23" i="5"/>
  <c r="F3" i="9" s="1"/>
  <c r="U22" i="5"/>
  <c r="M22" i="5"/>
  <c r="U21" i="5"/>
  <c r="M21" i="5"/>
  <c r="E21" i="5"/>
  <c r="U20" i="5"/>
  <c r="M20" i="5"/>
  <c r="E20" i="5"/>
  <c r="M19" i="5"/>
  <c r="E19" i="5"/>
  <c r="E18" i="5"/>
  <c r="S12" i="5"/>
  <c r="F6" i="9" s="1"/>
  <c r="K11" i="5"/>
  <c r="F5" i="9" s="1"/>
  <c r="C10" i="5"/>
  <c r="F2" i="9" s="1"/>
  <c r="U9" i="5"/>
  <c r="M9" i="5"/>
  <c r="M8" i="5"/>
  <c r="U7" i="5"/>
  <c r="M7" i="5"/>
  <c r="U6" i="5"/>
  <c r="M6" i="5"/>
  <c r="E6" i="5"/>
  <c r="U5" i="5"/>
  <c r="M5" i="5"/>
  <c r="E5" i="5"/>
  <c r="M4" i="5"/>
  <c r="E4" i="5"/>
  <c r="G33" i="7"/>
  <c r="H30" i="7"/>
  <c r="G30" i="7"/>
  <c r="H29" i="7"/>
  <c r="H28" i="7"/>
  <c r="M21" i="7"/>
  <c r="L21" i="7"/>
  <c r="K21" i="7"/>
  <c r="J21" i="7"/>
  <c r="I21" i="7"/>
  <c r="H21" i="7"/>
  <c r="G21" i="7"/>
  <c r="F21" i="7"/>
  <c r="E21" i="7"/>
  <c r="D21" i="7"/>
  <c r="M20" i="7"/>
  <c r="M25" i="7" s="1"/>
  <c r="M22" i="7" s="1"/>
  <c r="M23" i="7" s="1"/>
  <c r="L20" i="7"/>
  <c r="L25" i="7" s="1"/>
  <c r="L22" i="7" s="1"/>
  <c r="L23" i="7" s="1"/>
  <c r="K20" i="7"/>
  <c r="K25" i="7" s="1"/>
  <c r="K22" i="7" s="1"/>
  <c r="K23" i="7" s="1"/>
  <c r="J20" i="7"/>
  <c r="J25" i="7" s="1"/>
  <c r="J22" i="7" s="1"/>
  <c r="J23" i="7" s="1"/>
  <c r="I20" i="7"/>
  <c r="I25" i="7" s="1"/>
  <c r="I22" i="7" s="1"/>
  <c r="I23" i="7" s="1"/>
  <c r="H20" i="7"/>
  <c r="H25" i="7" s="1"/>
  <c r="H22" i="7" s="1"/>
  <c r="H23" i="7" s="1"/>
  <c r="G20" i="7"/>
  <c r="G25" i="7" s="1"/>
  <c r="G22" i="7" s="1"/>
  <c r="G23" i="7" s="1"/>
  <c r="F20" i="7"/>
  <c r="F25" i="7" s="1"/>
  <c r="F22" i="7" s="1"/>
  <c r="F23" i="7" s="1"/>
  <c r="E20" i="7"/>
  <c r="E25" i="7" s="1"/>
  <c r="E22" i="7" s="1"/>
  <c r="E23" i="7" s="1"/>
  <c r="D20" i="7"/>
  <c r="D25" i="7" s="1"/>
  <c r="D22" i="7" s="1"/>
  <c r="G14" i="7"/>
  <c r="G15" i="7" s="1"/>
  <c r="BX33" i="1"/>
  <c r="BW33" i="1"/>
  <c r="BV33" i="1"/>
  <c r="BU33" i="1"/>
  <c r="BT33" i="1"/>
  <c r="BS33" i="1"/>
  <c r="BR33" i="1"/>
  <c r="BQ33" i="1"/>
  <c r="BP33" i="1"/>
  <c r="BO33" i="1"/>
  <c r="BN33" i="1"/>
  <c r="BX32" i="1"/>
  <c r="BW32" i="1"/>
  <c r="BV32" i="1"/>
  <c r="BU32" i="1"/>
  <c r="BT32" i="1"/>
  <c r="BS32" i="1"/>
  <c r="BR32" i="1"/>
  <c r="BQ32" i="1"/>
  <c r="BP32" i="1"/>
  <c r="BO32" i="1"/>
  <c r="BN32" i="1"/>
  <c r="BX31" i="1"/>
  <c r="BW31" i="1"/>
  <c r="BV31" i="1"/>
  <c r="BU31" i="1"/>
  <c r="BT31" i="1"/>
  <c r="BS31" i="1"/>
  <c r="BR31" i="1"/>
  <c r="BQ31" i="1"/>
  <c r="BP31" i="1"/>
  <c r="BO31" i="1"/>
  <c r="BN31" i="1"/>
  <c r="BX30" i="1"/>
  <c r="BW30" i="1"/>
  <c r="BV30" i="1"/>
  <c r="BU30" i="1"/>
  <c r="BT30" i="1"/>
  <c r="BS30" i="1"/>
  <c r="BR30" i="1"/>
  <c r="BQ30" i="1"/>
  <c r="BP30" i="1"/>
  <c r="BO30" i="1"/>
  <c r="BN30" i="1"/>
  <c r="BX29" i="1"/>
  <c r="BW29" i="1"/>
  <c r="BV29" i="1"/>
  <c r="BU29" i="1"/>
  <c r="BT29" i="1"/>
  <c r="BS29" i="1"/>
  <c r="BR29" i="1"/>
  <c r="BQ29" i="1"/>
  <c r="BP29" i="1"/>
  <c r="BO29" i="1"/>
  <c r="BN29" i="1"/>
  <c r="BX28" i="1"/>
  <c r="BW28" i="1"/>
  <c r="BV28" i="1"/>
  <c r="BU28" i="1"/>
  <c r="BT28" i="1"/>
  <c r="BS28" i="1"/>
  <c r="BR28" i="1"/>
  <c r="BQ28" i="1"/>
  <c r="BP28" i="1"/>
  <c r="BO28" i="1"/>
  <c r="BN28" i="1"/>
  <c r="BX27" i="1"/>
  <c r="BW27" i="1"/>
  <c r="BV27" i="1"/>
  <c r="BU27" i="1"/>
  <c r="BT27" i="1"/>
  <c r="BS27" i="1"/>
  <c r="BR27" i="1"/>
  <c r="BQ27" i="1"/>
  <c r="BP27" i="1"/>
  <c r="BO27" i="1"/>
  <c r="BN27" i="1"/>
  <c r="BX26" i="1"/>
  <c r="BW26" i="1"/>
  <c r="BV26" i="1"/>
  <c r="BU26" i="1"/>
  <c r="BT26" i="1"/>
  <c r="BS26" i="1"/>
  <c r="BR26" i="1"/>
  <c r="BQ26" i="1"/>
  <c r="BP26" i="1"/>
  <c r="BO26" i="1"/>
  <c r="BN26" i="1"/>
  <c r="BX25" i="1"/>
  <c r="BW25" i="1"/>
  <c r="BV25" i="1"/>
  <c r="BU25" i="1"/>
  <c r="BT25" i="1"/>
  <c r="BS25" i="1"/>
  <c r="BR25" i="1"/>
  <c r="BQ25" i="1"/>
  <c r="BP25" i="1"/>
  <c r="BO25" i="1"/>
  <c r="BN25" i="1"/>
  <c r="BH21" i="1"/>
  <c r="BF21" i="1"/>
  <c r="K34" i="17" s="1"/>
  <c r="BI20" i="1"/>
  <c r="BJ20" i="1" s="1"/>
  <c r="Q100" i="34" s="1"/>
  <c r="Q102" i="34" s="1"/>
  <c r="BI19" i="1"/>
  <c r="BJ19" i="1" s="1"/>
  <c r="BB19" i="1"/>
  <c r="BA19" i="1"/>
  <c r="AY19" i="1"/>
  <c r="AX19" i="1"/>
  <c r="AV19" i="1"/>
  <c r="AU19" i="1"/>
  <c r="AS19" i="1"/>
  <c r="AR19" i="1"/>
  <c r="AP19" i="1"/>
  <c r="AO19" i="1"/>
  <c r="AM19" i="1"/>
  <c r="AL19" i="1"/>
  <c r="AJ19" i="1"/>
  <c r="AI19" i="1"/>
  <c r="AG19" i="1"/>
  <c r="AF19" i="1"/>
  <c r="AD19" i="1"/>
  <c r="AC19" i="1"/>
  <c r="AA19" i="1"/>
  <c r="Z19" i="1"/>
  <c r="X19" i="1"/>
  <c r="W19" i="1"/>
  <c r="U19" i="1"/>
  <c r="T19" i="1"/>
  <c r="O19" i="1"/>
  <c r="BI18" i="1"/>
  <c r="BJ18" i="1" s="1"/>
  <c r="BA18" i="1"/>
  <c r="BB18" i="1" s="1"/>
  <c r="AX18" i="1"/>
  <c r="AY18" i="1" s="1"/>
  <c r="AU18" i="1"/>
  <c r="AV18" i="1" s="1"/>
  <c r="AR18" i="1"/>
  <c r="AO18" i="1"/>
  <c r="AL18" i="1"/>
  <c r="AM18" i="1" s="1"/>
  <c r="AI18" i="1"/>
  <c r="AJ18" i="1" s="1"/>
  <c r="AF18" i="1"/>
  <c r="AC18" i="1"/>
  <c r="AD18" i="1" s="1"/>
  <c r="Z18" i="1"/>
  <c r="AA18" i="1" s="1"/>
  <c r="W18" i="1"/>
  <c r="T18" i="1"/>
  <c r="O18" i="1"/>
  <c r="BI17" i="1"/>
  <c r="BJ17" i="1" s="1"/>
  <c r="O17" i="1"/>
  <c r="BI16" i="1"/>
  <c r="BJ16" i="1" s="1"/>
  <c r="M37" i="25" s="1"/>
  <c r="M39" i="25" s="1"/>
  <c r="BA16" i="1"/>
  <c r="AX16" i="1"/>
  <c r="AU16" i="1"/>
  <c r="AR16" i="1"/>
  <c r="AO16" i="1"/>
  <c r="AL16" i="1"/>
  <c r="AI16" i="1"/>
  <c r="AF16" i="1"/>
  <c r="AC16" i="1"/>
  <c r="Z16" i="1"/>
  <c r="W16" i="1"/>
  <c r="T16" i="1"/>
  <c r="BI15" i="1"/>
  <c r="BB15" i="1"/>
  <c r="AZ15" i="1" s="1"/>
  <c r="AY15" i="1"/>
  <c r="AW15" i="1" s="1"/>
  <c r="AW17" i="1" s="1"/>
  <c r="AV15" i="1"/>
  <c r="AT15" i="1" s="1"/>
  <c r="AS15" i="1"/>
  <c r="AQ15" i="1" s="1"/>
  <c r="AQ17" i="1" s="1"/>
  <c r="AP15" i="1"/>
  <c r="AN15" i="1" s="1"/>
  <c r="AN17" i="1" s="1"/>
  <c r="AM15" i="1"/>
  <c r="AK15" i="1" s="1"/>
  <c r="AJ15" i="1"/>
  <c r="AH15" i="1" s="1"/>
  <c r="AH17" i="1" s="1"/>
  <c r="AG15" i="1"/>
  <c r="AE15" i="1" s="1"/>
  <c r="AE17" i="1" s="1"/>
  <c r="AD15" i="1"/>
  <c r="AB15" i="1" s="1"/>
  <c r="AB17" i="1" s="1"/>
  <c r="AA15" i="1"/>
  <c r="Y15" i="1" s="1"/>
  <c r="Y17" i="1" s="1"/>
  <c r="X15" i="1"/>
  <c r="V15" i="1" s="1"/>
  <c r="V17" i="1" s="1"/>
  <c r="U15" i="1"/>
  <c r="S15" i="1" s="1"/>
  <c r="S17" i="1" s="1"/>
  <c r="O15" i="1"/>
  <c r="BI14" i="1"/>
  <c r="BJ14" i="1" s="1"/>
  <c r="K37" i="25" s="1"/>
  <c r="O14" i="1"/>
  <c r="BR13" i="1"/>
  <c r="BR12" i="1"/>
  <c r="BR9" i="1"/>
  <c r="BR8" i="1"/>
  <c r="BR7" i="1"/>
  <c r="O56" i="25" l="1"/>
  <c r="AG34" i="34"/>
  <c r="AG64" i="34"/>
  <c r="P56" i="25"/>
  <c r="Q18" i="35"/>
  <c r="S18" i="35" s="1"/>
  <c r="Q8" i="25"/>
  <c r="S8" i="25" s="1"/>
  <c r="AG36" i="36"/>
  <c r="O38" i="4"/>
  <c r="O57" i="34" s="1"/>
  <c r="Q57" i="34" s="1"/>
  <c r="S57" i="34" s="1"/>
  <c r="P30" i="24"/>
  <c r="AG4" i="34"/>
  <c r="AG32" i="34"/>
  <c r="AG62" i="34"/>
  <c r="E20" i="25"/>
  <c r="AG33" i="34"/>
  <c r="P30" i="4"/>
  <c r="AG9" i="36"/>
  <c r="Q14" i="36"/>
  <c r="S14" i="36" s="1"/>
  <c r="O53" i="24"/>
  <c r="P27" i="24"/>
  <c r="P33" i="24"/>
  <c r="P16" i="4"/>
  <c r="O21" i="4"/>
  <c r="P22" i="24"/>
  <c r="O9" i="24"/>
  <c r="O55" i="4"/>
  <c r="O71" i="34" s="1"/>
  <c r="Q71" i="34" s="1"/>
  <c r="S71" i="34" s="1"/>
  <c r="O53" i="4"/>
  <c r="O69" i="36" s="1"/>
  <c r="Q69" i="36" s="1"/>
  <c r="S69" i="36" s="1"/>
  <c r="O17" i="24"/>
  <c r="P21" i="24"/>
  <c r="N119" i="35"/>
  <c r="P35" i="24"/>
  <c r="P38" i="24"/>
  <c r="P38" i="4"/>
  <c r="O49" i="4"/>
  <c r="O65" i="36" s="1"/>
  <c r="Q65" i="36" s="1"/>
  <c r="S65" i="36" s="1"/>
  <c r="O35" i="24"/>
  <c r="P14" i="4"/>
  <c r="P35" i="4"/>
  <c r="O38" i="24"/>
  <c r="P24" i="4"/>
  <c r="N12" i="19"/>
  <c r="E38" i="5"/>
  <c r="E40" i="5" s="1"/>
  <c r="O25" i="24"/>
  <c r="D20" i="35"/>
  <c r="D22" i="35" s="1"/>
  <c r="E20" i="35"/>
  <c r="E22" i="35" s="1"/>
  <c r="M119" i="35"/>
  <c r="S119" i="35" s="1"/>
  <c r="Q20" i="35"/>
  <c r="S20" i="35" s="1"/>
  <c r="BY31" i="1"/>
  <c r="BZ31" i="1" s="1"/>
  <c r="G58" i="24"/>
  <c r="Q16" i="34"/>
  <c r="S16" i="34" s="1"/>
  <c r="AG35" i="34"/>
  <c r="AG58" i="34"/>
  <c r="AG32" i="35"/>
  <c r="O35" i="4"/>
  <c r="P11" i="24"/>
  <c r="P14" i="24"/>
  <c r="O22" i="24"/>
  <c r="O28" i="24"/>
  <c r="S14" i="19"/>
  <c r="U14" i="19" s="1"/>
  <c r="V14" i="19" s="1"/>
  <c r="AV17" i="1"/>
  <c r="P15" i="4"/>
  <c r="O8" i="24"/>
  <c r="O11" i="24"/>
  <c r="P31" i="24"/>
  <c r="AF5" i="25"/>
  <c r="Q14" i="34"/>
  <c r="S14" i="34" s="1"/>
  <c r="M119" i="34"/>
  <c r="S119" i="34" s="1"/>
  <c r="AL17" i="1"/>
  <c r="AC17" i="1"/>
  <c r="AF8" i="25"/>
  <c r="AG6" i="35"/>
  <c r="BB17" i="1"/>
  <c r="N119" i="36"/>
  <c r="O30" i="4"/>
  <c r="O33" i="4"/>
  <c r="P3" i="24"/>
  <c r="P26" i="24"/>
  <c r="AG61" i="36"/>
  <c r="S11" i="19"/>
  <c r="U11" i="19" s="1"/>
  <c r="V11" i="19" s="1"/>
  <c r="W17" i="1"/>
  <c r="O7" i="4"/>
  <c r="O26" i="34" s="1"/>
  <c r="Q26" i="34" s="1"/>
  <c r="S26" i="34" s="1"/>
  <c r="O19" i="4"/>
  <c r="O38" i="35" s="1"/>
  <c r="Q38" i="35" s="1"/>
  <c r="S38" i="35" s="1"/>
  <c r="O46" i="4"/>
  <c r="Q15" i="34"/>
  <c r="S15" i="34" s="1"/>
  <c r="Q18" i="34"/>
  <c r="S18" i="34" s="1"/>
  <c r="Q73" i="34"/>
  <c r="S73" i="34" s="1"/>
  <c r="P119" i="36"/>
  <c r="T16" i="19"/>
  <c r="E51" i="23"/>
  <c r="E53" i="23" s="1"/>
  <c r="Q56" i="25"/>
  <c r="K6" i="34"/>
  <c r="BY28" i="1"/>
  <c r="BZ28" i="1" s="1"/>
  <c r="O47" i="4"/>
  <c r="Q12" i="25"/>
  <c r="S12" i="25" s="1"/>
  <c r="O24" i="24"/>
  <c r="O49" i="24"/>
  <c r="N56" i="25"/>
  <c r="AG35" i="36"/>
  <c r="S17" i="19"/>
  <c r="T17" i="19" s="1"/>
  <c r="E64" i="23"/>
  <c r="E67" i="23" s="1"/>
  <c r="P9" i="34" s="1"/>
  <c r="Q9" i="34" s="1"/>
  <c r="S9" i="34" s="1"/>
  <c r="O11" i="4"/>
  <c r="O30" i="35" s="1"/>
  <c r="Q30" i="35" s="1"/>
  <c r="S30" i="35" s="1"/>
  <c r="O14" i="4"/>
  <c r="O33" i="35" s="1"/>
  <c r="Q33" i="35" s="1"/>
  <c r="S33" i="35" s="1"/>
  <c r="O20" i="4"/>
  <c r="O39" i="36" s="1"/>
  <c r="Q39" i="36" s="1"/>
  <c r="S39" i="36" s="1"/>
  <c r="O19" i="24"/>
  <c r="P36" i="24"/>
  <c r="AF7" i="25"/>
  <c r="Q13" i="34"/>
  <c r="S13" i="34" s="1"/>
  <c r="AG31" i="34"/>
  <c r="AG9" i="35"/>
  <c r="AG8" i="36"/>
  <c r="AG62" i="36"/>
  <c r="E21" i="36"/>
  <c r="E20" i="36"/>
  <c r="N119" i="34"/>
  <c r="AG59" i="36"/>
  <c r="O22" i="4"/>
  <c r="O41" i="35" s="1"/>
  <c r="Q41" i="35" s="1"/>
  <c r="S41" i="35" s="1"/>
  <c r="O28" i="4"/>
  <c r="O47" i="36" s="1"/>
  <c r="Q47" i="36" s="1"/>
  <c r="S47" i="36" s="1"/>
  <c r="P7" i="24"/>
  <c r="P23" i="24"/>
  <c r="O55" i="24"/>
  <c r="O36" i="4"/>
  <c r="O55" i="35" s="1"/>
  <c r="Q55" i="35" s="1"/>
  <c r="S55" i="35" s="1"/>
  <c r="AG6" i="36"/>
  <c r="P11" i="4"/>
  <c r="P28" i="4"/>
  <c r="O51" i="4"/>
  <c r="O67" i="36" s="1"/>
  <c r="Q67" i="36" s="1"/>
  <c r="S67" i="36" s="1"/>
  <c r="O15" i="24"/>
  <c r="O31" i="24"/>
  <c r="P15" i="24"/>
  <c r="O33" i="24"/>
  <c r="AG31" i="36"/>
  <c r="AG33" i="36"/>
  <c r="F20" i="25"/>
  <c r="F22" i="25" s="1"/>
  <c r="P25" i="4"/>
  <c r="AU17" i="1"/>
  <c r="AD17" i="1"/>
  <c r="P6" i="4"/>
  <c r="P20" i="4"/>
  <c r="P16" i="24"/>
  <c r="AG6" i="34"/>
  <c r="P9" i="4"/>
  <c r="P12" i="4"/>
  <c r="P23" i="4"/>
  <c r="P26" i="4"/>
  <c r="P29" i="4"/>
  <c r="O16" i="24"/>
  <c r="P29" i="24"/>
  <c r="O47" i="24"/>
  <c r="Q19" i="34"/>
  <c r="S19" i="34" s="1"/>
  <c r="BY30" i="1"/>
  <c r="BZ30" i="1" s="1"/>
  <c r="O9" i="4"/>
  <c r="O12" i="4"/>
  <c r="O23" i="4"/>
  <c r="O42" i="34" s="1"/>
  <c r="Q42" i="34" s="1"/>
  <c r="S42" i="34" s="1"/>
  <c r="O26" i="4"/>
  <c r="O45" i="36" s="1"/>
  <c r="Q45" i="36" s="1"/>
  <c r="S45" i="36" s="1"/>
  <c r="P32" i="4"/>
  <c r="O14" i="24"/>
  <c r="F58" i="24"/>
  <c r="AF6" i="25"/>
  <c r="AG37" i="35"/>
  <c r="E22" i="25"/>
  <c r="E23" i="23"/>
  <c r="E25" i="23" s="1"/>
  <c r="P6" i="25" s="1"/>
  <c r="Q6" i="25" s="1"/>
  <c r="S6" i="25" s="1"/>
  <c r="P4" i="4"/>
  <c r="P18" i="4"/>
  <c r="P21" i="4"/>
  <c r="O27" i="4"/>
  <c r="P17" i="24"/>
  <c r="P19" i="24"/>
  <c r="P8" i="4"/>
  <c r="P28" i="24"/>
  <c r="O7" i="24"/>
  <c r="O16" i="4"/>
  <c r="O35" i="35" s="1"/>
  <c r="Q35" i="35" s="1"/>
  <c r="S35" i="35" s="1"/>
  <c r="O18" i="4"/>
  <c r="O37" i="36" s="1"/>
  <c r="Q37" i="36" s="1"/>
  <c r="S37" i="36" s="1"/>
  <c r="C58" i="24"/>
  <c r="AG5" i="34"/>
  <c r="Q20" i="34"/>
  <c r="S20" i="34" s="1"/>
  <c r="AG63" i="34"/>
  <c r="O119" i="34"/>
  <c r="AG5" i="36"/>
  <c r="AG60" i="36"/>
  <c r="K10" i="17"/>
  <c r="O51" i="24"/>
  <c r="AG61" i="35"/>
  <c r="AA78" i="35"/>
  <c r="Q18" i="36"/>
  <c r="S18" i="36" s="1"/>
  <c r="K5" i="17"/>
  <c r="P9" i="24"/>
  <c r="D21" i="25"/>
  <c r="D20" i="25"/>
  <c r="T9" i="19"/>
  <c r="U9" i="19"/>
  <c r="V9" i="19" s="1"/>
  <c r="U22" i="34"/>
  <c r="V22" i="34" s="1"/>
  <c r="U11" i="25"/>
  <c r="AK17" i="1"/>
  <c r="O34" i="4"/>
  <c r="O53" i="35" s="1"/>
  <c r="Q53" i="35" s="1"/>
  <c r="S53" i="35" s="1"/>
  <c r="G41" i="4"/>
  <c r="O6" i="24"/>
  <c r="O10" i="24"/>
  <c r="P20" i="24"/>
  <c r="O36" i="24"/>
  <c r="K5" i="25"/>
  <c r="AG60" i="34"/>
  <c r="Q13" i="35"/>
  <c r="S13" i="35" s="1"/>
  <c r="S7" i="19"/>
  <c r="U7" i="19" s="1"/>
  <c r="V7" i="19" s="1"/>
  <c r="U12" i="23"/>
  <c r="P9" i="25" s="1"/>
  <c r="Q9" i="25" s="1"/>
  <c r="S9" i="25" s="1"/>
  <c r="C41" i="4"/>
  <c r="P37" i="4"/>
  <c r="O45" i="4"/>
  <c r="O45" i="24"/>
  <c r="AA51" i="34"/>
  <c r="AG36" i="35"/>
  <c r="AG59" i="35"/>
  <c r="AA24" i="36"/>
  <c r="U12" i="5"/>
  <c r="U14" i="5" s="1"/>
  <c r="O37" i="4"/>
  <c r="O56" i="35" s="1"/>
  <c r="Q56" i="35" s="1"/>
  <c r="S56" i="35" s="1"/>
  <c r="P4" i="24"/>
  <c r="P25" i="24"/>
  <c r="O27" i="24"/>
  <c r="P34" i="24"/>
  <c r="AG59" i="34"/>
  <c r="Q16" i="35"/>
  <c r="S16" i="35" s="1"/>
  <c r="Y38" i="35"/>
  <c r="AG63" i="35"/>
  <c r="Q20" i="36"/>
  <c r="S20" i="36" s="1"/>
  <c r="AG58" i="36"/>
  <c r="M119" i="36"/>
  <c r="S119" i="36" s="1"/>
  <c r="V16" i="19"/>
  <c r="E38" i="23"/>
  <c r="E41" i="23" s="1"/>
  <c r="P7" i="34" s="1"/>
  <c r="Q7" i="34" s="1"/>
  <c r="S7" i="34" s="1"/>
  <c r="O4" i="24"/>
  <c r="O34" i="24"/>
  <c r="O37" i="24"/>
  <c r="M56" i="25"/>
  <c r="S56" i="25" s="1"/>
  <c r="Y38" i="34"/>
  <c r="AA78" i="34"/>
  <c r="Y11" i="35"/>
  <c r="BA17" i="1"/>
  <c r="AZ17" i="1"/>
  <c r="AJ17" i="1"/>
  <c r="BY33" i="1"/>
  <c r="BZ33" i="1" s="1"/>
  <c r="BY32" i="1"/>
  <c r="BZ32" i="1" s="1"/>
  <c r="U25" i="5"/>
  <c r="U27" i="5" s="1"/>
  <c r="H58" i="24"/>
  <c r="Q14" i="35"/>
  <c r="S14" i="35" s="1"/>
  <c r="Q16" i="36"/>
  <c r="S16" i="36" s="1"/>
  <c r="AG34" i="36"/>
  <c r="O119" i="36"/>
  <c r="N9" i="19"/>
  <c r="Y65" i="36"/>
  <c r="Q73" i="36"/>
  <c r="S73" i="36" s="1"/>
  <c r="AM17" i="1"/>
  <c r="AO17" i="1"/>
  <c r="BY29" i="1"/>
  <c r="BZ29" i="1" s="1"/>
  <c r="M26" i="5"/>
  <c r="M29" i="5" s="1"/>
  <c r="O8" i="4"/>
  <c r="O27" i="36" s="1"/>
  <c r="Q27" i="36" s="1"/>
  <c r="S27" i="36" s="1"/>
  <c r="P10" i="4"/>
  <c r="O24" i="4"/>
  <c r="O43" i="36" s="1"/>
  <c r="Q43" i="36" s="1"/>
  <c r="S43" i="36" s="1"/>
  <c r="P5" i="24"/>
  <c r="O23" i="24"/>
  <c r="AF9" i="25"/>
  <c r="E21" i="34"/>
  <c r="E22" i="34" s="1"/>
  <c r="AE5" i="35"/>
  <c r="AG5" i="35" s="1"/>
  <c r="AG7" i="36"/>
  <c r="AA51" i="36"/>
  <c r="N13" i="19"/>
  <c r="X18" i="1"/>
  <c r="X17" i="1" s="1"/>
  <c r="M26" i="23"/>
  <c r="M29" i="23" s="1"/>
  <c r="P12" i="35" s="1"/>
  <c r="Q12" i="35" s="1"/>
  <c r="S12" i="35" s="1"/>
  <c r="O10" i="4"/>
  <c r="O29" i="35" s="1"/>
  <c r="Q29" i="35" s="1"/>
  <c r="S29" i="35" s="1"/>
  <c r="O5" i="24"/>
  <c r="P12" i="24"/>
  <c r="AG61" i="34"/>
  <c r="P119" i="34"/>
  <c r="AG33" i="35"/>
  <c r="BY25" i="1"/>
  <c r="BZ25" i="1" s="1"/>
  <c r="BY26" i="1"/>
  <c r="BZ26" i="1" s="1"/>
  <c r="E10" i="23"/>
  <c r="E12" i="23" s="1"/>
  <c r="P5" i="25" s="1"/>
  <c r="Q5" i="25" s="1"/>
  <c r="S5" i="25" s="1"/>
  <c r="P22" i="4"/>
  <c r="P36" i="4"/>
  <c r="P24" i="24"/>
  <c r="AF10" i="25"/>
  <c r="AG7" i="34"/>
  <c r="Q119" i="34"/>
  <c r="AG64" i="35"/>
  <c r="Q73" i="35"/>
  <c r="S73" i="35" s="1"/>
  <c r="O119" i="35"/>
  <c r="Q19" i="36"/>
  <c r="S19" i="36" s="1"/>
  <c r="U17" i="19"/>
  <c r="V17" i="19" s="1"/>
  <c r="P27" i="4"/>
  <c r="AF4" i="25"/>
  <c r="Q15" i="35"/>
  <c r="S15" i="35" s="1"/>
  <c r="Q119" i="35"/>
  <c r="Q15" i="36"/>
  <c r="S15" i="36" s="1"/>
  <c r="AG37" i="36"/>
  <c r="Y11" i="34"/>
  <c r="AI17" i="1"/>
  <c r="E23" i="5"/>
  <c r="E25" i="5" s="1"/>
  <c r="O29" i="4"/>
  <c r="O48" i="36" s="1"/>
  <c r="Q48" i="36" s="1"/>
  <c r="S48" i="36" s="1"/>
  <c r="O32" i="4"/>
  <c r="O51" i="36" s="1"/>
  <c r="Q51" i="36" s="1"/>
  <c r="S51" i="36" s="1"/>
  <c r="P34" i="4"/>
  <c r="P10" i="24"/>
  <c r="O29" i="24"/>
  <c r="D58" i="24"/>
  <c r="E58" i="24"/>
  <c r="AG63" i="36"/>
  <c r="T14" i="19"/>
  <c r="S18" i="19"/>
  <c r="U18" i="19" s="1"/>
  <c r="V18" i="19" s="1"/>
  <c r="O100" i="35"/>
  <c r="O102" i="35" s="1"/>
  <c r="O100" i="34"/>
  <c r="O102" i="34" s="1"/>
  <c r="O100" i="36"/>
  <c r="O102" i="36" s="1"/>
  <c r="O37" i="25"/>
  <c r="O39" i="25" s="1"/>
  <c r="U30" i="35"/>
  <c r="V30" i="35" s="1"/>
  <c r="U30" i="36"/>
  <c r="V30" i="36" s="1"/>
  <c r="U30" i="34"/>
  <c r="V30" i="34" s="1"/>
  <c r="U40" i="36"/>
  <c r="V40" i="36" s="1"/>
  <c r="U40" i="35"/>
  <c r="V40" i="35" s="1"/>
  <c r="U40" i="34"/>
  <c r="V40" i="34" s="1"/>
  <c r="O32" i="36"/>
  <c r="Q32" i="36" s="1"/>
  <c r="S32" i="36" s="1"/>
  <c r="O32" i="35"/>
  <c r="Q32" i="35" s="1"/>
  <c r="S32" i="35" s="1"/>
  <c r="O32" i="34"/>
  <c r="Q32" i="34" s="1"/>
  <c r="S32" i="34" s="1"/>
  <c r="U57" i="35"/>
  <c r="V57" i="35" s="1"/>
  <c r="U57" i="34"/>
  <c r="V57" i="34" s="1"/>
  <c r="U57" i="36"/>
  <c r="V57" i="36" s="1"/>
  <c r="U42" i="36"/>
  <c r="V42" i="36" s="1"/>
  <c r="U42" i="34"/>
  <c r="V42" i="34" s="1"/>
  <c r="U42" i="35"/>
  <c r="V42" i="35" s="1"/>
  <c r="U51" i="36"/>
  <c r="V51" i="36" s="1"/>
  <c r="U51" i="35"/>
  <c r="V51" i="35" s="1"/>
  <c r="O50" i="4"/>
  <c r="T17" i="1"/>
  <c r="U23" i="36"/>
  <c r="V23" i="36" s="1"/>
  <c r="U23" i="35"/>
  <c r="V23" i="35" s="1"/>
  <c r="Z17" i="1"/>
  <c r="E10" i="5"/>
  <c r="E67" i="5"/>
  <c r="O4" i="4"/>
  <c r="O26" i="36"/>
  <c r="Q26" i="36" s="1"/>
  <c r="S26" i="36" s="1"/>
  <c r="O17" i="4"/>
  <c r="P19" i="4"/>
  <c r="U49" i="36"/>
  <c r="V49" i="36" s="1"/>
  <c r="U49" i="34"/>
  <c r="V49" i="34" s="1"/>
  <c r="U56" i="36"/>
  <c r="V56" i="36" s="1"/>
  <c r="U56" i="34"/>
  <c r="V56" i="34" s="1"/>
  <c r="U56" i="35"/>
  <c r="V56" i="35" s="1"/>
  <c r="U61" i="36"/>
  <c r="V61" i="36" s="1"/>
  <c r="U61" i="35"/>
  <c r="V61" i="35" s="1"/>
  <c r="U61" i="34"/>
  <c r="V61" i="34" s="1"/>
  <c r="O48" i="4"/>
  <c r="U66" i="35"/>
  <c r="V66" i="35" s="1"/>
  <c r="U66" i="36"/>
  <c r="V66" i="36" s="1"/>
  <c r="U66" i="34"/>
  <c r="V66" i="34" s="1"/>
  <c r="AK65" i="36"/>
  <c r="AK67" i="36" s="1"/>
  <c r="AK65" i="35"/>
  <c r="AK67" i="35" s="1"/>
  <c r="AA24" i="34"/>
  <c r="D20" i="36"/>
  <c r="D21" i="36"/>
  <c r="P7" i="36"/>
  <c r="Q7" i="36" s="1"/>
  <c r="S7" i="36" s="1"/>
  <c r="H58" i="4"/>
  <c r="U33" i="36"/>
  <c r="V33" i="36" s="1"/>
  <c r="U33" i="35"/>
  <c r="V33" i="35" s="1"/>
  <c r="U33" i="34"/>
  <c r="V33" i="34" s="1"/>
  <c r="P13" i="4"/>
  <c r="O56" i="36"/>
  <c r="Q56" i="36" s="1"/>
  <c r="S56" i="36" s="1"/>
  <c r="O56" i="34"/>
  <c r="Q56" i="34" s="1"/>
  <c r="S56" i="34" s="1"/>
  <c r="AT17" i="1"/>
  <c r="U18" i="1"/>
  <c r="AR17" i="1"/>
  <c r="AS18" i="1"/>
  <c r="AS17" i="1" s="1"/>
  <c r="BY27" i="1"/>
  <c r="BZ27" i="1" s="1"/>
  <c r="M11" i="5"/>
  <c r="E51" i="5"/>
  <c r="U38" i="36"/>
  <c r="V38" i="36" s="1"/>
  <c r="U38" i="35"/>
  <c r="V38" i="35" s="1"/>
  <c r="U38" i="34"/>
  <c r="V38" i="34" s="1"/>
  <c r="O43" i="34"/>
  <c r="Q43" i="34" s="1"/>
  <c r="S43" i="34" s="1"/>
  <c r="U47" i="35"/>
  <c r="V47" i="35" s="1"/>
  <c r="U47" i="36"/>
  <c r="V47" i="36" s="1"/>
  <c r="P31" i="4"/>
  <c r="O31" i="4"/>
  <c r="U54" i="36"/>
  <c r="V54" i="36" s="1"/>
  <c r="U54" i="34"/>
  <c r="V54" i="34" s="1"/>
  <c r="U54" i="35"/>
  <c r="V54" i="35" s="1"/>
  <c r="O20" i="24"/>
  <c r="P32" i="24"/>
  <c r="O32" i="24"/>
  <c r="P48" i="24"/>
  <c r="O48" i="24"/>
  <c r="AP18" i="1"/>
  <c r="AP17" i="1" s="1"/>
  <c r="Q100" i="35"/>
  <c r="Q102" i="35" s="1"/>
  <c r="Q100" i="36"/>
  <c r="Q102" i="36" s="1"/>
  <c r="Q37" i="25"/>
  <c r="Q39" i="25" s="1"/>
  <c r="O40" i="35"/>
  <c r="Q40" i="35" s="1"/>
  <c r="S40" i="35" s="1"/>
  <c r="O40" i="34"/>
  <c r="Q40" i="34" s="1"/>
  <c r="S40" i="34" s="1"/>
  <c r="O40" i="36"/>
  <c r="Q40" i="36" s="1"/>
  <c r="S40" i="36" s="1"/>
  <c r="O18" i="24"/>
  <c r="U35" i="35"/>
  <c r="V35" i="35" s="1"/>
  <c r="U35" i="36"/>
  <c r="V35" i="36" s="1"/>
  <c r="U35" i="34"/>
  <c r="V35" i="34" s="1"/>
  <c r="U29" i="35"/>
  <c r="V29" i="35" s="1"/>
  <c r="U29" i="36"/>
  <c r="V29" i="36" s="1"/>
  <c r="U29" i="34"/>
  <c r="V29" i="34" s="1"/>
  <c r="U68" i="36"/>
  <c r="U68" i="35"/>
  <c r="U68" i="34"/>
  <c r="O49" i="36"/>
  <c r="Q49" i="36" s="1"/>
  <c r="S49" i="36" s="1"/>
  <c r="O49" i="34"/>
  <c r="Q49" i="34" s="1"/>
  <c r="S49" i="34" s="1"/>
  <c r="O49" i="35"/>
  <c r="Q49" i="35" s="1"/>
  <c r="S49" i="35" s="1"/>
  <c r="M11" i="23"/>
  <c r="U32" i="36"/>
  <c r="V32" i="36" s="1"/>
  <c r="U32" i="35"/>
  <c r="V32" i="35" s="1"/>
  <c r="U32" i="34"/>
  <c r="V32" i="34" s="1"/>
  <c r="O15" i="4"/>
  <c r="U64" i="36"/>
  <c r="V64" i="36" s="1"/>
  <c r="U64" i="35"/>
  <c r="V64" i="35" s="1"/>
  <c r="U64" i="34"/>
  <c r="V64" i="34" s="1"/>
  <c r="AA17" i="1"/>
  <c r="U25" i="23"/>
  <c r="U27" i="23" s="1"/>
  <c r="P5" i="4"/>
  <c r="O28" i="35"/>
  <c r="Q28" i="35" s="1"/>
  <c r="S28" i="35" s="1"/>
  <c r="O28" i="34"/>
  <c r="Q28" i="34" s="1"/>
  <c r="S28" i="34" s="1"/>
  <c r="O28" i="36"/>
  <c r="Q28" i="36" s="1"/>
  <c r="S28" i="36" s="1"/>
  <c r="U45" i="35"/>
  <c r="V45" i="35" s="1"/>
  <c r="U45" i="34"/>
  <c r="V45" i="34" s="1"/>
  <c r="U45" i="36"/>
  <c r="V45" i="36" s="1"/>
  <c r="O52" i="35"/>
  <c r="Q52" i="35" s="1"/>
  <c r="S52" i="35" s="1"/>
  <c r="O52" i="34"/>
  <c r="Q52" i="34" s="1"/>
  <c r="S52" i="34" s="1"/>
  <c r="O52" i="36"/>
  <c r="Q52" i="36" s="1"/>
  <c r="S52" i="36" s="1"/>
  <c r="O30" i="24"/>
  <c r="P37" i="24"/>
  <c r="P46" i="24"/>
  <c r="O46" i="24"/>
  <c r="Z65" i="34"/>
  <c r="U49" i="35"/>
  <c r="V49" i="35" s="1"/>
  <c r="U27" i="35"/>
  <c r="V27" i="35" s="1"/>
  <c r="U27" i="36"/>
  <c r="V27" i="36" s="1"/>
  <c r="U27" i="34"/>
  <c r="V27" i="34" s="1"/>
  <c r="F41" i="24"/>
  <c r="D41" i="24"/>
  <c r="P18" i="24"/>
  <c r="P17" i="4"/>
  <c r="P13" i="24"/>
  <c r="P50" i="24"/>
  <c r="O50" i="24"/>
  <c r="BI21" i="1"/>
  <c r="E26" i="23"/>
  <c r="P6" i="34" s="1"/>
  <c r="H41" i="4"/>
  <c r="P3" i="4"/>
  <c r="O54" i="35"/>
  <c r="Q54" i="35" s="1"/>
  <c r="S54" i="35" s="1"/>
  <c r="O54" i="34"/>
  <c r="Q54" i="34" s="1"/>
  <c r="S54" i="34" s="1"/>
  <c r="O54" i="36"/>
  <c r="Q54" i="36" s="1"/>
  <c r="S54" i="36" s="1"/>
  <c r="O62" i="35"/>
  <c r="Q62" i="35" s="1"/>
  <c r="S62" i="35" s="1"/>
  <c r="O62" i="36"/>
  <c r="Q62" i="36" s="1"/>
  <c r="S62" i="36" s="1"/>
  <c r="O62" i="34"/>
  <c r="Q62" i="34" s="1"/>
  <c r="S62" i="34" s="1"/>
  <c r="U71" i="36"/>
  <c r="V71" i="36" s="1"/>
  <c r="U71" i="34"/>
  <c r="V71" i="34" s="1"/>
  <c r="U71" i="35"/>
  <c r="V71" i="35" s="1"/>
  <c r="BJ15" i="1"/>
  <c r="AY17" i="1"/>
  <c r="N21" i="7"/>
  <c r="H32" i="7" s="1"/>
  <c r="AX17" i="1"/>
  <c r="F41" i="4"/>
  <c r="E41" i="4"/>
  <c r="D41" i="4"/>
  <c r="O5" i="4"/>
  <c r="P7" i="4"/>
  <c r="G58" i="4"/>
  <c r="F58" i="4"/>
  <c r="E58" i="4"/>
  <c r="D58" i="4"/>
  <c r="C58" i="4"/>
  <c r="O44" i="4"/>
  <c r="U62" i="36"/>
  <c r="V62" i="36" s="1"/>
  <c r="U62" i="35"/>
  <c r="V62" i="35" s="1"/>
  <c r="U62" i="34"/>
  <c r="V62" i="34" s="1"/>
  <c r="U69" i="36"/>
  <c r="V69" i="36" s="1"/>
  <c r="U69" i="34"/>
  <c r="V69" i="34" s="1"/>
  <c r="U69" i="35"/>
  <c r="V69" i="35" s="1"/>
  <c r="O56" i="4"/>
  <c r="O6" i="35"/>
  <c r="O6" i="36"/>
  <c r="O12" i="24"/>
  <c r="O6" i="34"/>
  <c r="AK65" i="34"/>
  <c r="AK67" i="34" s="1"/>
  <c r="P100" i="36"/>
  <c r="P102" i="36" s="1"/>
  <c r="P100" i="35"/>
  <c r="P102" i="35" s="1"/>
  <c r="P100" i="34"/>
  <c r="P102" i="34" s="1"/>
  <c r="P37" i="25"/>
  <c r="P39" i="25" s="1"/>
  <c r="O6" i="4"/>
  <c r="U53" i="36"/>
  <c r="V53" i="36" s="1"/>
  <c r="U53" i="35"/>
  <c r="V53" i="35" s="1"/>
  <c r="U53" i="34"/>
  <c r="V53" i="34" s="1"/>
  <c r="P52" i="24"/>
  <c r="O52" i="24"/>
  <c r="K100" i="36"/>
  <c r="K100" i="35"/>
  <c r="K100" i="34"/>
  <c r="U28" i="36"/>
  <c r="V28" i="36" s="1"/>
  <c r="U28" i="35"/>
  <c r="V28" i="35" s="1"/>
  <c r="U41" i="36"/>
  <c r="V41" i="36" s="1"/>
  <c r="U41" i="34"/>
  <c r="V41" i="34" s="1"/>
  <c r="U41" i="35"/>
  <c r="V41" i="35" s="1"/>
  <c r="U50" i="35"/>
  <c r="V50" i="35" s="1"/>
  <c r="U50" i="34"/>
  <c r="V50" i="34" s="1"/>
  <c r="U50" i="36"/>
  <c r="V50" i="36" s="1"/>
  <c r="U52" i="36"/>
  <c r="V52" i="36" s="1"/>
  <c r="U52" i="34"/>
  <c r="V52" i="34" s="1"/>
  <c r="U52" i="35"/>
  <c r="V52" i="35" s="1"/>
  <c r="P56" i="24"/>
  <c r="O56" i="24"/>
  <c r="U28" i="34"/>
  <c r="V28" i="34" s="1"/>
  <c r="AB33" i="34"/>
  <c r="Z38" i="34"/>
  <c r="U25" i="36"/>
  <c r="V25" i="36" s="1"/>
  <c r="U25" i="35"/>
  <c r="V25" i="35" s="1"/>
  <c r="U25" i="34"/>
  <c r="V25" i="34" s="1"/>
  <c r="U63" i="36"/>
  <c r="V63" i="36" s="1"/>
  <c r="U63" i="35"/>
  <c r="V63" i="35" s="1"/>
  <c r="U63" i="34"/>
  <c r="V63" i="34" s="1"/>
  <c r="AE32" i="36"/>
  <c r="AG32" i="36" s="1"/>
  <c r="Y38" i="36"/>
  <c r="M100" i="36"/>
  <c r="M102" i="36" s="1"/>
  <c r="M100" i="35"/>
  <c r="M102" i="35" s="1"/>
  <c r="U26" i="35"/>
  <c r="V26" i="35" s="1"/>
  <c r="U26" i="36"/>
  <c r="V26" i="36" s="1"/>
  <c r="U26" i="34"/>
  <c r="V26" i="34" s="1"/>
  <c r="U39" i="36"/>
  <c r="V39" i="36" s="1"/>
  <c r="U39" i="35"/>
  <c r="V39" i="35" s="1"/>
  <c r="U39" i="34"/>
  <c r="V39" i="34" s="1"/>
  <c r="G41" i="24"/>
  <c r="O11" i="25"/>
  <c r="Q11" i="25" s="1"/>
  <c r="S11" i="25" s="1"/>
  <c r="P8" i="24"/>
  <c r="AF17" i="1"/>
  <c r="AG18" i="1"/>
  <c r="AG17" i="1" s="1"/>
  <c r="E13" i="23"/>
  <c r="P5" i="34" s="1"/>
  <c r="E54" i="23"/>
  <c r="P8" i="34" s="1"/>
  <c r="Q8" i="34" s="1"/>
  <c r="S8" i="34" s="1"/>
  <c r="O3" i="4"/>
  <c r="O31" i="35"/>
  <c r="Q31" i="35" s="1"/>
  <c r="S31" i="35" s="1"/>
  <c r="O31" i="36"/>
  <c r="Q31" i="36" s="1"/>
  <c r="S31" i="36" s="1"/>
  <c r="O31" i="34"/>
  <c r="Q31" i="34" s="1"/>
  <c r="S31" i="34" s="1"/>
  <c r="U37" i="36"/>
  <c r="V37" i="36" s="1"/>
  <c r="U37" i="35"/>
  <c r="V37" i="35" s="1"/>
  <c r="U37" i="34"/>
  <c r="V37" i="34" s="1"/>
  <c r="O25" i="4"/>
  <c r="U60" i="36"/>
  <c r="V60" i="36" s="1"/>
  <c r="U60" i="35"/>
  <c r="V60" i="35" s="1"/>
  <c r="U60" i="34"/>
  <c r="V60" i="34" s="1"/>
  <c r="U12" i="25"/>
  <c r="U67" i="36"/>
  <c r="V67" i="36" s="1"/>
  <c r="U67" i="35"/>
  <c r="V67" i="35" s="1"/>
  <c r="U67" i="34"/>
  <c r="V67" i="34" s="1"/>
  <c r="O54" i="4"/>
  <c r="U72" i="36"/>
  <c r="V72" i="36" s="1"/>
  <c r="U72" i="34"/>
  <c r="V72" i="34" s="1"/>
  <c r="U72" i="35"/>
  <c r="V72" i="35" s="1"/>
  <c r="P6" i="24"/>
  <c r="P44" i="24"/>
  <c r="O44" i="24"/>
  <c r="D21" i="34"/>
  <c r="D20" i="34"/>
  <c r="G20" i="34" s="1"/>
  <c r="K109" i="34" s="1"/>
  <c r="S110" i="34" s="1"/>
  <c r="S122" i="34" s="1"/>
  <c r="AE58" i="35"/>
  <c r="AG58" i="35" s="1"/>
  <c r="Y65" i="35"/>
  <c r="H41" i="24"/>
  <c r="P54" i="24"/>
  <c r="O54" i="24"/>
  <c r="U31" i="36"/>
  <c r="V31" i="36" s="1"/>
  <c r="U31" i="35"/>
  <c r="V31" i="35" s="1"/>
  <c r="U31" i="34"/>
  <c r="V31" i="34" s="1"/>
  <c r="U44" i="36"/>
  <c r="V44" i="36" s="1"/>
  <c r="U44" i="35"/>
  <c r="V44" i="35" s="1"/>
  <c r="U44" i="34"/>
  <c r="V44" i="34" s="1"/>
  <c r="O46" i="36"/>
  <c r="Q46" i="36" s="1"/>
  <c r="S46" i="36" s="1"/>
  <c r="O46" i="35"/>
  <c r="Q46" i="35" s="1"/>
  <c r="S46" i="35" s="1"/>
  <c r="O46" i="34"/>
  <c r="Q46" i="34" s="1"/>
  <c r="S46" i="34" s="1"/>
  <c r="O53" i="36"/>
  <c r="Q53" i="36" s="1"/>
  <c r="S53" i="36" s="1"/>
  <c r="O53" i="34"/>
  <c r="Q53" i="34" s="1"/>
  <c r="S53" i="34" s="1"/>
  <c r="U65" i="36"/>
  <c r="V65" i="36" s="1"/>
  <c r="U65" i="35"/>
  <c r="V65" i="35" s="1"/>
  <c r="U65" i="34"/>
  <c r="V65" i="34" s="1"/>
  <c r="O52" i="4"/>
  <c r="U70" i="35"/>
  <c r="V70" i="35" s="1"/>
  <c r="U70" i="34"/>
  <c r="V70" i="34" s="1"/>
  <c r="U70" i="36"/>
  <c r="V70" i="36" s="1"/>
  <c r="U51" i="34"/>
  <c r="V51" i="34" s="1"/>
  <c r="M100" i="34"/>
  <c r="M102" i="34" s="1"/>
  <c r="Y65" i="34"/>
  <c r="C41" i="24"/>
  <c r="AN65" i="36"/>
  <c r="AN65" i="34"/>
  <c r="AA51" i="35"/>
  <c r="J5" i="36"/>
  <c r="J5" i="35"/>
  <c r="AG34" i="35"/>
  <c r="K5" i="35"/>
  <c r="K5" i="36"/>
  <c r="E41" i="24"/>
  <c r="AN11" i="35"/>
  <c r="AN11" i="36"/>
  <c r="F21" i="34"/>
  <c r="F22" i="34" s="1"/>
  <c r="AN65" i="35"/>
  <c r="O5" i="34"/>
  <c r="O5" i="35"/>
  <c r="O5" i="36"/>
  <c r="O3" i="24"/>
  <c r="AK38" i="36"/>
  <c r="AK40" i="36" s="1"/>
  <c r="AK38" i="34"/>
  <c r="AK40" i="34" s="1"/>
  <c r="F21" i="35"/>
  <c r="F22" i="35" s="1"/>
  <c r="N100" i="36"/>
  <c r="N102" i="36" s="1"/>
  <c r="N100" i="35"/>
  <c r="N102" i="35" s="1"/>
  <c r="N100" i="34"/>
  <c r="N102" i="34" s="1"/>
  <c r="N37" i="25"/>
  <c r="N39" i="25" s="1"/>
  <c r="U22" i="36"/>
  <c r="V22" i="36" s="1"/>
  <c r="U22" i="35"/>
  <c r="V22" i="35" s="1"/>
  <c r="U34" i="36"/>
  <c r="V34" i="36" s="1"/>
  <c r="U34" i="35"/>
  <c r="V34" i="35" s="1"/>
  <c r="AN38" i="35"/>
  <c r="AN38" i="36"/>
  <c r="AN38" i="34"/>
  <c r="Z11" i="34"/>
  <c r="AE4" i="36"/>
  <c r="AG4" i="36" s="1"/>
  <c r="Y11" i="36"/>
  <c r="U46" i="36"/>
  <c r="V46" i="36" s="1"/>
  <c r="U46" i="34"/>
  <c r="V46" i="34" s="1"/>
  <c r="U46" i="35"/>
  <c r="V46" i="35" s="1"/>
  <c r="J6" i="35"/>
  <c r="J6" i="36"/>
  <c r="AG8" i="34"/>
  <c r="U34" i="34"/>
  <c r="V34" i="34" s="1"/>
  <c r="U24" i="36"/>
  <c r="V24" i="36" s="1"/>
  <c r="U24" i="35"/>
  <c r="V24" i="35" s="1"/>
  <c r="U36" i="36"/>
  <c r="V36" i="36" s="1"/>
  <c r="U36" i="35"/>
  <c r="V36" i="35" s="1"/>
  <c r="U48" i="36"/>
  <c r="V48" i="36" s="1"/>
  <c r="U48" i="35"/>
  <c r="V48" i="35" s="1"/>
  <c r="O61" i="35"/>
  <c r="Q61" i="35" s="1"/>
  <c r="S61" i="35" s="1"/>
  <c r="O61" i="36"/>
  <c r="Q61" i="36" s="1"/>
  <c r="S61" i="36" s="1"/>
  <c r="O61" i="34"/>
  <c r="Q61" i="34" s="1"/>
  <c r="S61" i="34" s="1"/>
  <c r="O63" i="36"/>
  <c r="Q63" i="36" s="1"/>
  <c r="S63" i="36" s="1"/>
  <c r="O63" i="35"/>
  <c r="Q63" i="35" s="1"/>
  <c r="S63" i="35" s="1"/>
  <c r="O63" i="34"/>
  <c r="Q63" i="34" s="1"/>
  <c r="S63" i="34" s="1"/>
  <c r="O65" i="35"/>
  <c r="Q65" i="35" s="1"/>
  <c r="S65" i="35" s="1"/>
  <c r="O65" i="34"/>
  <c r="Q65" i="34" s="1"/>
  <c r="S65" i="34" s="1"/>
  <c r="K6" i="36"/>
  <c r="K6" i="35"/>
  <c r="AN11" i="34"/>
  <c r="AG37" i="34"/>
  <c r="Z11" i="35"/>
  <c r="AA24" i="35"/>
  <c r="U43" i="35"/>
  <c r="V43" i="35" s="1"/>
  <c r="U43" i="36"/>
  <c r="V43" i="36" s="1"/>
  <c r="U55" i="36"/>
  <c r="V55" i="36" s="1"/>
  <c r="U55" i="35"/>
  <c r="V55" i="35" s="1"/>
  <c r="U55" i="34"/>
  <c r="V55" i="34" s="1"/>
  <c r="O57" i="35"/>
  <c r="Q57" i="35" s="1"/>
  <c r="S57" i="35" s="1"/>
  <c r="O57" i="36"/>
  <c r="Q57" i="36" s="1"/>
  <c r="S57" i="36" s="1"/>
  <c r="J5" i="34"/>
  <c r="J6" i="34"/>
  <c r="AG9" i="34"/>
  <c r="O67" i="34"/>
  <c r="Q67" i="34" s="1"/>
  <c r="S67" i="34" s="1"/>
  <c r="AK38" i="35"/>
  <c r="AK40" i="35" s="1"/>
  <c r="O67" i="35"/>
  <c r="Q67" i="35" s="1"/>
  <c r="S67" i="35" s="1"/>
  <c r="AG7" i="35"/>
  <c r="AG60" i="35"/>
  <c r="E22" i="36"/>
  <c r="Z11" i="36"/>
  <c r="Z65" i="36"/>
  <c r="AB58" i="36"/>
  <c r="AG64" i="36"/>
  <c r="Z65" i="35"/>
  <c r="AB58" i="35"/>
  <c r="AA78" i="36"/>
  <c r="AG62" i="35"/>
  <c r="Z38" i="35"/>
  <c r="AG4" i="35"/>
  <c r="Q19" i="35"/>
  <c r="S19" i="35" s="1"/>
  <c r="F20" i="36"/>
  <c r="F21" i="36"/>
  <c r="Z36" i="36"/>
  <c r="AB36" i="36" s="1"/>
  <c r="Q119" i="36"/>
  <c r="P119" i="35"/>
  <c r="U13" i="19"/>
  <c r="V13" i="19" s="1"/>
  <c r="T13" i="19"/>
  <c r="U10" i="19"/>
  <c r="V10" i="19" s="1"/>
  <c r="T10" i="19"/>
  <c r="K6" i="17"/>
  <c r="U8" i="19"/>
  <c r="V8" i="19" s="1"/>
  <c r="T8" i="19"/>
  <c r="N8" i="19"/>
  <c r="K13" i="17"/>
  <c r="K50" i="17" s="1"/>
  <c r="K4" i="17"/>
  <c r="T11" i="19"/>
  <c r="S15" i="19"/>
  <c r="N15" i="19"/>
  <c r="U12" i="19"/>
  <c r="V12" i="19" s="1"/>
  <c r="T12" i="19"/>
  <c r="N10" i="19"/>
  <c r="N16" i="19"/>
  <c r="N22" i="7"/>
  <c r="D23" i="7"/>
  <c r="B17" i="40"/>
  <c r="C3" i="32"/>
  <c r="AN42" i="36" s="1"/>
  <c r="C3" i="33"/>
  <c r="C4" i="33" s="1"/>
  <c r="O55" i="34" l="1"/>
  <c r="Q55" i="34" s="1"/>
  <c r="S55" i="34" s="1"/>
  <c r="O27" i="34"/>
  <c r="Q27" i="34" s="1"/>
  <c r="S27" i="34" s="1"/>
  <c r="O55" i="36"/>
  <c r="Q55" i="36" s="1"/>
  <c r="S55" i="36" s="1"/>
  <c r="O27" i="35"/>
  <c r="Q27" i="35" s="1"/>
  <c r="S27" i="35" s="1"/>
  <c r="K3" i="17"/>
  <c r="O41" i="34"/>
  <c r="Q41" i="34" s="1"/>
  <c r="S41" i="34" s="1"/>
  <c r="O41" i="36"/>
  <c r="Q41" i="36" s="1"/>
  <c r="S41" i="36" s="1"/>
  <c r="O71" i="35"/>
  <c r="Q71" i="35" s="1"/>
  <c r="S71" i="35" s="1"/>
  <c r="O30" i="34"/>
  <c r="Q30" i="34" s="1"/>
  <c r="S30" i="34" s="1"/>
  <c r="O33" i="36"/>
  <c r="Q33" i="36" s="1"/>
  <c r="S33" i="36" s="1"/>
  <c r="E66" i="23"/>
  <c r="O69" i="35"/>
  <c r="Q69" i="35" s="1"/>
  <c r="S69" i="35" s="1"/>
  <c r="O37" i="35"/>
  <c r="Q37" i="35" s="1"/>
  <c r="S37" i="35" s="1"/>
  <c r="O30" i="36"/>
  <c r="Q30" i="36" s="1"/>
  <c r="S30" i="36" s="1"/>
  <c r="O47" i="34"/>
  <c r="Q47" i="34" s="1"/>
  <c r="S47" i="34" s="1"/>
  <c r="O69" i="34"/>
  <c r="Q69" i="34" s="1"/>
  <c r="S69" i="34" s="1"/>
  <c r="O37" i="34"/>
  <c r="Q37" i="34" s="1"/>
  <c r="S37" i="34" s="1"/>
  <c r="O47" i="35"/>
  <c r="Q47" i="35" s="1"/>
  <c r="S47" i="35" s="1"/>
  <c r="H59" i="4"/>
  <c r="J59" i="4" s="1"/>
  <c r="O29" i="34"/>
  <c r="Q29" i="34" s="1"/>
  <c r="S29" i="34" s="1"/>
  <c r="O29" i="36"/>
  <c r="Q29" i="36" s="1"/>
  <c r="S29" i="36" s="1"/>
  <c r="G20" i="35"/>
  <c r="K109" i="35" s="1"/>
  <c r="S110" i="35" s="1"/>
  <c r="S122" i="35" s="1"/>
  <c r="O33" i="34"/>
  <c r="Q33" i="34" s="1"/>
  <c r="S33" i="34" s="1"/>
  <c r="G20" i="25"/>
  <c r="K46" i="25" s="1"/>
  <c r="S47" i="25" s="1"/>
  <c r="S59" i="25" s="1"/>
  <c r="O51" i="35"/>
  <c r="Q51" i="35" s="1"/>
  <c r="S51" i="35" s="1"/>
  <c r="O39" i="34"/>
  <c r="Q39" i="34" s="1"/>
  <c r="S39" i="34" s="1"/>
  <c r="O45" i="34"/>
  <c r="Q45" i="34" s="1"/>
  <c r="S45" i="34" s="1"/>
  <c r="O51" i="34"/>
  <c r="Q51" i="34" s="1"/>
  <c r="S51" i="34" s="1"/>
  <c r="O42" i="35"/>
  <c r="Q42" i="35" s="1"/>
  <c r="S42" i="35" s="1"/>
  <c r="O71" i="36"/>
  <c r="Q71" i="36" s="1"/>
  <c r="S71" i="36" s="1"/>
  <c r="O39" i="35"/>
  <c r="Q39" i="35" s="1"/>
  <c r="S39" i="35" s="1"/>
  <c r="O45" i="35"/>
  <c r="Q45" i="35" s="1"/>
  <c r="S45" i="35" s="1"/>
  <c r="O42" i="36"/>
  <c r="Q42" i="36" s="1"/>
  <c r="S42" i="36" s="1"/>
  <c r="O26" i="35"/>
  <c r="Q26" i="35" s="1"/>
  <c r="S26" i="35" s="1"/>
  <c r="M28" i="5"/>
  <c r="E41" i="5"/>
  <c r="H4" i="9" s="1"/>
  <c r="U14" i="23"/>
  <c r="O38" i="34"/>
  <c r="Q38" i="34" s="1"/>
  <c r="S38" i="34" s="1"/>
  <c r="O38" i="36"/>
  <c r="Q38" i="36" s="1"/>
  <c r="S38" i="36" s="1"/>
  <c r="D17" i="47"/>
  <c r="E40" i="23"/>
  <c r="T18" i="19"/>
  <c r="O48" i="35"/>
  <c r="Q48" i="35" s="1"/>
  <c r="S48" i="35" s="1"/>
  <c r="O35" i="34"/>
  <c r="Q35" i="34" s="1"/>
  <c r="S35" i="34" s="1"/>
  <c r="O48" i="34"/>
  <c r="Q48" i="34" s="1"/>
  <c r="S48" i="34" s="1"/>
  <c r="O35" i="36"/>
  <c r="Q35" i="36" s="1"/>
  <c r="S35" i="36" s="1"/>
  <c r="E26" i="5"/>
  <c r="P6" i="35" s="1"/>
  <c r="Q6" i="35" s="1"/>
  <c r="S6" i="35" s="1"/>
  <c r="H59" i="24"/>
  <c r="J59" i="24" s="1"/>
  <c r="O43" i="35"/>
  <c r="Q43" i="35" s="1"/>
  <c r="S43" i="35" s="1"/>
  <c r="F22" i="36"/>
  <c r="M28" i="23"/>
  <c r="T7" i="19"/>
  <c r="P7" i="25"/>
  <c r="Q7" i="25" s="1"/>
  <c r="S7" i="25" s="1"/>
  <c r="S13" i="25" s="1"/>
  <c r="G21" i="25"/>
  <c r="D22" i="25"/>
  <c r="G22" i="25" s="1"/>
  <c r="L100" i="35"/>
  <c r="L102" i="35" s="1"/>
  <c r="L100" i="36"/>
  <c r="L102" i="36" s="1"/>
  <c r="L100" i="34"/>
  <c r="L102" i="34" s="1"/>
  <c r="L37" i="25"/>
  <c r="L39" i="25" s="1"/>
  <c r="O68" i="36"/>
  <c r="Q68" i="36" s="1"/>
  <c r="S68" i="36" s="1"/>
  <c r="O68" i="35"/>
  <c r="Q68" i="35" s="1"/>
  <c r="S68" i="35" s="1"/>
  <c r="O68" i="34"/>
  <c r="Q68" i="34" s="1"/>
  <c r="S68" i="34" s="1"/>
  <c r="O13" i="25"/>
  <c r="S20" i="25" s="1"/>
  <c r="V68" i="34"/>
  <c r="V76" i="34" s="1"/>
  <c r="U76" i="34"/>
  <c r="AK11" i="34"/>
  <c r="AK13" i="34" s="1"/>
  <c r="AK16" i="34" s="1"/>
  <c r="AK11" i="35"/>
  <c r="AK13" i="35" s="1"/>
  <c r="AK16" i="35" s="1"/>
  <c r="AK11" i="36"/>
  <c r="AK13" i="36" s="1"/>
  <c r="AK16" i="36" s="1"/>
  <c r="E13" i="5"/>
  <c r="E12" i="5"/>
  <c r="V68" i="36"/>
  <c r="V76" i="36" s="1"/>
  <c r="U76" i="36"/>
  <c r="U76" i="35"/>
  <c r="V68" i="35"/>
  <c r="V76" i="35" s="1"/>
  <c r="O25" i="35"/>
  <c r="Q25" i="35" s="1"/>
  <c r="S25" i="35" s="1"/>
  <c r="O25" i="36"/>
  <c r="Q25" i="36" s="1"/>
  <c r="S25" i="36" s="1"/>
  <c r="O25" i="34"/>
  <c r="Q25" i="34" s="1"/>
  <c r="S25" i="34" s="1"/>
  <c r="O59" i="24"/>
  <c r="O34" i="36"/>
  <c r="Q34" i="36" s="1"/>
  <c r="S34" i="36" s="1"/>
  <c r="O34" i="35"/>
  <c r="Q34" i="35" s="1"/>
  <c r="S34" i="35" s="1"/>
  <c r="O34" i="34"/>
  <c r="Q34" i="34" s="1"/>
  <c r="S34" i="34" s="1"/>
  <c r="M14" i="5"/>
  <c r="M13" i="5"/>
  <c r="O36" i="36"/>
  <c r="Q36" i="36" s="1"/>
  <c r="S36" i="36" s="1"/>
  <c r="O36" i="34"/>
  <c r="Q36" i="34" s="1"/>
  <c r="S36" i="34" s="1"/>
  <c r="O36" i="35"/>
  <c r="Q36" i="35" s="1"/>
  <c r="S36" i="35" s="1"/>
  <c r="P12" i="36"/>
  <c r="Q12" i="36" s="1"/>
  <c r="S12" i="36" s="1"/>
  <c r="P12" i="34"/>
  <c r="Q12" i="34" s="1"/>
  <c r="S12" i="34" s="1"/>
  <c r="G22" i="35"/>
  <c r="O50" i="36"/>
  <c r="Q50" i="36" s="1"/>
  <c r="S50" i="36" s="1"/>
  <c r="O50" i="35"/>
  <c r="Q50" i="35" s="1"/>
  <c r="S50" i="35" s="1"/>
  <c r="O50" i="34"/>
  <c r="Q50" i="34" s="1"/>
  <c r="S50" i="34" s="1"/>
  <c r="G21" i="35"/>
  <c r="O64" i="36"/>
  <c r="Q64" i="36" s="1"/>
  <c r="S64" i="36" s="1"/>
  <c r="O64" i="34"/>
  <c r="Q64" i="34" s="1"/>
  <c r="S64" i="34" s="1"/>
  <c r="O64" i="35"/>
  <c r="Q64" i="35" s="1"/>
  <c r="S64" i="35" s="1"/>
  <c r="K25" i="17"/>
  <c r="U15" i="19"/>
  <c r="V15" i="19" s="1"/>
  <c r="V19" i="19" s="1"/>
  <c r="T15" i="19"/>
  <c r="Q5" i="34"/>
  <c r="S5" i="34" s="1"/>
  <c r="O70" i="36"/>
  <c r="Q70" i="36" s="1"/>
  <c r="S70" i="36" s="1"/>
  <c r="O70" i="35"/>
  <c r="Q70" i="35" s="1"/>
  <c r="S70" i="35" s="1"/>
  <c r="O70" i="34"/>
  <c r="Q70" i="34" s="1"/>
  <c r="S70" i="34" s="1"/>
  <c r="O22" i="36"/>
  <c r="Q22" i="36" s="1"/>
  <c r="S22" i="36" s="1"/>
  <c r="O22" i="34"/>
  <c r="Q22" i="34" s="1"/>
  <c r="S22" i="34" s="1"/>
  <c r="O22" i="35"/>
  <c r="Q22" i="35" s="1"/>
  <c r="S22" i="35" s="1"/>
  <c r="G8" i="9"/>
  <c r="F8" i="9"/>
  <c r="O59" i="4"/>
  <c r="O24" i="36"/>
  <c r="Q24" i="36" s="1"/>
  <c r="S24" i="36" s="1"/>
  <c r="O24" i="35"/>
  <c r="Q24" i="35" s="1"/>
  <c r="S24" i="35" s="1"/>
  <c r="O24" i="34"/>
  <c r="Q24" i="34" s="1"/>
  <c r="S24" i="34" s="1"/>
  <c r="O66" i="36"/>
  <c r="Q66" i="36" s="1"/>
  <c r="S66" i="36" s="1"/>
  <c r="O66" i="35"/>
  <c r="Q66" i="35" s="1"/>
  <c r="S66" i="35" s="1"/>
  <c r="O66" i="34"/>
  <c r="Q66" i="34" s="1"/>
  <c r="S66" i="34" s="1"/>
  <c r="K11" i="17"/>
  <c r="C3" i="17" s="1"/>
  <c r="M14" i="23"/>
  <c r="P11" i="35" s="1"/>
  <c r="Q11" i="35" s="1"/>
  <c r="S11" i="35" s="1"/>
  <c r="M13" i="23"/>
  <c r="U17" i="1"/>
  <c r="R15" i="1"/>
  <c r="O23" i="36"/>
  <c r="Q23" i="36" s="1"/>
  <c r="S23" i="36" s="1"/>
  <c r="O23" i="34"/>
  <c r="Q23" i="34" s="1"/>
  <c r="S23" i="34" s="1"/>
  <c r="O23" i="35"/>
  <c r="Q23" i="35" s="1"/>
  <c r="S23" i="35" s="1"/>
  <c r="E54" i="5"/>
  <c r="E53" i="5"/>
  <c r="E17" i="40"/>
  <c r="O44" i="36"/>
  <c r="Q44" i="36" s="1"/>
  <c r="S44" i="36" s="1"/>
  <c r="O44" i="34"/>
  <c r="Q44" i="34" s="1"/>
  <c r="S44" i="34" s="1"/>
  <c r="O44" i="35"/>
  <c r="Q44" i="35" s="1"/>
  <c r="S44" i="35" s="1"/>
  <c r="Q6" i="34"/>
  <c r="S6" i="34" s="1"/>
  <c r="O60" i="36"/>
  <c r="Q60" i="36" s="1"/>
  <c r="S60" i="36" s="1"/>
  <c r="O60" i="35"/>
  <c r="Q60" i="35" s="1"/>
  <c r="S60" i="35" s="1"/>
  <c r="O60" i="34"/>
  <c r="Q60" i="34" s="1"/>
  <c r="S60" i="34" s="1"/>
  <c r="G9" i="9"/>
  <c r="F9" i="9"/>
  <c r="G21" i="36"/>
  <c r="D22" i="36"/>
  <c r="O72" i="35"/>
  <c r="Q72" i="35" s="1"/>
  <c r="S72" i="35" s="1"/>
  <c r="O72" i="34"/>
  <c r="Q72" i="34" s="1"/>
  <c r="S72" i="34" s="1"/>
  <c r="O72" i="36"/>
  <c r="Q72" i="36" s="1"/>
  <c r="S72" i="36" s="1"/>
  <c r="Z38" i="36"/>
  <c r="G20" i="36"/>
  <c r="K109" i="36" s="1"/>
  <c r="S110" i="36" s="1"/>
  <c r="S122" i="36" s="1"/>
  <c r="P9" i="36"/>
  <c r="Q9" i="36" s="1"/>
  <c r="S9" i="36" s="1"/>
  <c r="P9" i="35"/>
  <c r="Q9" i="35" s="1"/>
  <c r="S9" i="35" s="1"/>
  <c r="D22" i="34"/>
  <c r="G22" i="34" s="1"/>
  <c r="G21" i="34"/>
  <c r="V12" i="25"/>
  <c r="V13" i="25" s="1"/>
  <c r="S32" i="25" s="1"/>
  <c r="S33" i="25" s="1"/>
  <c r="U13" i="25"/>
  <c r="H31" i="7"/>
  <c r="N23" i="7"/>
  <c r="AN69" i="34"/>
  <c r="AN42" i="35"/>
  <c r="AN69" i="35"/>
  <c r="C4" i="32"/>
  <c r="AN42" i="34"/>
  <c r="AN69" i="36"/>
  <c r="P7" i="35" l="1"/>
  <c r="Q7" i="35" s="1"/>
  <c r="S7" i="35" s="1"/>
  <c r="H3" i="9"/>
  <c r="P6" i="36"/>
  <c r="Q6" i="36" s="1"/>
  <c r="S6" i="36" s="1"/>
  <c r="G22" i="36"/>
  <c r="F23" i="36" s="1"/>
  <c r="E11" i="47"/>
  <c r="E15" i="47"/>
  <c r="E13" i="47"/>
  <c r="E12" i="47"/>
  <c r="E16" i="47"/>
  <c r="E7" i="47"/>
  <c r="S21" i="25"/>
  <c r="AB9" i="25" s="1"/>
  <c r="B17" i="47"/>
  <c r="E23" i="25"/>
  <c r="F23" i="25"/>
  <c r="D23" i="25"/>
  <c r="C4" i="17"/>
  <c r="AQ69" i="36"/>
  <c r="AK71" i="36" s="1"/>
  <c r="AQ42" i="36"/>
  <c r="AK44" i="36" s="1"/>
  <c r="AQ15" i="36"/>
  <c r="AQ42" i="34"/>
  <c r="AK44" i="34" s="1"/>
  <c r="AQ69" i="35"/>
  <c r="AK71" i="35" s="1"/>
  <c r="AQ42" i="35"/>
  <c r="AK44" i="35" s="1"/>
  <c r="AQ15" i="35"/>
  <c r="AQ69" i="34"/>
  <c r="AK71" i="34" s="1"/>
  <c r="AQ15" i="34"/>
  <c r="P11" i="36"/>
  <c r="Q11" i="36" s="1"/>
  <c r="S11" i="36" s="1"/>
  <c r="H5" i="9"/>
  <c r="P11" i="34"/>
  <c r="Q11" i="34" s="1"/>
  <c r="S11" i="34" s="1"/>
  <c r="S76" i="34" s="1"/>
  <c r="F23" i="34"/>
  <c r="E23" i="34"/>
  <c r="D23" i="34"/>
  <c r="AC7" i="25"/>
  <c r="AC9" i="25"/>
  <c r="AC8" i="25"/>
  <c r="AC6" i="25"/>
  <c r="AC5" i="25"/>
  <c r="AC4" i="25"/>
  <c r="AC10" i="25"/>
  <c r="E23" i="36"/>
  <c r="O76" i="35"/>
  <c r="O76" i="36"/>
  <c r="S129" i="34"/>
  <c r="S95" i="34"/>
  <c r="S96" i="34" s="1"/>
  <c r="R14" i="1"/>
  <c r="R17" i="1"/>
  <c r="S129" i="35"/>
  <c r="S95" i="35"/>
  <c r="S96" i="35" s="1"/>
  <c r="O76" i="34"/>
  <c r="S129" i="36"/>
  <c r="S95" i="36"/>
  <c r="S96" i="36" s="1"/>
  <c r="E23" i="35"/>
  <c r="D23" i="35"/>
  <c r="F23" i="35"/>
  <c r="P8" i="35"/>
  <c r="Q8" i="35" s="1"/>
  <c r="S8" i="35" s="1"/>
  <c r="P8" i="36"/>
  <c r="Q8" i="36" s="1"/>
  <c r="S8" i="36" s="1"/>
  <c r="P5" i="35"/>
  <c r="Q5" i="35" s="1"/>
  <c r="S5" i="35" s="1"/>
  <c r="P5" i="36"/>
  <c r="Q5" i="36" s="1"/>
  <c r="S5" i="36" s="1"/>
  <c r="H2" i="9"/>
  <c r="D24" i="7"/>
  <c r="J24" i="7"/>
  <c r="H24" i="7"/>
  <c r="I24" i="7"/>
  <c r="H33" i="7"/>
  <c r="G24" i="7"/>
  <c r="F24" i="7"/>
  <c r="K24" i="7"/>
  <c r="E24" i="7"/>
  <c r="M24" i="7"/>
  <c r="L24" i="7"/>
  <c r="K5" i="16"/>
  <c r="C3" i="16" s="1"/>
  <c r="C4" i="16" s="1"/>
  <c r="G13" i="3" s="1"/>
  <c r="G7" i="3"/>
  <c r="D23" i="36" l="1"/>
  <c r="AH9" i="25"/>
  <c r="AB8" i="25"/>
  <c r="G13" i="40"/>
  <c r="G12" i="40"/>
  <c r="S42" i="25"/>
  <c r="S62" i="25" s="1"/>
  <c r="S65" i="25" s="1"/>
  <c r="AB10" i="25"/>
  <c r="AH10" i="25" s="1"/>
  <c r="AB4" i="25"/>
  <c r="AH4" i="25" s="1"/>
  <c r="AH11" i="25" s="1"/>
  <c r="K38" i="25"/>
  <c r="K39" i="25" s="1"/>
  <c r="S39" i="25" s="1"/>
  <c r="AB5" i="25"/>
  <c r="AH5" i="25" s="1"/>
  <c r="S23" i="25"/>
  <c r="AB6" i="25"/>
  <c r="AH6" i="25" s="1"/>
  <c r="AB7" i="25"/>
  <c r="AH7" i="25" s="1"/>
  <c r="S26" i="25"/>
  <c r="G11" i="40"/>
  <c r="G9" i="40"/>
  <c r="AN15" i="34"/>
  <c r="AN18" i="34" s="1"/>
  <c r="G10" i="40"/>
  <c r="S76" i="36"/>
  <c r="AH8" i="25"/>
  <c r="S83" i="36"/>
  <c r="D13" i="36"/>
  <c r="AN15" i="36"/>
  <c r="AN18" i="36" s="1"/>
  <c r="S83" i="34"/>
  <c r="S84" i="34" s="1"/>
  <c r="D13" i="34"/>
  <c r="S83" i="35"/>
  <c r="D13" i="35"/>
  <c r="AD64" i="34"/>
  <c r="AD62" i="34"/>
  <c r="AD59" i="34"/>
  <c r="AD34" i="34"/>
  <c r="AD36" i="34"/>
  <c r="AD61" i="34"/>
  <c r="AD31" i="34"/>
  <c r="AD10" i="34"/>
  <c r="AD5" i="34"/>
  <c r="AD33" i="34"/>
  <c r="AD35" i="34"/>
  <c r="AD32" i="34"/>
  <c r="AD9" i="34"/>
  <c r="AD37" i="34"/>
  <c r="AD8" i="34"/>
  <c r="AD60" i="34"/>
  <c r="AD7" i="34"/>
  <c r="AD6" i="34"/>
  <c r="AD4" i="34"/>
  <c r="AD63" i="34"/>
  <c r="AD58" i="34"/>
  <c r="G12" i="3"/>
  <c r="AD8" i="36"/>
  <c r="AD58" i="36"/>
  <c r="AD35" i="36"/>
  <c r="AD62" i="36"/>
  <c r="AD37" i="36"/>
  <c r="AD64" i="36"/>
  <c r="AD34" i="36"/>
  <c r="AD59" i="36"/>
  <c r="AD36" i="36"/>
  <c r="AD7" i="36"/>
  <c r="AD6" i="36"/>
  <c r="AD5" i="36"/>
  <c r="AD9" i="36"/>
  <c r="AD33" i="36"/>
  <c r="AD63" i="36"/>
  <c r="AD32" i="36"/>
  <c r="AD31" i="36"/>
  <c r="AD4" i="36"/>
  <c r="AD60" i="36"/>
  <c r="AD10" i="36"/>
  <c r="AD61" i="36"/>
  <c r="AD60" i="35"/>
  <c r="AD6" i="35"/>
  <c r="AD62" i="35"/>
  <c r="AD31" i="35"/>
  <c r="AD10" i="35"/>
  <c r="AD5" i="35"/>
  <c r="AD33" i="35"/>
  <c r="AD64" i="35"/>
  <c r="AD8" i="35"/>
  <c r="AD61" i="35"/>
  <c r="AD35" i="35"/>
  <c r="AD34" i="35"/>
  <c r="AD32" i="35"/>
  <c r="AD58" i="35"/>
  <c r="AD63" i="35"/>
  <c r="AD59" i="35"/>
  <c r="AD7" i="35"/>
  <c r="AD36" i="35"/>
  <c r="AD9" i="35"/>
  <c r="AD4" i="35"/>
  <c r="AD37" i="35"/>
  <c r="S76" i="35"/>
  <c r="AN15" i="35"/>
  <c r="AN18" i="35" s="1"/>
  <c r="E5" i="47" l="1"/>
  <c r="G5" i="47" s="1"/>
  <c r="I13" i="40"/>
  <c r="K13" i="40" s="1"/>
  <c r="I11" i="40"/>
  <c r="K11" i="40" s="1"/>
  <c r="I10" i="40"/>
  <c r="K10" i="40" s="1"/>
  <c r="I9" i="40"/>
  <c r="K9" i="40" s="1"/>
  <c r="I12" i="40"/>
  <c r="K12" i="40" s="1"/>
  <c r="G16" i="47"/>
  <c r="H16" i="47" s="1"/>
  <c r="E8" i="47"/>
  <c r="E14" i="47"/>
  <c r="S84" i="35"/>
  <c r="AC7" i="35" s="1"/>
  <c r="AI7" i="35" s="1"/>
  <c r="E9" i="47"/>
  <c r="E10" i="47"/>
  <c r="E6" i="47"/>
  <c r="F17" i="40"/>
  <c r="S84" i="36"/>
  <c r="AC63" i="36" s="1"/>
  <c r="AI63" i="36" s="1"/>
  <c r="C17" i="47"/>
  <c r="C17" i="40"/>
  <c r="AC9" i="36"/>
  <c r="AI9" i="36" s="1"/>
  <c r="AC63" i="35"/>
  <c r="AI63" i="35" s="1"/>
  <c r="D14" i="35"/>
  <c r="AE10" i="35"/>
  <c r="AG10" i="35" s="1"/>
  <c r="S105" i="34"/>
  <c r="S125" i="34" s="1"/>
  <c r="S128" i="34" s="1"/>
  <c r="S89" i="34"/>
  <c r="AC58" i="34"/>
  <c r="AI58" i="34" s="1"/>
  <c r="AI65" i="34" s="1"/>
  <c r="AC32" i="34"/>
  <c r="AI32" i="34" s="1"/>
  <c r="AC7" i="34"/>
  <c r="AI7" i="34" s="1"/>
  <c r="S86" i="34"/>
  <c r="AC64" i="34"/>
  <c r="AI64" i="34" s="1"/>
  <c r="AC62" i="34"/>
  <c r="AI62" i="34" s="1"/>
  <c r="AC59" i="34"/>
  <c r="AI59" i="34" s="1"/>
  <c r="AC34" i="34"/>
  <c r="AI34" i="34" s="1"/>
  <c r="AC36" i="34"/>
  <c r="AI36" i="34" s="1"/>
  <c r="AC61" i="34"/>
  <c r="AI61" i="34" s="1"/>
  <c r="AC9" i="34"/>
  <c r="AI9" i="34" s="1"/>
  <c r="AC63" i="34"/>
  <c r="AI63" i="34" s="1"/>
  <c r="AC33" i="34"/>
  <c r="AI33" i="34" s="1"/>
  <c r="AC31" i="34"/>
  <c r="AI31" i="34" s="1"/>
  <c r="AI38" i="34" s="1"/>
  <c r="AC35" i="34"/>
  <c r="AI35" i="34" s="1"/>
  <c r="AC37" i="34"/>
  <c r="AI37" i="34" s="1"/>
  <c r="AC10" i="34"/>
  <c r="AC8" i="34"/>
  <c r="AI8" i="34" s="1"/>
  <c r="AC60" i="34"/>
  <c r="AI60" i="34" s="1"/>
  <c r="AC6" i="34"/>
  <c r="AI6" i="34" s="1"/>
  <c r="AC5" i="34"/>
  <c r="AI5" i="34" s="1"/>
  <c r="AC4" i="34"/>
  <c r="AI4" i="34" s="1"/>
  <c r="AI11" i="34" s="1"/>
  <c r="D14" i="36"/>
  <c r="AE10" i="36"/>
  <c r="AG10" i="36" s="1"/>
  <c r="K101" i="34"/>
  <c r="K102" i="34" s="1"/>
  <c r="S102" i="34" s="1"/>
  <c r="AE10" i="34"/>
  <c r="AG10" i="34" s="1"/>
  <c r="D14" i="34"/>
  <c r="AC64" i="35" l="1"/>
  <c r="AI64" i="35" s="1"/>
  <c r="AC62" i="35"/>
  <c r="AI62" i="35" s="1"/>
  <c r="AC59" i="35"/>
  <c r="AI59" i="35" s="1"/>
  <c r="S105" i="35"/>
  <c r="S125" i="35" s="1"/>
  <c r="S128" i="35" s="1"/>
  <c r="AC6" i="35"/>
  <c r="AI6" i="35" s="1"/>
  <c r="AC58" i="35"/>
  <c r="AI58" i="35" s="1"/>
  <c r="AI65" i="35" s="1"/>
  <c r="AK68" i="35" s="1"/>
  <c r="AC31" i="35"/>
  <c r="AI31" i="35" s="1"/>
  <c r="AI38" i="35" s="1"/>
  <c r="S86" i="35"/>
  <c r="S89" i="35"/>
  <c r="AC37" i="35"/>
  <c r="AI37" i="35" s="1"/>
  <c r="AC4" i="35"/>
  <c r="AI4" i="35" s="1"/>
  <c r="AI11" i="35" s="1"/>
  <c r="AK14" i="35" s="1"/>
  <c r="AC33" i="35"/>
  <c r="AI33" i="35" s="1"/>
  <c r="AC36" i="35"/>
  <c r="AI36" i="35" s="1"/>
  <c r="AC61" i="35"/>
  <c r="AI61" i="35" s="1"/>
  <c r="AC32" i="35"/>
  <c r="AI32" i="35" s="1"/>
  <c r="K101" i="35"/>
  <c r="K102" i="35" s="1"/>
  <c r="S102" i="35" s="1"/>
  <c r="AC35" i="35"/>
  <c r="AI35" i="35" s="1"/>
  <c r="G13" i="47"/>
  <c r="H13" i="47" s="1"/>
  <c r="G12" i="47"/>
  <c r="H12" i="47" s="1"/>
  <c r="AC5" i="35"/>
  <c r="AI5" i="35" s="1"/>
  <c r="AC10" i="35"/>
  <c r="AI10" i="35" s="1"/>
  <c r="AC8" i="35"/>
  <c r="AI8" i="35" s="1"/>
  <c r="AC60" i="35"/>
  <c r="AI60" i="35" s="1"/>
  <c r="E17" i="47"/>
  <c r="AC9" i="35"/>
  <c r="AI9" i="35" s="1"/>
  <c r="AC34" i="35"/>
  <c r="AI34" i="35" s="1"/>
  <c r="AC31" i="36"/>
  <c r="AI31" i="36" s="1"/>
  <c r="AI38" i="36" s="1"/>
  <c r="AC62" i="36"/>
  <c r="AI62" i="36" s="1"/>
  <c r="AC10" i="36"/>
  <c r="AI10" i="36" s="1"/>
  <c r="AC59" i="36"/>
  <c r="AI59" i="36" s="1"/>
  <c r="AC61" i="36"/>
  <c r="AI61" i="36" s="1"/>
  <c r="AC4" i="36"/>
  <c r="AI4" i="36" s="1"/>
  <c r="AI11" i="36" s="1"/>
  <c r="AK14" i="36" s="1"/>
  <c r="AC32" i="36"/>
  <c r="AI32" i="36" s="1"/>
  <c r="AC64" i="36"/>
  <c r="AI64" i="36" s="1"/>
  <c r="S86" i="36"/>
  <c r="AC34" i="36"/>
  <c r="AI34" i="36" s="1"/>
  <c r="AC33" i="36"/>
  <c r="AI33" i="36" s="1"/>
  <c r="AC5" i="36"/>
  <c r="AI5" i="36" s="1"/>
  <c r="AC35" i="36"/>
  <c r="AI35" i="36" s="1"/>
  <c r="AC6" i="36"/>
  <c r="AI6" i="36" s="1"/>
  <c r="AC58" i="36"/>
  <c r="AI58" i="36" s="1"/>
  <c r="AI65" i="36" s="1"/>
  <c r="AI66" i="36" s="1"/>
  <c r="AC37" i="36"/>
  <c r="AI37" i="36" s="1"/>
  <c r="AC60" i="36"/>
  <c r="AI60" i="36" s="1"/>
  <c r="S105" i="36"/>
  <c r="S125" i="36" s="1"/>
  <c r="S128" i="36" s="1"/>
  <c r="S89" i="36"/>
  <c r="AC7" i="36"/>
  <c r="AI7" i="36" s="1"/>
  <c r="AC36" i="36"/>
  <c r="AI36" i="36" s="1"/>
  <c r="K101" i="36"/>
  <c r="K102" i="36" s="1"/>
  <c r="S102" i="36" s="1"/>
  <c r="AC8" i="36"/>
  <c r="AI8" i="36" s="1"/>
  <c r="AI39" i="34"/>
  <c r="AK41" i="34"/>
  <c r="AK68" i="34"/>
  <c r="AI66" i="34"/>
  <c r="AI39" i="35"/>
  <c r="AK41" i="35"/>
  <c r="AK14" i="34"/>
  <c r="AI12" i="34"/>
  <c r="AI39" i="36"/>
  <c r="AK41" i="36"/>
  <c r="AI10" i="34"/>
  <c r="AI12" i="35" l="1"/>
  <c r="AI12" i="36"/>
  <c r="AI66" i="35"/>
  <c r="G15" i="47"/>
  <c r="H15" i="47" s="1"/>
  <c r="G7" i="47"/>
  <c r="H7" i="47" s="1"/>
  <c r="G9" i="47"/>
  <c r="H9" i="47" s="1"/>
  <c r="G11" i="47"/>
  <c r="H11" i="47" s="1"/>
  <c r="AK68" i="36"/>
  <c r="G8" i="47" l="1"/>
  <c r="H8" i="47" s="1"/>
  <c r="G14" i="47"/>
  <c r="H14" i="47" s="1"/>
  <c r="G10" i="47"/>
  <c r="H10" i="47" s="1"/>
  <c r="G16" i="40"/>
  <c r="G8" i="40"/>
  <c r="G14" i="40"/>
  <c r="H5" i="47" l="1"/>
  <c r="I14" i="40"/>
  <c r="K14" i="40" s="1"/>
  <c r="I8" i="40"/>
  <c r="K8" i="40" s="1"/>
  <c r="I16" i="40"/>
  <c r="K16" i="40" s="1"/>
  <c r="G7" i="40"/>
  <c r="G15" i="40"/>
  <c r="J5" i="47" l="1"/>
  <c r="M5" i="47" s="1"/>
  <c r="F17" i="47"/>
  <c r="G6" i="47"/>
  <c r="I7" i="40"/>
  <c r="K7" i="40" s="1"/>
  <c r="I15" i="40"/>
  <c r="K15" i="40" s="1"/>
  <c r="G6" i="40"/>
  <c r="H6" i="47" l="1"/>
  <c r="G17" i="47"/>
  <c r="I6" i="40"/>
  <c r="K6" i="40" s="1"/>
  <c r="J6" i="47"/>
  <c r="G5" i="40"/>
  <c r="D17" i="40"/>
  <c r="M6" i="47" l="1"/>
  <c r="G17" i="40"/>
  <c r="I5" i="40"/>
  <c r="K5" i="40"/>
  <c r="I17" i="40" l="1"/>
  <c r="K17" i="40" l="1"/>
  <c r="J17" i="40" l="1"/>
  <c r="L17" i="40" s="1"/>
  <c r="J7" i="47" l="1"/>
  <c r="M7" i="47" l="1"/>
  <c r="J8" i="47" l="1"/>
  <c r="M8" i="47" s="1"/>
  <c r="J9" i="47" l="1"/>
  <c r="M9" i="47" l="1"/>
  <c r="J10" i="47" l="1"/>
  <c r="M10" i="47" l="1"/>
  <c r="J11" i="47" l="1"/>
  <c r="M11" i="47" l="1"/>
  <c r="J12" i="47" l="1"/>
  <c r="M12" i="47" l="1"/>
  <c r="J13" i="47" l="1"/>
  <c r="M13" i="47" l="1"/>
  <c r="J14" i="47" l="1"/>
  <c r="M14" i="47" l="1"/>
  <c r="J15" i="47" l="1"/>
  <c r="M15" i="47" l="1"/>
  <c r="H17" i="47" l="1"/>
  <c r="J16" i="47"/>
  <c r="J17" i="47" l="1"/>
  <c r="M16" i="47"/>
  <c r="M17" i="4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tc={3ABCB29A-1F7D-4167-A62D-AAF7842D058D}</author>
  </authors>
  <commentList>
    <comment ref="N1" authorId="0" shapeId="0" xr:uid="{00000000-0006-0000-0600-000001000000}">
      <text>
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naformatovat vypocet Uw okien podla normy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tc={29BB8918-79C3-4287-80FD-02787B0FEEBC}</author>
  </authors>
  <commentList>
    <comment ref="N1" authorId="0" shapeId="0" xr:uid="{00000000-0006-0000-0800-000001000000}">
      <text>
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naformatovat vypocet Uw okien podla normy</t>
      </text>
    </comment>
  </commentList>
</comments>
</file>

<file path=xl/sharedStrings.xml><?xml version="1.0" encoding="utf-8"?>
<sst xmlns="http://schemas.openxmlformats.org/spreadsheetml/2006/main" count="2651" uniqueCount="854">
  <si>
    <t>posudenie obalovych konstrukcii R, U podla STN 73 0540-2,3</t>
  </si>
  <si>
    <t>vhovuje</t>
  </si>
  <si>
    <t>nevyhovuje</t>
  </si>
  <si>
    <t>Kategória budovy</t>
  </si>
  <si>
    <t>Číselník DPH</t>
  </si>
  <si>
    <t>Priemerný tepelný výkon vnútorných zdrojov tepla podľa STN 73 0540-2</t>
  </si>
  <si>
    <t>Osvetlenie</t>
  </si>
  <si>
    <t>sucinitel pre podlahu STN EN ISO 13 370</t>
  </si>
  <si>
    <t>Rodinné domy</t>
  </si>
  <si>
    <t>áno</t>
  </si>
  <si>
    <t>bytové domy</t>
  </si>
  <si>
    <t>W/m2</t>
  </si>
  <si>
    <t>Merný výkon</t>
  </si>
  <si>
    <t>CENA bez DPH (€)</t>
  </si>
  <si>
    <t>merná cena     
bez DPH (€)</t>
  </si>
  <si>
    <t>Životnosť</t>
  </si>
  <si>
    <t>sirenie vlhkosti?</t>
  </si>
  <si>
    <t>Bytové domy</t>
  </si>
  <si>
    <t>nie</t>
  </si>
  <si>
    <t>rodinné domy</t>
  </si>
  <si>
    <t>lm/W</t>
  </si>
  <si>
    <t>v rozsahu</t>
  </si>
  <si>
    <t>€</t>
  </si>
  <si>
    <t>fix €/ks</t>
  </si>
  <si>
    <t>var. €/W</t>
  </si>
  <si>
    <t>h</t>
  </si>
  <si>
    <t>Administratívne budovy</t>
  </si>
  <si>
    <t>ostatné</t>
  </si>
  <si>
    <t>obyčajná žiarovka</t>
  </si>
  <si>
    <t>6 – 15</t>
  </si>
  <si>
    <t>Budovy škôl a školských zariadení</t>
  </si>
  <si>
    <t>halogénová žiarovka</t>
  </si>
  <si>
    <t>12 –17</t>
  </si>
  <si>
    <t>Budovy nemocníc</t>
  </si>
  <si>
    <t>LED žiarovka</t>
  </si>
  <si>
    <r>
      <t>60 – 90</t>
    </r>
    <r>
      <rPr>
        <b/>
        <sz val="7.5"/>
        <rFont val="Arial"/>
        <family val="2"/>
        <charset val="238"/>
      </rPr>
      <t xml:space="preserve"> </t>
    </r>
  </si>
  <si>
    <t>Budovy hotelov a reštaurácií</t>
  </si>
  <si>
    <t>LED žiarovka + nové svietidlo</t>
  </si>
  <si>
    <t>Športové haly a iné budovy určené na šport</t>
  </si>
  <si>
    <t>LED žiarovka + nové svietidlo + pohybový senzor</t>
  </si>
  <si>
    <t>Budovy pre veľkoobchodné a maloobchodné služby</t>
  </si>
  <si>
    <t>LED svetelná trubica + nové svietidlo</t>
  </si>
  <si>
    <r>
      <t>90 – 100</t>
    </r>
    <r>
      <rPr>
        <b/>
        <sz val="7.5"/>
        <rFont val="Arial"/>
        <family val="2"/>
        <charset val="238"/>
      </rPr>
      <t xml:space="preserve"> </t>
    </r>
  </si>
  <si>
    <t>Výrobné haly a priemyselné budovy</t>
  </si>
  <si>
    <t>lineárna žiarivka T8 + klasický predradník</t>
  </si>
  <si>
    <r>
      <t>55 – 74</t>
    </r>
    <r>
      <rPr>
        <b/>
        <sz val="7.5"/>
        <rFont val="Arial"/>
        <family val="2"/>
        <charset val="238"/>
      </rPr>
      <t xml:space="preserve"> </t>
    </r>
  </si>
  <si>
    <t>lineárna žiarivka T8 + elektronický predradník</t>
  </si>
  <si>
    <r>
      <t>75 – 90</t>
    </r>
    <r>
      <rPr>
        <b/>
        <sz val="7.5"/>
        <rFont val="Arial"/>
        <family val="2"/>
        <charset val="238"/>
      </rPr>
      <t xml:space="preserve"> </t>
    </r>
  </si>
  <si>
    <t>Klimatické údaje</t>
  </si>
  <si>
    <t>Klimatické podmienky podľa STN EN ISO 13790</t>
  </si>
  <si>
    <t>Normalizovaný počet dennostupňov</t>
  </si>
  <si>
    <t>lineárna žiarivka T8 + elektronický predradník + nové svietidlo</t>
  </si>
  <si>
    <t>Normalizované
hodnotenie</t>
  </si>
  <si>
    <t>Upravené
hodnotenie</t>
  </si>
  <si>
    <t>Mesiac:</t>
  </si>
  <si>
    <t>SPOLU</t>
  </si>
  <si>
    <t>Január</t>
  </si>
  <si>
    <t>Február</t>
  </si>
  <si>
    <t>Marec</t>
  </si>
  <si>
    <t>Apríl</t>
  </si>
  <si>
    <t>Máj</t>
  </si>
  <si>
    <t>Jún</t>
  </si>
  <si>
    <t>Júl</t>
  </si>
  <si>
    <t>August</t>
  </si>
  <si>
    <t>September</t>
  </si>
  <si>
    <t>Október</t>
  </si>
  <si>
    <t>Novebmer</t>
  </si>
  <si>
    <t>December</t>
  </si>
  <si>
    <t>Mesiac</t>
  </si>
  <si>
    <t>d (dni)</t>
  </si>
  <si>
    <t>Vnútorná teplota (°C)</t>
  </si>
  <si>
    <t>Vonkajšia priemerná (°C)</t>
  </si>
  <si>
    <t>D (K.deň)</t>
  </si>
  <si>
    <t>xi</t>
  </si>
  <si>
    <t>lineárna žiarivka T5 + elektronický predradník + nové svietidlo</t>
  </si>
  <si>
    <t>90 – 107</t>
  </si>
  <si>
    <r>
      <t>Vonkajšia výpočtová teplota (</t>
    </r>
    <r>
      <rPr>
        <vertAlign val="superscript"/>
        <sz val="7.5"/>
        <rFont val="Arial"/>
        <family val="2"/>
        <charset val="238"/>
      </rPr>
      <t>o</t>
    </r>
    <r>
      <rPr>
        <sz val="7.5"/>
        <rFont val="Arial"/>
        <family val="2"/>
        <charset val="238"/>
      </rPr>
      <t>C):</t>
    </r>
  </si>
  <si>
    <r>
      <t>q</t>
    </r>
    <r>
      <rPr>
        <b/>
        <vertAlign val="subscript"/>
        <sz val="7.5"/>
        <rFont val="Arial"/>
        <family val="2"/>
        <charset val="238"/>
      </rPr>
      <t>e</t>
    </r>
  </si>
  <si>
    <t>VO :</t>
  </si>
  <si>
    <t>dni</t>
  </si>
  <si>
    <t>kompaktná žiarivka</t>
  </si>
  <si>
    <t>40 – 87</t>
  </si>
  <si>
    <r>
      <t>Veterná oblasť, rýchlosť vetra (ms</t>
    </r>
    <r>
      <rPr>
        <vertAlign val="superscript"/>
        <sz val="7.5"/>
        <rFont val="Arial"/>
        <family val="2"/>
        <charset val="238"/>
      </rPr>
      <t>-1</t>
    </r>
    <r>
      <rPr>
        <sz val="7.5"/>
        <rFont val="Arial"/>
        <family val="2"/>
        <charset val="238"/>
      </rPr>
      <t>)</t>
    </r>
  </si>
  <si>
    <t>v</t>
  </si>
  <si>
    <t>-</t>
  </si>
  <si>
    <t>prac./voľno</t>
  </si>
  <si>
    <t>dní</t>
  </si>
  <si>
    <t>sodíková výbojka nízkotlaká</t>
  </si>
  <si>
    <t>100 – 210</t>
  </si>
  <si>
    <r>
      <t>Vnútorná výpočtová teplota (</t>
    </r>
    <r>
      <rPr>
        <vertAlign val="superscript"/>
        <sz val="7.5"/>
        <rFont val="Arial"/>
        <family val="2"/>
        <charset val="238"/>
      </rPr>
      <t>o</t>
    </r>
    <r>
      <rPr>
        <sz val="7.5"/>
        <rFont val="Arial"/>
        <family val="2"/>
        <charset val="238"/>
      </rPr>
      <t>C):</t>
    </r>
  </si>
  <si>
    <r>
      <t>q</t>
    </r>
    <r>
      <rPr>
        <b/>
        <vertAlign val="subscript"/>
        <sz val="7.5"/>
        <rFont val="Arial"/>
        <family val="2"/>
        <charset val="238"/>
      </rPr>
      <t>i</t>
    </r>
  </si>
  <si>
    <t xml:space="preserve">Norm/útlm: </t>
  </si>
  <si>
    <t>hod</t>
  </si>
  <si>
    <t xml:space="preserve">sodíková výbojka vysokotlaková </t>
  </si>
  <si>
    <t xml:space="preserve">100 – 140 </t>
  </si>
  <si>
    <r>
      <t>Priemerná vonkajšia teplota vykurovacieho obdobia (</t>
    </r>
    <r>
      <rPr>
        <vertAlign val="superscript"/>
        <sz val="7.5"/>
        <rFont val="Arial"/>
        <family val="2"/>
        <charset val="238"/>
      </rPr>
      <t>o</t>
    </r>
    <r>
      <rPr>
        <sz val="7.5"/>
        <rFont val="Arial"/>
        <family val="2"/>
        <charset val="238"/>
      </rPr>
      <t>C):</t>
    </r>
  </si>
  <si>
    <r>
      <t>q</t>
    </r>
    <r>
      <rPr>
        <b/>
        <vertAlign val="subscript"/>
        <sz val="7.5"/>
        <rFont val="Arial"/>
        <family val="2"/>
        <charset val="238"/>
      </rPr>
      <t>ae</t>
    </r>
  </si>
  <si>
    <t>D° :</t>
  </si>
  <si>
    <t>D°</t>
  </si>
  <si>
    <t>vysokotlaká ortuťová výbojka</t>
  </si>
  <si>
    <t>40 – 60</t>
  </si>
  <si>
    <t>Priemerný počet vykurovacích dní:</t>
  </si>
  <si>
    <t>d</t>
  </si>
  <si>
    <r>
      <t>t</t>
    </r>
    <r>
      <rPr>
        <vertAlign val="subscript"/>
        <sz val="9"/>
        <rFont val="Calibri"/>
        <family val="2"/>
      </rPr>
      <t>i</t>
    </r>
    <r>
      <rPr>
        <sz val="9"/>
        <rFont val="Calibri"/>
        <family val="2"/>
      </rPr>
      <t xml:space="preserve"> :</t>
    </r>
  </si>
  <si>
    <t>°C</t>
  </si>
  <si>
    <t xml:space="preserve">halogenidová výbojka </t>
  </si>
  <si>
    <t>60 – 130</t>
  </si>
  <si>
    <t>Priemerný počet dennostupňov:</t>
  </si>
  <si>
    <t>D</t>
  </si>
  <si>
    <r>
      <t>t</t>
    </r>
    <r>
      <rPr>
        <vertAlign val="subscript"/>
        <sz val="9"/>
        <rFont val="Calibri"/>
        <family val="2"/>
      </rPr>
      <t>em</t>
    </r>
    <r>
      <rPr>
        <sz val="9"/>
        <rFont val="Calibri"/>
        <family val="2"/>
      </rPr>
      <t xml:space="preserve"> :</t>
    </r>
  </si>
  <si>
    <t>November</t>
  </si>
  <si>
    <t>ortuťová výbojka</t>
  </si>
  <si>
    <r>
      <t>40 – 60</t>
    </r>
    <r>
      <rPr>
        <b/>
        <sz val="7.5"/>
        <rFont val="Arial"/>
        <family val="2"/>
        <charset val="238"/>
      </rPr>
      <t xml:space="preserve"> </t>
    </r>
  </si>
  <si>
    <r>
      <t>h</t>
    </r>
    <r>
      <rPr>
        <vertAlign val="subscript"/>
        <sz val="9"/>
        <rFont val="Calibri"/>
        <family val="2"/>
      </rPr>
      <t>kr</t>
    </r>
  </si>
  <si>
    <t>m</t>
  </si>
  <si>
    <t xml:space="preserve">induktívna výbojka </t>
  </si>
  <si>
    <t>60 – 80</t>
  </si>
  <si>
    <t>Súčiniteľ škárovej prievzdušnosti</t>
  </si>
  <si>
    <r>
      <t>i</t>
    </r>
    <r>
      <rPr>
        <b/>
        <vertAlign val="subscript"/>
        <sz val="9"/>
        <rFont val="Calibri"/>
        <family val="2"/>
      </rPr>
      <t>vl</t>
    </r>
  </si>
  <si>
    <t>Suma spolu</t>
  </si>
  <si>
    <t>zmesová výbojka – 250 W</t>
  </si>
  <si>
    <t>20 – 28</t>
  </si>
  <si>
    <t>kovové okná , škáry medzi rámom a krídlami, netesné</t>
  </si>
  <si>
    <t>drevené okná , škáry medzi rámom a krídlami, netesné</t>
  </si>
  <si>
    <t>minimálny inštalovaný príkon nového svietidla</t>
  </si>
  <si>
    <t>príkonová rada svietidiel</t>
  </si>
  <si>
    <t>Výpočet minimálne inštalovaného príkonu nového svietidla</t>
  </si>
  <si>
    <t>Drevené, plastové a kovové okná s tesniacim profilom</t>
  </si>
  <si>
    <t>[ W ]</t>
  </si>
  <si>
    <t>iné podľa STN 73 0540-3:2012</t>
  </si>
  <si>
    <t>Tepelná strata cez konštrukciu</t>
  </si>
  <si>
    <t>bx</t>
  </si>
  <si>
    <t>vonkajšia stena, okno, dvere</t>
  </si>
  <si>
    <t>strecha(plochá, šikmá) na teplovýmennom obale budovy</t>
  </si>
  <si>
    <t>podlaha na teréne</t>
  </si>
  <si>
    <t>podlaha povaly</t>
  </si>
  <si>
    <t>stena medzi vyk a nevyk priestorom a podstrešným priestorom</t>
  </si>
  <si>
    <t>stena alebo strop nevykurovaného suterénu</t>
  </si>
  <si>
    <t>stena alebo strop temperovaného priestoru</t>
  </si>
  <si>
    <t>otvorená dilatácia</t>
  </si>
  <si>
    <t>uzavretá izolovaná dilatácia do šírkou do 0,05m</t>
  </si>
  <si>
    <t>stena a otvorená konštrukcia do nevyk priestoru, ktorý má zasklenie - jednoduché</t>
  </si>
  <si>
    <t>stena a otvorená konštrukcia do nevyk priestoru, ktorý má zasklenie - dvojité</t>
  </si>
  <si>
    <t>stena a otvorená konštrukcia do nevyk priestoru, ktorý má zasklenie - dvojsklo</t>
  </si>
  <si>
    <t>strop nad otvoreným prejazdom</t>
  </si>
  <si>
    <t>KOD_OKRES</t>
  </si>
  <si>
    <t>NAZOV_OKRES</t>
  </si>
  <si>
    <t>SKRATKA_OKRES</t>
  </si>
  <si>
    <t>NAZOV_KRAJ</t>
  </si>
  <si>
    <t>Vonkajšia výpočtová teplota</t>
  </si>
  <si>
    <t>Veterná oblasť</t>
  </si>
  <si>
    <t>Počet 
vykur.dní</t>
  </si>
  <si>
    <t>Priem.
vonk.
teplota</t>
  </si>
  <si>
    <t>Bánovce nad Bebravou</t>
  </si>
  <si>
    <t>BN</t>
  </si>
  <si>
    <t>Trenčín</t>
  </si>
  <si>
    <t>od 2 do 5</t>
  </si>
  <si>
    <t>Banská Bystrica</t>
  </si>
  <si>
    <t>BB</t>
  </si>
  <si>
    <t>&lt; 2,0</t>
  </si>
  <si>
    <t>Banská Štiavnica</t>
  </si>
  <si>
    <t>BS</t>
  </si>
  <si>
    <t>Bardejov</t>
  </si>
  <si>
    <t>BJ</t>
  </si>
  <si>
    <t>Prešov</t>
  </si>
  <si>
    <t>Bratislava I</t>
  </si>
  <si>
    <t>BA1</t>
  </si>
  <si>
    <t>Bratislava</t>
  </si>
  <si>
    <t>Bratislava II</t>
  </si>
  <si>
    <t>BA2</t>
  </si>
  <si>
    <t>Bratislava III</t>
  </si>
  <si>
    <t>BA3</t>
  </si>
  <si>
    <t>Bratislava IV</t>
  </si>
  <si>
    <t>BA4</t>
  </si>
  <si>
    <t>Bratislava V</t>
  </si>
  <si>
    <t>BA5</t>
  </si>
  <si>
    <t>Brezno</t>
  </si>
  <si>
    <t>BR</t>
  </si>
  <si>
    <t>Bytča</t>
  </si>
  <si>
    <t>BY</t>
  </si>
  <si>
    <t>Žilina</t>
  </si>
  <si>
    <t>Čadca</t>
  </si>
  <si>
    <t>CA</t>
  </si>
  <si>
    <t>Detva</t>
  </si>
  <si>
    <t>DT</t>
  </si>
  <si>
    <t>Dolný Kubín</t>
  </si>
  <si>
    <t>DK</t>
  </si>
  <si>
    <t>Dunajská Streda</t>
  </si>
  <si>
    <t>DS</t>
  </si>
  <si>
    <t>Trnava</t>
  </si>
  <si>
    <t>Galanta</t>
  </si>
  <si>
    <t>GA</t>
  </si>
  <si>
    <t>Gelnica</t>
  </si>
  <si>
    <t>GL</t>
  </si>
  <si>
    <t>Košice</t>
  </si>
  <si>
    <t>Hlohovec</t>
  </si>
  <si>
    <t>HC</t>
  </si>
  <si>
    <t>Humenné</t>
  </si>
  <si>
    <t>HE</t>
  </si>
  <si>
    <t>Ilava</t>
  </si>
  <si>
    <t>IL</t>
  </si>
  <si>
    <t>Kežmarok</t>
  </si>
  <si>
    <t>KK</t>
  </si>
  <si>
    <t>Komárno</t>
  </si>
  <si>
    <t>KN</t>
  </si>
  <si>
    <t>Nitra</t>
  </si>
  <si>
    <t>Košice - okolie</t>
  </si>
  <si>
    <t>KS</t>
  </si>
  <si>
    <t>Košice I</t>
  </si>
  <si>
    <t>KE1</t>
  </si>
  <si>
    <t>Košice II</t>
  </si>
  <si>
    <t>KE2</t>
  </si>
  <si>
    <t>Košice III</t>
  </si>
  <si>
    <t>KE3</t>
  </si>
  <si>
    <t>Košice IV</t>
  </si>
  <si>
    <t>KE4</t>
  </si>
  <si>
    <t>Krupina</t>
  </si>
  <si>
    <t>KA</t>
  </si>
  <si>
    <t>Kysucké Nové Mesto</t>
  </si>
  <si>
    <t>KM</t>
  </si>
  <si>
    <t>Levice</t>
  </si>
  <si>
    <t>LV</t>
  </si>
  <si>
    <t>Levoča</t>
  </si>
  <si>
    <t>LE</t>
  </si>
  <si>
    <t>Liptovský Mikuláš</t>
  </si>
  <si>
    <t>LM</t>
  </si>
  <si>
    <t>Lučenec</t>
  </si>
  <si>
    <t>LC</t>
  </si>
  <si>
    <t>Malacky</t>
  </si>
  <si>
    <t>MA</t>
  </si>
  <si>
    <t>Martin</t>
  </si>
  <si>
    <t>MT</t>
  </si>
  <si>
    <t>Medzilaborce</t>
  </si>
  <si>
    <t>ML</t>
  </si>
  <si>
    <t>Michalovce</t>
  </si>
  <si>
    <t>MI</t>
  </si>
  <si>
    <t>Myjava</t>
  </si>
  <si>
    <t>MY</t>
  </si>
  <si>
    <t>Námestovo</t>
  </si>
  <si>
    <t>NO</t>
  </si>
  <si>
    <t>NR</t>
  </si>
  <si>
    <t>Nové Mesto nad Váhom</t>
  </si>
  <si>
    <t>NM</t>
  </si>
  <si>
    <t>Nové Zámky</t>
  </si>
  <si>
    <t>NZ</t>
  </si>
  <si>
    <t>Partizánske</t>
  </si>
  <si>
    <t>PE</t>
  </si>
  <si>
    <t>Pezinok</t>
  </si>
  <si>
    <t>PK</t>
  </si>
  <si>
    <t>Piešťany</t>
  </si>
  <si>
    <t>PN</t>
  </si>
  <si>
    <t>Poltár</t>
  </si>
  <si>
    <t>PT</t>
  </si>
  <si>
    <t>Poprad</t>
  </si>
  <si>
    <t>PP</t>
  </si>
  <si>
    <t>Považská Bystrica</t>
  </si>
  <si>
    <t>PB</t>
  </si>
  <si>
    <t>PO</t>
  </si>
  <si>
    <t>Prievidza</t>
  </si>
  <si>
    <t>PD</t>
  </si>
  <si>
    <t>Púchov</t>
  </si>
  <si>
    <t>PU</t>
  </si>
  <si>
    <t>Revúca</t>
  </si>
  <si>
    <t>RA</t>
  </si>
  <si>
    <t>Rimavská Sobota</t>
  </si>
  <si>
    <t>RS</t>
  </si>
  <si>
    <t>Rožňava</t>
  </si>
  <si>
    <t>RV</t>
  </si>
  <si>
    <t>Ružomberok</t>
  </si>
  <si>
    <t>RK</t>
  </si>
  <si>
    <t>Sabinov</t>
  </si>
  <si>
    <t>SB</t>
  </si>
  <si>
    <t>Senec</t>
  </si>
  <si>
    <t>SC</t>
  </si>
  <si>
    <t>Senica</t>
  </si>
  <si>
    <t>SE</t>
  </si>
  <si>
    <t>Skalica</t>
  </si>
  <si>
    <t>SI</t>
  </si>
  <si>
    <t>Snina</t>
  </si>
  <si>
    <t>SV</t>
  </si>
  <si>
    <t>Sobrance</t>
  </si>
  <si>
    <t>SO</t>
  </si>
  <si>
    <t>Spišská Nová Ves</t>
  </si>
  <si>
    <t>SN</t>
  </si>
  <si>
    <t>Stará Ľubovňa</t>
  </si>
  <si>
    <t>SL</t>
  </si>
  <si>
    <t>Stropkov</t>
  </si>
  <si>
    <t>SP</t>
  </si>
  <si>
    <t>Svidník</t>
  </si>
  <si>
    <t>SK</t>
  </si>
  <si>
    <t>Šaľa</t>
  </si>
  <si>
    <t>SA</t>
  </si>
  <si>
    <t>Topoľčany</t>
  </si>
  <si>
    <t>TO</t>
  </si>
  <si>
    <t>Trebišov</t>
  </si>
  <si>
    <t>TV</t>
  </si>
  <si>
    <t>TN</t>
  </si>
  <si>
    <t>TT</t>
  </si>
  <si>
    <t>Turčianske Teplice</t>
  </si>
  <si>
    <t>TR</t>
  </si>
  <si>
    <t>Tvrdošín</t>
  </si>
  <si>
    <t>TS</t>
  </si>
  <si>
    <t>Veľký Krtíš</t>
  </si>
  <si>
    <t>VK</t>
  </si>
  <si>
    <t>Vranov nad Topľou</t>
  </si>
  <si>
    <t>VT</t>
  </si>
  <si>
    <t>Zlaté Moravce</t>
  </si>
  <si>
    <t>ZM</t>
  </si>
  <si>
    <t>Zvolen</t>
  </si>
  <si>
    <t>ZV</t>
  </si>
  <si>
    <t>Žarnovica</t>
  </si>
  <si>
    <t>ZC</t>
  </si>
  <si>
    <t>Žiar nad Hronom</t>
  </si>
  <si>
    <t>ZH</t>
  </si>
  <si>
    <t>ZA</t>
  </si>
  <si>
    <t>Adresa hodnoteného objektu</t>
  </si>
  <si>
    <t>Okres:</t>
  </si>
  <si>
    <t>Mesto / obec:</t>
  </si>
  <si>
    <t>Ulica, číslo:</t>
  </si>
  <si>
    <t>budova určená na šport</t>
  </si>
  <si>
    <t>Rok spracovania energetického auditu:</t>
  </si>
  <si>
    <t>Geometrické parametre objektu</t>
  </si>
  <si>
    <r>
      <t>Celková zastavaná plocha (m</t>
    </r>
    <r>
      <rPr>
        <vertAlign val="superscript"/>
        <sz val="7.5"/>
        <rFont val="Arial"/>
        <family val="2"/>
        <charset val="238"/>
      </rPr>
      <t>2</t>
    </r>
    <r>
      <rPr>
        <sz val="7.5"/>
        <rFont val="Arial"/>
        <family val="2"/>
        <charset val="238"/>
      </rPr>
      <t>)</t>
    </r>
  </si>
  <si>
    <t>A</t>
  </si>
  <si>
    <t>Obvod zastavanej plochy (m)</t>
  </si>
  <si>
    <t>P</t>
  </si>
  <si>
    <r>
      <t>Obostavaný vykurovaný objem (m</t>
    </r>
    <r>
      <rPr>
        <vertAlign val="superscript"/>
        <sz val="7.5"/>
        <rFont val="Arial"/>
        <family val="2"/>
        <charset val="238"/>
      </rPr>
      <t>3</t>
    </r>
    <r>
      <rPr>
        <sz val="7.5"/>
        <rFont val="Arial"/>
        <family val="2"/>
        <charset val="238"/>
      </rPr>
      <t>)</t>
    </r>
  </si>
  <si>
    <r>
      <t>V</t>
    </r>
    <r>
      <rPr>
        <b/>
        <vertAlign val="subscript"/>
        <sz val="7.5"/>
        <rFont val="Arial"/>
        <family val="2"/>
        <charset val="238"/>
      </rPr>
      <t>b</t>
    </r>
  </si>
  <si>
    <r>
      <t>Celková podlahová plocha   (m</t>
    </r>
    <r>
      <rPr>
        <vertAlign val="superscript"/>
        <sz val="7.5"/>
        <rFont val="Arial"/>
        <family val="2"/>
        <charset val="238"/>
      </rPr>
      <t>2</t>
    </r>
    <r>
      <rPr>
        <sz val="7.5"/>
        <rFont val="Arial"/>
        <family val="2"/>
        <charset val="238"/>
      </rPr>
      <t>)</t>
    </r>
  </si>
  <si>
    <r>
      <t>A</t>
    </r>
    <r>
      <rPr>
        <b/>
        <vertAlign val="subscript"/>
        <sz val="7.5"/>
        <rFont val="Arial"/>
        <family val="2"/>
        <charset val="238"/>
      </rPr>
      <t>b</t>
    </r>
  </si>
  <si>
    <r>
      <t>Ochladzovaná obalová konštrukcia (m</t>
    </r>
    <r>
      <rPr>
        <vertAlign val="superscript"/>
        <sz val="7.5"/>
        <rFont val="Arial"/>
        <family val="2"/>
        <charset val="238"/>
      </rPr>
      <t>2</t>
    </r>
    <r>
      <rPr>
        <sz val="7.5"/>
        <rFont val="Arial"/>
        <family val="2"/>
        <charset val="238"/>
      </rPr>
      <t>)</t>
    </r>
  </si>
  <si>
    <r>
      <t>∑A</t>
    </r>
    <r>
      <rPr>
        <b/>
        <vertAlign val="subscript"/>
        <sz val="7.5"/>
        <rFont val="Arial"/>
        <family val="2"/>
        <charset val="238"/>
      </rPr>
      <t>i</t>
    </r>
  </si>
  <si>
    <r>
      <t>Faktor tvaru budovy (m</t>
    </r>
    <r>
      <rPr>
        <vertAlign val="superscript"/>
        <sz val="7.5"/>
        <rFont val="Arial"/>
        <family val="2"/>
        <charset val="238"/>
      </rPr>
      <t>-1</t>
    </r>
    <r>
      <rPr>
        <sz val="7.5"/>
        <rFont val="Arial"/>
        <family val="2"/>
        <charset val="238"/>
      </rPr>
      <t>)</t>
    </r>
  </si>
  <si>
    <r>
      <t>∑A</t>
    </r>
    <r>
      <rPr>
        <b/>
        <vertAlign val="subscript"/>
        <sz val="7.5"/>
        <rFont val="Arial"/>
        <family val="2"/>
        <charset val="238"/>
      </rPr>
      <t>i</t>
    </r>
    <r>
      <rPr>
        <b/>
        <sz val="7.5"/>
        <rFont val="Arial"/>
        <family val="2"/>
        <charset val="238"/>
      </rPr>
      <t>/V</t>
    </r>
    <r>
      <rPr>
        <b/>
        <vertAlign val="subscript"/>
        <sz val="7.5"/>
        <rFont val="Arial"/>
        <family val="2"/>
        <charset val="238"/>
      </rPr>
      <t>b</t>
    </r>
  </si>
  <si>
    <t>Počet nadzemných podlaží</t>
  </si>
  <si>
    <t>Priemerná konštrukčná výška podlažia (m)</t>
  </si>
  <si>
    <r>
      <t>h</t>
    </r>
    <r>
      <rPr>
        <b/>
        <vertAlign val="subscript"/>
        <sz val="7.5"/>
        <rFont val="Arial"/>
        <family val="2"/>
        <charset val="238"/>
      </rPr>
      <t>k,pr</t>
    </r>
  </si>
  <si>
    <t>Dennostupne</t>
  </si>
  <si>
    <t>Kalendárny rok</t>
  </si>
  <si>
    <t>Priemer</t>
  </si>
  <si>
    <t>Počet vykurovacích dní</t>
  </si>
  <si>
    <r>
      <t>Priemerná vonk. teplota (</t>
    </r>
    <r>
      <rPr>
        <vertAlign val="superscript"/>
        <sz val="7.5"/>
        <rFont val="Arial"/>
        <family val="2"/>
        <charset val="238"/>
      </rPr>
      <t>o</t>
    </r>
    <r>
      <rPr>
        <sz val="7.5"/>
        <rFont val="Arial"/>
        <family val="2"/>
        <charset val="238"/>
      </rPr>
      <t>C)</t>
    </r>
  </si>
  <si>
    <t xml:space="preserve">Počet dennostupňov </t>
  </si>
  <si>
    <t>priemer</t>
  </si>
  <si>
    <t>číslo stĺpca</t>
  </si>
  <si>
    <t>SO1</t>
  </si>
  <si>
    <t>Obvodová stena ŠD</t>
  </si>
  <si>
    <t>STR1</t>
  </si>
  <si>
    <t>Plochá strecha ŠD</t>
  </si>
  <si>
    <t>PDL1</t>
  </si>
  <si>
    <t>Podlaha na teréne ŽS</t>
  </si>
  <si>
    <t xml:space="preserve">Odpor pri prestupe tepla na vnútornej strane k-cie </t>
  </si>
  <si>
    <r>
      <t>R</t>
    </r>
    <r>
      <rPr>
        <b/>
        <vertAlign val="subscript"/>
        <sz val="9"/>
        <rFont val="Calibri"/>
        <family val="2"/>
      </rPr>
      <t xml:space="preserve">si </t>
    </r>
    <r>
      <rPr>
        <b/>
        <sz val="9"/>
        <rFont val="Calibri"/>
        <family val="2"/>
      </rPr>
      <t>=</t>
    </r>
  </si>
  <si>
    <t>Odpor pri prestupe tepla na vnútornej strane k-cie</t>
  </si>
  <si>
    <t>posudenie na R</t>
  </si>
  <si>
    <t>Názov vrstvy konštrukcie</t>
  </si>
  <si>
    <r>
      <t>d</t>
    </r>
    <r>
      <rPr>
        <b/>
        <vertAlign val="subscript"/>
        <sz val="9"/>
        <color theme="0"/>
        <rFont val="Calibri"/>
        <family val="2"/>
      </rPr>
      <t>j</t>
    </r>
    <r>
      <rPr>
        <b/>
        <sz val="9"/>
        <color theme="0"/>
        <rFont val="Calibri"/>
        <family val="2"/>
      </rPr>
      <t xml:space="preserve"> [m]</t>
    </r>
  </si>
  <si>
    <r>
      <t>λ</t>
    </r>
    <r>
      <rPr>
        <b/>
        <vertAlign val="subscript"/>
        <sz val="9"/>
        <color theme="0"/>
        <rFont val="Calibri"/>
        <family val="2"/>
      </rPr>
      <t>j</t>
    </r>
    <r>
      <rPr>
        <b/>
        <sz val="9"/>
        <color theme="0"/>
        <rFont val="Calibri"/>
        <family val="2"/>
      </rPr>
      <t xml:space="preserve"> [W/(m.K)]</t>
    </r>
  </si>
  <si>
    <r>
      <t>R</t>
    </r>
    <r>
      <rPr>
        <b/>
        <vertAlign val="subscript"/>
        <sz val="9"/>
        <color theme="0"/>
        <rFont val="Calibri"/>
        <family val="2"/>
      </rPr>
      <t>j</t>
    </r>
    <r>
      <rPr>
        <b/>
        <sz val="9"/>
        <color theme="0"/>
        <rFont val="Calibri"/>
        <family val="2"/>
      </rPr>
      <t xml:space="preserve"> [m</t>
    </r>
    <r>
      <rPr>
        <b/>
        <vertAlign val="superscript"/>
        <sz val="9"/>
        <color theme="0"/>
        <rFont val="Calibri"/>
        <family val="2"/>
      </rPr>
      <t>2</t>
    </r>
    <r>
      <rPr>
        <b/>
        <sz val="9"/>
        <color theme="0"/>
        <rFont val="Calibri"/>
        <family val="2"/>
      </rPr>
      <t>.K/W]</t>
    </r>
  </si>
  <si>
    <t>Vápennocementová omietka</t>
  </si>
  <si>
    <t>TI minerálna vlna</t>
  </si>
  <si>
    <t>Pórobetónové tvárnice</t>
  </si>
  <si>
    <t>Spiroll</t>
  </si>
  <si>
    <t>cementový poter</t>
  </si>
  <si>
    <t>TI čadič</t>
  </si>
  <si>
    <t>betón hutný</t>
  </si>
  <si>
    <t>vzduchová medzera</t>
  </si>
  <si>
    <t>TI</t>
  </si>
  <si>
    <t>HI</t>
  </si>
  <si>
    <t>pórobetónový panel</t>
  </si>
  <si>
    <t>HI PVC fólia</t>
  </si>
  <si>
    <r>
      <rPr>
        <sz val="9"/>
        <rFont val="Calibri"/>
        <family val="2"/>
        <charset val="238"/>
      </rPr>
      <t>Celková hrúbka konštrukcie</t>
    </r>
    <r>
      <rPr>
        <b/>
        <sz val="9"/>
        <rFont val="Calibri"/>
        <family val="2"/>
      </rPr>
      <t xml:space="preserve"> </t>
    </r>
  </si>
  <si>
    <r>
      <t>∑</t>
    </r>
    <r>
      <rPr>
        <b/>
        <sz val="9"/>
        <rFont val="Calibri"/>
        <family val="2"/>
      </rPr>
      <t>R</t>
    </r>
    <r>
      <rPr>
        <b/>
        <vertAlign val="subscript"/>
        <sz val="9"/>
        <rFont val="Calibri"/>
        <family val="2"/>
      </rPr>
      <t>j</t>
    </r>
    <r>
      <rPr>
        <b/>
        <sz val="9"/>
        <rFont val="Calibri"/>
        <family val="2"/>
      </rPr>
      <t xml:space="preserve"> = </t>
    </r>
  </si>
  <si>
    <t>Odpor pri prestupe tepla na vonkajšej strane k-cie</t>
  </si>
  <si>
    <r>
      <t>R</t>
    </r>
    <r>
      <rPr>
        <b/>
        <vertAlign val="subscript"/>
        <sz val="9"/>
        <rFont val="Calibri"/>
        <family val="2"/>
      </rPr>
      <t xml:space="preserve">se </t>
    </r>
    <r>
      <rPr>
        <b/>
        <sz val="9"/>
        <rFont val="Calibri"/>
        <family val="2"/>
      </rPr>
      <t>=</t>
    </r>
  </si>
  <si>
    <t xml:space="preserve">Odpor konštrukcie pri prechode tepla </t>
  </si>
  <si>
    <r>
      <t>R</t>
    </r>
    <r>
      <rPr>
        <b/>
        <vertAlign val="subscript"/>
        <sz val="9"/>
        <rFont val="Calibri"/>
        <family val="2"/>
      </rPr>
      <t xml:space="preserve">0 </t>
    </r>
    <r>
      <rPr>
        <b/>
        <sz val="9"/>
        <rFont val="Calibri"/>
        <family val="2"/>
      </rPr>
      <t>=</t>
    </r>
  </si>
  <si>
    <t>Súčiniteľ prechodu tepla</t>
  </si>
  <si>
    <t>U =</t>
  </si>
  <si>
    <t>SO2</t>
  </si>
  <si>
    <t>Obvodová stena ŠD2</t>
  </si>
  <si>
    <t>STR2</t>
  </si>
  <si>
    <t>Strecha Jedáleň</t>
  </si>
  <si>
    <t>PDL2</t>
  </si>
  <si>
    <t>Podlaha na teréne Jedáleň</t>
  </si>
  <si>
    <t>ŽB panel</t>
  </si>
  <si>
    <t>cementový poter + povrchová vrstva</t>
  </si>
  <si>
    <t>betónová mazanina</t>
  </si>
  <si>
    <t>vzudhcová medzera</t>
  </si>
  <si>
    <t>drevený panel KSDD</t>
  </si>
  <si>
    <t>SO3</t>
  </si>
  <si>
    <t>Obvodová stena - Nezateplená časť</t>
  </si>
  <si>
    <t>betón ŽB</t>
  </si>
  <si>
    <t>pórobetón</t>
  </si>
  <si>
    <t>SO4</t>
  </si>
  <si>
    <t>Obvodová stena Jedáleň</t>
  </si>
  <si>
    <t>keramické panely</t>
  </si>
  <si>
    <t>SO5</t>
  </si>
  <si>
    <t>Obvodová stena Jedáleň2</t>
  </si>
  <si>
    <t>Ozn.</t>
  </si>
  <si>
    <t>Otvorové konštrukcie</t>
  </si>
  <si>
    <t>orientácia</t>
  </si>
  <si>
    <t>počet</t>
  </si>
  <si>
    <t>rozmer A x B</t>
  </si>
  <si>
    <t>obvod</t>
  </si>
  <si>
    <t>plocha</t>
  </si>
  <si>
    <t>Škára</t>
  </si>
  <si>
    <r>
      <t>U</t>
    </r>
    <r>
      <rPr>
        <b/>
        <vertAlign val="subscript"/>
        <sz val="9"/>
        <rFont val="Calibri"/>
        <family val="2"/>
        <charset val="238"/>
      </rPr>
      <t>w</t>
    </r>
  </si>
  <si>
    <t>SUMA S</t>
  </si>
  <si>
    <t>SUMA O</t>
  </si>
  <si>
    <t>SUMA L</t>
  </si>
  <si>
    <t>posudenie vyhovuje nevuhovuje tabulka</t>
  </si>
  <si>
    <t>J</t>
  </si>
  <si>
    <t>V</t>
  </si>
  <si>
    <t>Z</t>
  </si>
  <si>
    <t>S</t>
  </si>
  <si>
    <t>H</t>
  </si>
  <si>
    <t>[ks]</t>
  </si>
  <si>
    <t>A [m]</t>
  </si>
  <si>
    <t>B [m]</t>
  </si>
  <si>
    <t>O [m]</t>
  </si>
  <si>
    <r>
      <t>S [m</t>
    </r>
    <r>
      <rPr>
        <b/>
        <vertAlign val="superscript"/>
        <sz val="9"/>
        <rFont val="Calibri"/>
        <family val="2"/>
        <charset val="238"/>
      </rPr>
      <t>2</t>
    </r>
    <r>
      <rPr>
        <b/>
        <sz val="9"/>
        <rFont val="Calibri"/>
        <family val="2"/>
        <charset val="238"/>
      </rPr>
      <t>]</t>
    </r>
  </si>
  <si>
    <t>L [m]</t>
  </si>
  <si>
    <r>
      <t>[W/(m</t>
    </r>
    <r>
      <rPr>
        <b/>
        <vertAlign val="superscript"/>
        <sz val="9"/>
        <rFont val="Calibri"/>
        <family val="2"/>
        <charset val="238"/>
      </rPr>
      <t>2</t>
    </r>
    <r>
      <rPr>
        <b/>
        <sz val="9"/>
        <rFont val="Calibri"/>
        <family val="2"/>
        <charset val="238"/>
      </rPr>
      <t>.K)]</t>
    </r>
  </si>
  <si>
    <t>OO1</t>
  </si>
  <si>
    <t>plastové, izolačné 2-sklo</t>
  </si>
  <si>
    <t>OO2</t>
  </si>
  <si>
    <t>OO3</t>
  </si>
  <si>
    <t>OO4</t>
  </si>
  <si>
    <t>OO5</t>
  </si>
  <si>
    <t>OO6</t>
  </si>
  <si>
    <t>OO7</t>
  </si>
  <si>
    <t>OO8</t>
  </si>
  <si>
    <t>OO9</t>
  </si>
  <si>
    <t>OO10</t>
  </si>
  <si>
    <t>OO11</t>
  </si>
  <si>
    <t>OO12</t>
  </si>
  <si>
    <t>OO13</t>
  </si>
  <si>
    <t>OO14</t>
  </si>
  <si>
    <t>OO15</t>
  </si>
  <si>
    <t>OO16</t>
  </si>
  <si>
    <t>OO17</t>
  </si>
  <si>
    <t>OO18</t>
  </si>
  <si>
    <t>OO19</t>
  </si>
  <si>
    <t>OO20</t>
  </si>
  <si>
    <t>OO21</t>
  </si>
  <si>
    <t>OO22</t>
  </si>
  <si>
    <t>OO23</t>
  </si>
  <si>
    <t>OO24</t>
  </si>
  <si>
    <t>OO25</t>
  </si>
  <si>
    <t>OO26</t>
  </si>
  <si>
    <t>OO27</t>
  </si>
  <si>
    <t>hliník, izolačné 2-sklo</t>
  </si>
  <si>
    <t>OO28</t>
  </si>
  <si>
    <t>OO29</t>
  </si>
  <si>
    <t>OO30</t>
  </si>
  <si>
    <t>OO31</t>
  </si>
  <si>
    <t>OO32</t>
  </si>
  <si>
    <t>OO33</t>
  </si>
  <si>
    <t>OO34</t>
  </si>
  <si>
    <t>OO35</t>
  </si>
  <si>
    <t>OO36</t>
  </si>
  <si>
    <t>Plocha Okná spolu podľa svetovej strany</t>
  </si>
  <si>
    <t>DO1</t>
  </si>
  <si>
    <t>DO2</t>
  </si>
  <si>
    <t>DO3</t>
  </si>
  <si>
    <t>DO4</t>
  </si>
  <si>
    <t>DO5</t>
  </si>
  <si>
    <t>DO6</t>
  </si>
  <si>
    <t>DO7</t>
  </si>
  <si>
    <t>hliník</t>
  </si>
  <si>
    <t>DO8</t>
  </si>
  <si>
    <t>DO9</t>
  </si>
  <si>
    <t>DO10</t>
  </si>
  <si>
    <t>kovové, izolačné 2-sklo</t>
  </si>
  <si>
    <t>DO11</t>
  </si>
  <si>
    <t>DO12</t>
  </si>
  <si>
    <t>DO13</t>
  </si>
  <si>
    <t>Sekciová brána</t>
  </si>
  <si>
    <t>Plocha Dvere spolu podľa svetovej strany</t>
  </si>
  <si>
    <t>P.č.</t>
  </si>
  <si>
    <t>Názov konštrukcie</t>
  </si>
  <si>
    <t>hrúbka</t>
  </si>
  <si>
    <t>U</t>
  </si>
  <si>
    <t>Merná tepelná strata prechodom tepla (W/K)</t>
  </si>
  <si>
    <t>Merná tepelná strata vetraním W/K</t>
  </si>
  <si>
    <t>Celkové vnútorné zisky kWh/a</t>
  </si>
  <si>
    <t>Potreba tepla na vykurovanie kWh/a</t>
  </si>
  <si>
    <t>Merná potreba tepla na vykurovanie kWh/a.m2</t>
  </si>
  <si>
    <t>Tepelná strata systému odovdzávanie tepla kWh</t>
  </si>
  <si>
    <t>Tepelná strata rozvodov vyk systému kWh</t>
  </si>
  <si>
    <t>Vlastná spotreba energie systému rozvodu tepla (kWh)</t>
  </si>
  <si>
    <t>Tepelá strata z akumulácie tepla kWh</t>
  </si>
  <si>
    <t>Tepelná strata z výroby tepla kWh</t>
  </si>
  <si>
    <t>Potreba energie na vykurovanie kWh</t>
  </si>
  <si>
    <t>Merná potreba energie na vykurovanie kWh/m2</t>
  </si>
  <si>
    <t>m3</t>
  </si>
  <si>
    <t>Výpočet</t>
  </si>
  <si>
    <t>Zadávaš</t>
  </si>
  <si>
    <t xml:space="preserve">Merná tepelná strata prechodom tepla </t>
  </si>
  <si>
    <t>Mesačná metóda</t>
  </si>
  <si>
    <t>Vypočíta sa</t>
  </si>
  <si>
    <t>Konštrukcia</t>
  </si>
  <si>
    <r>
      <t xml:space="preserve">Plocha </t>
    </r>
    <r>
      <rPr>
        <b/>
        <i/>
        <sz val="9"/>
        <rFont val="Calibri"/>
        <family val="2"/>
      </rPr>
      <t>A</t>
    </r>
    <r>
      <rPr>
        <b/>
        <vertAlign val="subscript"/>
        <sz val="9"/>
        <rFont val="Calibri"/>
        <family val="2"/>
      </rPr>
      <t>i</t>
    </r>
  </si>
  <si>
    <r>
      <t>U</t>
    </r>
    <r>
      <rPr>
        <b/>
        <vertAlign val="subscript"/>
        <sz val="9"/>
        <rFont val="Calibri"/>
        <family val="2"/>
      </rPr>
      <t>i</t>
    </r>
  </si>
  <si>
    <r>
      <t>U</t>
    </r>
    <r>
      <rPr>
        <b/>
        <vertAlign val="subscript"/>
        <sz val="9"/>
        <rFont val="Calibri"/>
        <family val="2"/>
      </rPr>
      <t>i</t>
    </r>
    <r>
      <rPr>
        <b/>
        <sz val="9"/>
        <rFont val="Calibri"/>
        <family val="2"/>
      </rPr>
      <t xml:space="preserve"> . </t>
    </r>
    <r>
      <rPr>
        <b/>
        <i/>
        <sz val="9"/>
        <rFont val="Calibri"/>
        <family val="2"/>
      </rPr>
      <t>A</t>
    </r>
    <r>
      <rPr>
        <b/>
        <vertAlign val="subscript"/>
        <sz val="9"/>
        <rFont val="Calibri"/>
        <family val="2"/>
      </rPr>
      <t>i</t>
    </r>
  </si>
  <si>
    <r>
      <t xml:space="preserve">Faktor </t>
    </r>
    <r>
      <rPr>
        <b/>
        <i/>
        <sz val="9"/>
        <rFont val="Calibri"/>
        <family val="2"/>
      </rPr>
      <t>b</t>
    </r>
    <r>
      <rPr>
        <b/>
        <vertAlign val="subscript"/>
        <sz val="9"/>
        <rFont val="Calibri"/>
        <family val="2"/>
      </rPr>
      <t>x</t>
    </r>
  </si>
  <si>
    <r>
      <t>b</t>
    </r>
    <r>
      <rPr>
        <b/>
        <vertAlign val="subscript"/>
        <sz val="9"/>
        <rFont val="Calibri"/>
        <family val="2"/>
      </rPr>
      <t>x</t>
    </r>
    <r>
      <rPr>
        <b/>
        <sz val="9"/>
        <rFont val="Calibri"/>
        <family val="2"/>
      </rPr>
      <t xml:space="preserve"> . </t>
    </r>
    <r>
      <rPr>
        <b/>
        <i/>
        <sz val="9"/>
        <rFont val="Calibri"/>
        <family val="2"/>
      </rPr>
      <t>U</t>
    </r>
    <r>
      <rPr>
        <b/>
        <vertAlign val="subscript"/>
        <sz val="9"/>
        <rFont val="Calibri"/>
        <family val="2"/>
      </rPr>
      <t>i</t>
    </r>
    <r>
      <rPr>
        <b/>
        <sz val="9"/>
        <rFont val="Calibri"/>
        <family val="2"/>
      </rPr>
      <t xml:space="preserve"> . </t>
    </r>
    <r>
      <rPr>
        <b/>
        <i/>
        <sz val="9"/>
        <rFont val="Calibri"/>
        <family val="2"/>
      </rPr>
      <t>A</t>
    </r>
    <r>
      <rPr>
        <b/>
        <vertAlign val="subscript"/>
        <sz val="9"/>
        <rFont val="Calibri"/>
        <family val="2"/>
      </rPr>
      <t>i</t>
    </r>
  </si>
  <si>
    <t>Ti</t>
  </si>
  <si>
    <t>počet vyk dní</t>
  </si>
  <si>
    <t>D2019</t>
  </si>
  <si>
    <t>mesiac</t>
  </si>
  <si>
    <t>xi=D.0,024</t>
  </si>
  <si>
    <t>Ht</t>
  </si>
  <si>
    <t>Hv</t>
  </si>
  <si>
    <t>Qi</t>
  </si>
  <si>
    <t>Qsol</t>
  </si>
  <si>
    <t>Qspolu</t>
  </si>
  <si>
    <t>μ</t>
  </si>
  <si>
    <t>Qh</t>
  </si>
  <si>
    <t>Adresa:</t>
  </si>
  <si>
    <r>
      <t>[m</t>
    </r>
    <r>
      <rPr>
        <b/>
        <vertAlign val="superscript"/>
        <sz val="9"/>
        <rFont val="Calibri"/>
        <family val="2"/>
      </rPr>
      <t>2</t>
    </r>
    <r>
      <rPr>
        <b/>
        <sz val="9"/>
        <rFont val="Calibri"/>
        <family val="2"/>
      </rPr>
      <t>]</t>
    </r>
  </si>
  <si>
    <r>
      <t>[W/(m</t>
    </r>
    <r>
      <rPr>
        <b/>
        <vertAlign val="superscript"/>
        <sz val="9"/>
        <rFont val="Calibri"/>
        <family val="2"/>
      </rPr>
      <t>2</t>
    </r>
    <r>
      <rPr>
        <b/>
        <sz val="9"/>
        <rFont val="Calibri"/>
        <family val="2"/>
      </rPr>
      <t>K)]</t>
    </r>
  </si>
  <si>
    <t>[W/K]</t>
  </si>
  <si>
    <t>[-]</t>
  </si>
  <si>
    <t>október</t>
  </si>
  <si>
    <t>november</t>
  </si>
  <si>
    <t>december</t>
  </si>
  <si>
    <t>január</t>
  </si>
  <si>
    <t>február</t>
  </si>
  <si>
    <t>dĺžka vyk zóny</t>
  </si>
  <si>
    <t>marec</t>
  </si>
  <si>
    <t>šírka vyk zóny</t>
  </si>
  <si>
    <t>apríl</t>
  </si>
  <si>
    <t>Spotreba podla faktury</t>
  </si>
  <si>
    <t>Spotreba tepla na TV</t>
  </si>
  <si>
    <t>Celkom</t>
  </si>
  <si>
    <t>kWh/a</t>
  </si>
  <si>
    <t>kWh</t>
  </si>
  <si>
    <t>W/m2.a</t>
  </si>
  <si>
    <t>Dennostupne 2018/2019</t>
  </si>
  <si>
    <t>vyk dni</t>
  </si>
  <si>
    <t>tem</t>
  </si>
  <si>
    <t>kwh/a</t>
  </si>
  <si>
    <t>Potreba energie na VYK</t>
  </si>
  <si>
    <t>Potreba energie na TV</t>
  </si>
  <si>
    <t>Počet vyk podlaží podlaží</t>
  </si>
  <si>
    <t>september</t>
  </si>
  <si>
    <t>Potreba energie spolu</t>
  </si>
  <si>
    <t>l [m]</t>
  </si>
  <si>
    <t>máj</t>
  </si>
  <si>
    <t>Súčty</t>
  </si>
  <si>
    <r>
      <t>∑ A</t>
    </r>
    <r>
      <rPr>
        <b/>
        <vertAlign val="subscript"/>
        <sz val="9"/>
        <rFont val="Calibri"/>
        <family val="2"/>
      </rPr>
      <t>i</t>
    </r>
    <r>
      <rPr>
        <b/>
        <sz val="9"/>
        <rFont val="Calibri"/>
        <family val="2"/>
      </rPr>
      <t xml:space="preserve"> =</t>
    </r>
  </si>
  <si>
    <r>
      <t>∑</t>
    </r>
    <r>
      <rPr>
        <b/>
        <i/>
        <sz val="9"/>
        <rFont val="Calibri"/>
        <family val="2"/>
      </rPr>
      <t>b</t>
    </r>
    <r>
      <rPr>
        <b/>
        <vertAlign val="subscript"/>
        <sz val="9"/>
        <rFont val="Calibri"/>
        <family val="2"/>
      </rPr>
      <t>x</t>
    </r>
    <r>
      <rPr>
        <b/>
        <sz val="9"/>
        <rFont val="Calibri"/>
        <family val="2"/>
      </rPr>
      <t xml:space="preserve"> . </t>
    </r>
    <r>
      <rPr>
        <b/>
        <i/>
        <sz val="9"/>
        <rFont val="Calibri"/>
        <family val="2"/>
      </rPr>
      <t>U</t>
    </r>
    <r>
      <rPr>
        <b/>
        <vertAlign val="subscript"/>
        <sz val="9"/>
        <rFont val="Calibri"/>
        <family val="2"/>
      </rPr>
      <t>i</t>
    </r>
    <r>
      <rPr>
        <b/>
        <sz val="9"/>
        <rFont val="Calibri"/>
        <family val="2"/>
      </rPr>
      <t xml:space="preserve"> . </t>
    </r>
    <r>
      <rPr>
        <b/>
        <i/>
        <sz val="9"/>
        <rFont val="Calibri"/>
        <family val="2"/>
      </rPr>
      <t>A</t>
    </r>
    <r>
      <rPr>
        <b/>
        <vertAlign val="subscript"/>
        <sz val="9"/>
        <rFont val="Calibri"/>
        <family val="2"/>
      </rPr>
      <t>i</t>
    </r>
    <r>
      <rPr>
        <b/>
        <sz val="9"/>
        <rFont val="Calibri"/>
        <family val="2"/>
      </rPr>
      <t>=</t>
    </r>
  </si>
  <si>
    <t xml:space="preserve">Vplyv tepelných mostov: </t>
  </si>
  <si>
    <t>exaktne:</t>
  </si>
  <si>
    <t>podľa STN EN ISO 10211, resp. STN ISO 14683</t>
  </si>
  <si>
    <t>X</t>
  </si>
  <si>
    <t>paušálne:</t>
  </si>
  <si>
    <t>Konštrukcie zateplené zvonku</t>
  </si>
  <si>
    <r>
      <t>ΔU</t>
    </r>
    <r>
      <rPr>
        <i/>
        <sz val="9"/>
        <rFont val="Calibri"/>
        <family val="2"/>
      </rPr>
      <t xml:space="preserve"> =</t>
    </r>
  </si>
  <si>
    <t>Ostatné prípady</t>
  </si>
  <si>
    <t>Konštrukcie zateplené zvnútra</t>
  </si>
  <si>
    <t>Vplyv tepelných mostov [W/K]:</t>
  </si>
  <si>
    <r>
      <t>ΔU</t>
    </r>
    <r>
      <rPr>
        <sz val="9"/>
        <rFont val="Calibri"/>
        <family val="2"/>
      </rPr>
      <t>.∑</t>
    </r>
    <r>
      <rPr>
        <b/>
        <i/>
        <sz val="9"/>
        <rFont val="Calibri"/>
        <family val="2"/>
      </rPr>
      <t>A</t>
    </r>
    <r>
      <rPr>
        <vertAlign val="subscript"/>
        <sz val="9"/>
        <rFont val="Calibri"/>
        <family val="2"/>
      </rPr>
      <t xml:space="preserve">i </t>
    </r>
    <r>
      <rPr>
        <sz val="9"/>
        <rFont val="Calibri"/>
        <family val="2"/>
      </rPr>
      <t>=</t>
    </r>
    <r>
      <rPr>
        <vertAlign val="subscript"/>
        <sz val="9"/>
        <rFont val="Calibri"/>
        <family val="2"/>
      </rPr>
      <t xml:space="preserve"> </t>
    </r>
  </si>
  <si>
    <r>
      <t xml:space="preserve">Merná tepelná strata </t>
    </r>
    <r>
      <rPr>
        <b/>
        <i/>
        <sz val="9"/>
        <rFont val="Calibri"/>
        <family val="2"/>
        <charset val="238"/>
      </rPr>
      <t>H</t>
    </r>
    <r>
      <rPr>
        <b/>
        <vertAlign val="subscript"/>
        <sz val="9"/>
        <rFont val="Calibri"/>
        <family val="2"/>
        <charset val="238"/>
      </rPr>
      <t xml:space="preserve">T </t>
    </r>
    <r>
      <rPr>
        <b/>
        <sz val="9"/>
        <rFont val="Calibri"/>
        <family val="2"/>
        <charset val="238"/>
      </rPr>
      <t>[W/K]:</t>
    </r>
  </si>
  <si>
    <r>
      <t>H</t>
    </r>
    <r>
      <rPr>
        <b/>
        <i/>
        <vertAlign val="subscript"/>
        <sz val="9"/>
        <rFont val="Calibri"/>
        <family val="2"/>
      </rPr>
      <t>T</t>
    </r>
    <r>
      <rPr>
        <i/>
        <sz val="9"/>
        <rFont val="Calibri"/>
        <family val="2"/>
      </rPr>
      <t xml:space="preserve"> = ∑</t>
    </r>
    <r>
      <rPr>
        <b/>
        <sz val="9"/>
        <rFont val="Calibri"/>
        <family val="2"/>
      </rPr>
      <t>b</t>
    </r>
    <r>
      <rPr>
        <i/>
        <vertAlign val="subscript"/>
        <sz val="9"/>
        <rFont val="Calibri"/>
        <family val="2"/>
      </rPr>
      <t>x</t>
    </r>
    <r>
      <rPr>
        <i/>
        <sz val="9"/>
        <rFont val="Calibri"/>
        <family val="2"/>
      </rPr>
      <t>.</t>
    </r>
    <r>
      <rPr>
        <b/>
        <sz val="9"/>
        <rFont val="Calibri"/>
        <family val="2"/>
      </rPr>
      <t>U</t>
    </r>
    <r>
      <rPr>
        <i/>
        <vertAlign val="subscript"/>
        <sz val="9"/>
        <rFont val="Calibri"/>
        <family val="2"/>
      </rPr>
      <t>i</t>
    </r>
    <r>
      <rPr>
        <i/>
        <sz val="9"/>
        <rFont val="Calibri"/>
        <family val="2"/>
      </rPr>
      <t>.</t>
    </r>
    <r>
      <rPr>
        <b/>
        <sz val="9"/>
        <rFont val="Calibri"/>
        <family val="2"/>
      </rPr>
      <t>A</t>
    </r>
    <r>
      <rPr>
        <i/>
        <vertAlign val="subscript"/>
        <sz val="9"/>
        <rFont val="Calibri"/>
        <family val="2"/>
      </rPr>
      <t>i</t>
    </r>
    <r>
      <rPr>
        <i/>
        <sz val="9"/>
        <rFont val="Calibri"/>
        <family val="2"/>
      </rPr>
      <t xml:space="preserve"> + Δ</t>
    </r>
    <r>
      <rPr>
        <b/>
        <sz val="9"/>
        <rFont val="Calibri"/>
        <family val="2"/>
      </rPr>
      <t>U</t>
    </r>
    <r>
      <rPr>
        <sz val="9"/>
        <rFont val="Calibri"/>
        <family val="2"/>
      </rPr>
      <t>.</t>
    </r>
    <r>
      <rPr>
        <i/>
        <sz val="9"/>
        <rFont val="Calibri"/>
        <family val="2"/>
      </rPr>
      <t>∑</t>
    </r>
    <r>
      <rPr>
        <b/>
        <sz val="9"/>
        <rFont val="Calibri"/>
        <family val="2"/>
      </rPr>
      <t>A</t>
    </r>
    <r>
      <rPr>
        <i/>
        <vertAlign val="subscript"/>
        <sz val="9"/>
        <rFont val="Calibri"/>
        <family val="2"/>
      </rPr>
      <t>i</t>
    </r>
    <r>
      <rPr>
        <i/>
        <sz val="9"/>
        <rFont val="Calibri"/>
        <family val="2"/>
      </rPr>
      <t xml:space="preserve"> =</t>
    </r>
  </si>
  <si>
    <r>
      <t>Priemerný súčiniteľ prechodu tepla [W/(m</t>
    </r>
    <r>
      <rPr>
        <b/>
        <vertAlign val="superscript"/>
        <sz val="9"/>
        <rFont val="Calibri"/>
        <family val="2"/>
      </rPr>
      <t>2</t>
    </r>
    <r>
      <rPr>
        <b/>
        <sz val="9"/>
        <rFont val="Calibri"/>
        <family val="2"/>
      </rPr>
      <t>K)]:</t>
    </r>
  </si>
  <si>
    <r>
      <t>U</t>
    </r>
    <r>
      <rPr>
        <i/>
        <vertAlign val="subscript"/>
        <sz val="9"/>
        <rFont val="Calibri"/>
        <family val="2"/>
      </rPr>
      <t>e,m</t>
    </r>
    <r>
      <rPr>
        <i/>
        <sz val="9"/>
        <rFont val="Calibri"/>
        <family val="2"/>
      </rPr>
      <t xml:space="preserve"> = </t>
    </r>
    <r>
      <rPr>
        <b/>
        <sz val="9"/>
        <rFont val="Calibri"/>
        <family val="2"/>
      </rPr>
      <t>H</t>
    </r>
    <r>
      <rPr>
        <i/>
        <vertAlign val="subscript"/>
        <sz val="9"/>
        <rFont val="Calibri"/>
        <family val="2"/>
      </rPr>
      <t>T</t>
    </r>
    <r>
      <rPr>
        <i/>
        <sz val="9"/>
        <rFont val="Calibri"/>
        <family val="2"/>
      </rPr>
      <t>/∑</t>
    </r>
    <r>
      <rPr>
        <b/>
        <sz val="9"/>
        <rFont val="Calibri"/>
        <family val="2"/>
      </rPr>
      <t>A</t>
    </r>
    <r>
      <rPr>
        <i/>
        <vertAlign val="subscript"/>
        <sz val="9"/>
        <rFont val="Calibri"/>
        <family val="2"/>
      </rPr>
      <t>i</t>
    </r>
    <r>
      <rPr>
        <i/>
        <sz val="9"/>
        <rFont val="Calibri"/>
        <family val="2"/>
      </rPr>
      <t xml:space="preserve"> =</t>
    </r>
  </si>
  <si>
    <r>
      <t>Odporúčané hodnoty U</t>
    </r>
    <r>
      <rPr>
        <b/>
        <vertAlign val="subscript"/>
        <sz val="9"/>
        <rFont val="Calibri"/>
        <family val="2"/>
      </rPr>
      <t xml:space="preserve">e,m                </t>
    </r>
  </si>
  <si>
    <r>
      <t>∑A</t>
    </r>
    <r>
      <rPr>
        <b/>
        <vertAlign val="subscript"/>
        <sz val="9"/>
        <rFont val="Calibri"/>
        <family val="2"/>
      </rPr>
      <t>i</t>
    </r>
    <r>
      <rPr>
        <b/>
        <sz val="9"/>
        <rFont val="Calibri"/>
        <family val="2"/>
      </rPr>
      <t>/V</t>
    </r>
    <r>
      <rPr>
        <b/>
        <vertAlign val="subscript"/>
        <sz val="9"/>
        <rFont val="Calibri"/>
        <family val="2"/>
      </rPr>
      <t>b</t>
    </r>
    <r>
      <rPr>
        <b/>
        <sz val="9"/>
        <rFont val="Calibri"/>
        <family val="2"/>
      </rPr>
      <t xml:space="preserve"> </t>
    </r>
  </si>
  <si>
    <r>
      <t>U</t>
    </r>
    <r>
      <rPr>
        <i/>
        <vertAlign val="subscript"/>
        <sz val="9"/>
        <rFont val="Calibri"/>
        <family val="2"/>
      </rPr>
      <t>e,m,max</t>
    </r>
  </si>
  <si>
    <r>
      <t>U</t>
    </r>
    <r>
      <rPr>
        <i/>
        <vertAlign val="subscript"/>
        <sz val="9"/>
        <rFont val="Calibri"/>
        <family val="2"/>
      </rPr>
      <t>e,m,N</t>
    </r>
  </si>
  <si>
    <r>
      <t>U</t>
    </r>
    <r>
      <rPr>
        <i/>
        <vertAlign val="subscript"/>
        <sz val="9"/>
        <rFont val="Calibri"/>
        <family val="2"/>
      </rPr>
      <t>e,m,r1</t>
    </r>
  </si>
  <si>
    <r>
      <t>U</t>
    </r>
    <r>
      <rPr>
        <i/>
        <vertAlign val="subscript"/>
        <sz val="9"/>
        <rFont val="Calibri"/>
        <family val="2"/>
      </rPr>
      <t>e,m,r2</t>
    </r>
  </si>
  <si>
    <t>Vyhovuje?</t>
  </si>
  <si>
    <t>Merná tepelná strata vetraním</t>
  </si>
  <si>
    <t>Pomer vnútorného a obostavaného objemu budovy V/Vb (m3/m3)</t>
  </si>
  <si>
    <t>Hustota vzduchu (kg/m3)</t>
  </si>
  <si>
    <t>Merná tepelná kapacita vzduchu (J/kg.K)</t>
  </si>
  <si>
    <t>Intenzita výmeny vzduchu</t>
  </si>
  <si>
    <r>
      <t>H</t>
    </r>
    <r>
      <rPr>
        <b/>
        <vertAlign val="subscript"/>
        <sz val="9"/>
        <rFont val="Calibri"/>
        <family val="2"/>
        <charset val="238"/>
      </rPr>
      <t>V</t>
    </r>
    <r>
      <rPr>
        <b/>
        <sz val="9"/>
        <rFont val="Calibri"/>
        <family val="2"/>
        <charset val="238"/>
      </rPr>
      <t xml:space="preserve"> =</t>
    </r>
  </si>
  <si>
    <t>Tepelná strata celková-normalizovaná hodnota</t>
  </si>
  <si>
    <t>jan</t>
  </si>
  <si>
    <t>feb</t>
  </si>
  <si>
    <t>mar</t>
  </si>
  <si>
    <t>apr</t>
  </si>
  <si>
    <t>okt</t>
  </si>
  <si>
    <t>nov</t>
  </si>
  <si>
    <t>dec</t>
  </si>
  <si>
    <t>Spolu</t>
  </si>
  <si>
    <t>Ql=</t>
  </si>
  <si>
    <t>Tepelná strata celková</t>
  </si>
  <si>
    <t>H=</t>
  </si>
  <si>
    <t>Vnútorné tepelné zisky</t>
  </si>
  <si>
    <t>Qint</t>
  </si>
  <si>
    <t>počet vyk. dní</t>
  </si>
  <si>
    <t xml:space="preserve">tepelný výkon ZT </t>
  </si>
  <si>
    <t>Solárne tpelné zisky</t>
  </si>
  <si>
    <t>Intenzita slnečného žiarenia</t>
  </si>
  <si>
    <t>Plocha otvoru</t>
  </si>
  <si>
    <t>Faktor tienenia</t>
  </si>
  <si>
    <t>Celková priepusnosť</t>
  </si>
  <si>
    <t>navzorcvat</t>
  </si>
  <si>
    <t>Účinná kolekčná plocha</t>
  </si>
  <si>
    <t>navzorcovat</t>
  </si>
  <si>
    <t>Solárny tepelný zisk</t>
  </si>
  <si>
    <t>Tepelné zisky celkové</t>
  </si>
  <si>
    <t>Q=</t>
  </si>
  <si>
    <t>Potreba tepla na vykurovanie</t>
  </si>
  <si>
    <t>Qh=</t>
  </si>
  <si>
    <t>Merná potreba tepla na vykurovanie</t>
  </si>
  <si>
    <t>Qh,nd=</t>
  </si>
  <si>
    <t>doplnit vyhovuje nevyhovuje</t>
  </si>
  <si>
    <t>Vypčíta sa</t>
  </si>
  <si>
    <t>potreba VYK</t>
  </si>
  <si>
    <t>Dennostupne 2016</t>
  </si>
  <si>
    <t>Qvyk</t>
  </si>
  <si>
    <t>jún</t>
  </si>
  <si>
    <t>júl</t>
  </si>
  <si>
    <t>august</t>
  </si>
  <si>
    <t>Výpočet podľa STN EN 15316-1</t>
  </si>
  <si>
    <t>Qem,ls</t>
  </si>
  <si>
    <t>QH</t>
  </si>
  <si>
    <t>Vstupné údaje</t>
  </si>
  <si>
    <t>QH,dis,ls,an</t>
  </si>
  <si>
    <t>vnútorný priemer potrubia</t>
  </si>
  <si>
    <t>di, da</t>
  </si>
  <si>
    <t>mm</t>
  </si>
  <si>
    <t>celkový súčiniteľ prestupu tepla na vonk povrchu</t>
  </si>
  <si>
    <t>ha - izolované</t>
  </si>
  <si>
    <t>W/m2.K</t>
  </si>
  <si>
    <t>Lineárny stratový súčiniteľ</t>
  </si>
  <si>
    <t>Ψ</t>
  </si>
  <si>
    <t>STN EN ISO 12241</t>
  </si>
  <si>
    <t>ha - neizol</t>
  </si>
  <si>
    <t>stredná teplota teplonosnej látky</t>
  </si>
  <si>
    <t>θm</t>
  </si>
  <si>
    <t>Tepelná vodivosť tep izolácie</t>
  </si>
  <si>
    <t>λD</t>
  </si>
  <si>
    <t>W/mK</t>
  </si>
  <si>
    <t>teplota okolitého prostredia</t>
  </si>
  <si>
    <t>θi</t>
  </si>
  <si>
    <t>dlźka potrubia vyk okruhu</t>
  </si>
  <si>
    <t>L</t>
  </si>
  <si>
    <t>počet vyk hodín v časovom kroku</t>
  </si>
  <si>
    <t>top,an</t>
  </si>
  <si>
    <t>čiastočné zaťaženie rozvodu</t>
  </si>
  <si>
    <t>Bdis</t>
  </si>
  <si>
    <t>teplotný exponent systému odovdzávania tepla</t>
  </si>
  <si>
    <t>n-vykurov syst</t>
  </si>
  <si>
    <t>n-podlah syst</t>
  </si>
  <si>
    <t>menovitý výkon inšt vyk telies - obytné budovy</t>
  </si>
  <si>
    <t>Фem,b</t>
  </si>
  <si>
    <t>kW</t>
  </si>
  <si>
    <t>menovitý výkon inšt vyk telies - iné budovy</t>
  </si>
  <si>
    <t>Фem,o</t>
  </si>
  <si>
    <t>faktor na zákur</t>
  </si>
  <si>
    <t>obytné budovy</t>
  </si>
  <si>
    <t>frh,b</t>
  </si>
  <si>
    <t>iné budovy</t>
  </si>
  <si>
    <t>frh,o</t>
  </si>
  <si>
    <t>tepelný príkon na zákur - obytné budovy</t>
  </si>
  <si>
    <t>Фrh,i,b</t>
  </si>
  <si>
    <t>W</t>
  </si>
  <si>
    <t>tepelný príkon na zákur - iné budovy</t>
  </si>
  <si>
    <t>počet vyk hodín zóny</t>
  </si>
  <si>
    <t>top</t>
  </si>
  <si>
    <t>priemer potrubia - vnut</t>
  </si>
  <si>
    <t>da</t>
  </si>
  <si>
    <t>priemer potrubia - vonk</t>
  </si>
  <si>
    <t>di</t>
  </si>
  <si>
    <t>WH,dis,aux,an</t>
  </si>
  <si>
    <t>Tepelná strata z výroby tepla</t>
  </si>
  <si>
    <t>QH,g</t>
  </si>
  <si>
    <t>η</t>
  </si>
  <si>
    <t>Tepelná strata z akumulácie tepla</t>
  </si>
  <si>
    <t>Qs,ls</t>
  </si>
  <si>
    <t>Straty z odovzdávania tepla</t>
  </si>
  <si>
    <t>Straty z rozvodu tepla</t>
  </si>
  <si>
    <t>tepelná kapacita vody</t>
  </si>
  <si>
    <t>cw</t>
  </si>
  <si>
    <t>J/kg*K</t>
  </si>
  <si>
    <t>objem vody v rúrkach  (podľa dĺžky a priemeru potrubia)</t>
  </si>
  <si>
    <t>Vw</t>
  </si>
  <si>
    <t xml:space="preserve">priemerná teplota okolia </t>
  </si>
  <si>
    <t>θamb</t>
  </si>
  <si>
    <t>počet odberov TV/deň</t>
  </si>
  <si>
    <t>Ntap</t>
  </si>
  <si>
    <t>prevádzkový čas čerpadla</t>
  </si>
  <si>
    <t>fpump</t>
  </si>
  <si>
    <t>h/deň</t>
  </si>
  <si>
    <t>príkon čerpadla</t>
  </si>
  <si>
    <t>ppump</t>
  </si>
  <si>
    <t>priemerná teplota vody v zásobníku</t>
  </si>
  <si>
    <t>Qw,s</t>
  </si>
  <si>
    <t>teplotný rozdiel medzi teplotou vody v zásobníku a tepl okolia</t>
  </si>
  <si>
    <t>Qs,s-b</t>
  </si>
  <si>
    <t>pohotovostná tepelná strata zásobníka</t>
  </si>
  <si>
    <t>Qs-b</t>
  </si>
  <si>
    <t>kWh/deň</t>
  </si>
  <si>
    <t>Potreba energie na vykurovanie</t>
  </si>
  <si>
    <t>potreba hydraulickej energie</t>
  </si>
  <si>
    <t>Merná potreba energie na VYK</t>
  </si>
  <si>
    <t>Qvyk,m</t>
  </si>
  <si>
    <t>kWh/m2</t>
  </si>
  <si>
    <t>Účinnosť ZT</t>
  </si>
  <si>
    <t>%</t>
  </si>
  <si>
    <t>Potreba energie na prípravu TV</t>
  </si>
  <si>
    <t>Qw,d</t>
  </si>
  <si>
    <t>Tepelná strata z distribúcie TV</t>
  </si>
  <si>
    <t>Merná potreba energie na TV</t>
  </si>
  <si>
    <t>Qw,d,m</t>
  </si>
  <si>
    <t>tepelná strata z úseku distribučného systému</t>
  </si>
  <si>
    <t>Qw,d,i</t>
  </si>
  <si>
    <t>Doplnit tabulku pre viac moznosti dlzky a DN</t>
  </si>
  <si>
    <t>tepelná strata z cirkulácie</t>
  </si>
  <si>
    <t>Qw,d,c</t>
  </si>
  <si>
    <t>Potreba TV/deň</t>
  </si>
  <si>
    <t>Qpotr</t>
  </si>
  <si>
    <t>spätne získateľná strata z distribúcie TV</t>
  </si>
  <si>
    <t>Qw,d,ii</t>
  </si>
  <si>
    <t>počet osôb</t>
  </si>
  <si>
    <t>n</t>
  </si>
  <si>
    <t>Potreba tepla na prípravu TV</t>
  </si>
  <si>
    <t>Qw</t>
  </si>
  <si>
    <t>špecifická potreba vody</t>
  </si>
  <si>
    <t>q0</t>
  </si>
  <si>
    <t>l/os.deň</t>
  </si>
  <si>
    <t>špecifická potreba tepla na jednotku plochy</t>
  </si>
  <si>
    <t>Qw,A</t>
  </si>
  <si>
    <t>kWh/m2.a</t>
  </si>
  <si>
    <t>Vyhláška 364/2012</t>
  </si>
  <si>
    <t>vlastná spotreba elektrickej energie cirk čerpadiel</t>
  </si>
  <si>
    <t>Wd,pump</t>
  </si>
  <si>
    <t>Spotreba vody/rok</t>
  </si>
  <si>
    <t>tepelná strata z akumulácie TV</t>
  </si>
  <si>
    <t>tepelná strata z výroby TV</t>
  </si>
  <si>
    <t>Qw,g</t>
  </si>
  <si>
    <t>stredná teplota teplnosnej látky</t>
  </si>
  <si>
    <t>θw,d,i</t>
  </si>
  <si>
    <t>počet prevádzkových hodín</t>
  </si>
  <si>
    <t>tw</t>
  </si>
  <si>
    <t>hodín</t>
  </si>
  <si>
    <t>účinnosť ZT</t>
  </si>
  <si>
    <t>Tomašovič a kol. 2006</t>
  </si>
  <si>
    <t>Objem zásobníka</t>
  </si>
  <si>
    <t>plocha povrchu zásobníka</t>
  </si>
  <si>
    <t>denná strata Qz,adm</t>
  </si>
  <si>
    <t>min hrúbka izolácie di,min</t>
  </si>
  <si>
    <t>l</t>
  </si>
  <si>
    <t>m2</t>
  </si>
  <si>
    <t xml:space="preserve">dĺžka potrubia v bytoch </t>
  </si>
  <si>
    <t>Uloop</t>
  </si>
  <si>
    <t>fst</t>
  </si>
  <si>
    <t>Lokalita</t>
  </si>
  <si>
    <t>Teoretické možné množstvo energie dopadajúcej za deň na plochu v jednotlivých mesiacoch Qs,deň,teor. (kWh/m2)</t>
  </si>
  <si>
    <t>Plochý kolektor 45°</t>
  </si>
  <si>
    <t>Qs,den,teor.</t>
  </si>
  <si>
    <t>sm</t>
  </si>
  <si>
    <t>Qs,den.skut.</t>
  </si>
  <si>
    <t>Tv</t>
  </si>
  <si>
    <t>Icstr</t>
  </si>
  <si>
    <t>Qk,deň</t>
  </si>
  <si>
    <t>počet dní n</t>
  </si>
  <si>
    <t>Množstvo zachytenej energie</t>
  </si>
  <si>
    <t>n.Sk.Qk,deň</t>
  </si>
  <si>
    <t>Rozdiel (n.sk.Qk,deň-Qpotr)</t>
  </si>
  <si>
    <t>30°</t>
  </si>
  <si>
    <t>45°</t>
  </si>
  <si>
    <t>60°</t>
  </si>
  <si>
    <t>Stredná intenzita slnečného žiarenia Icstr (W/m2) pri uhle sklonu alfa oslnenej plochy orientovanej na juh</t>
  </si>
  <si>
    <t>Nedostatok</t>
  </si>
  <si>
    <t>Plocha kolektora (m2)</t>
  </si>
  <si>
    <t>Spotreba TV/deň:</t>
  </si>
  <si>
    <t>Prebytok</t>
  </si>
  <si>
    <t>Najpriaznivejší mesiac</t>
  </si>
  <si>
    <t>Najnepriaznivejší mesiac</t>
  </si>
  <si>
    <t>Sk</t>
  </si>
  <si>
    <t>Ročná potreba tepla na ohrev TV</t>
  </si>
  <si>
    <t>kWh/r</t>
  </si>
  <si>
    <t>Plochý kolektor Viessman Vitosol 200-FM, typ SV2F</t>
  </si>
  <si>
    <t>Absorpčná plocha kolektora</t>
  </si>
  <si>
    <t>Plocha kolektora</t>
  </si>
  <si>
    <t>Počet navrhnutých kolektorov</t>
  </si>
  <si>
    <t>ks</t>
  </si>
  <si>
    <t>Celková kolekotorova plocha</t>
  </si>
  <si>
    <t>Priemerný mesačný relatívny slnečný svit sm</t>
  </si>
  <si>
    <t>Priemerný teplota v čase slnečného svitu Tv (°C)</t>
  </si>
  <si>
    <t>Účinnosť kolektorov</t>
  </si>
  <si>
    <t>1 krycie sklo</t>
  </si>
  <si>
    <t>n=0,91*U1*((55-Tv)/Icstr</t>
  </si>
  <si>
    <t>2 krycie sklá</t>
  </si>
  <si>
    <t>n=0,80*U1*((55-Tv)/Icstr</t>
  </si>
  <si>
    <t>Energia slnečného žiarenia Qs,den</t>
  </si>
  <si>
    <t>nloop</t>
  </si>
  <si>
    <t>TZ</t>
  </si>
  <si>
    <t>TL</t>
  </si>
  <si>
    <t>tm</t>
  </si>
  <si>
    <t>Qdem</t>
  </si>
  <si>
    <t>SUMA</t>
  </si>
  <si>
    <t>Teplo zo soláru</t>
  </si>
  <si>
    <t>Potreba tepla</t>
  </si>
  <si>
    <t>Straty odovzdávanie</t>
  </si>
  <si>
    <t>Straty distribúcia</t>
  </si>
  <si>
    <t>Straty akumulácia</t>
  </si>
  <si>
    <t>Zisky z TV</t>
  </si>
  <si>
    <t>Potreba tepla + straty</t>
  </si>
  <si>
    <t>Straty výroba</t>
  </si>
  <si>
    <t>Dodaná en. elektrina</t>
  </si>
  <si>
    <t>Dodaná en. ZP</t>
  </si>
  <si>
    <t>Obeh. čerpadlo</t>
  </si>
  <si>
    <t>Potr. tepla + straty - solár</t>
  </si>
  <si>
    <t>Energia pokrytá kotlom</t>
  </si>
  <si>
    <t>Účinnosť kotla</t>
  </si>
  <si>
    <t>ENERGETICKÁ BILANCIA SYSTÉMU VYKUROVANIA</t>
  </si>
  <si>
    <t>ENERGETICKÁ BILANCIA SYSTÉMU PRÍPRAVY TV</t>
  </si>
  <si>
    <t>Elektrina solár</t>
  </si>
  <si>
    <t>LEGENDA:</t>
  </si>
  <si>
    <t>doplniť hodnotu</t>
  </si>
  <si>
    <t>finálny výsledok</t>
  </si>
  <si>
    <t>Umiestnenie</t>
  </si>
  <si>
    <t>Typ</t>
  </si>
  <si>
    <t>Príkon svietidla</t>
  </si>
  <si>
    <t>Počet kusov</t>
  </si>
  <si>
    <t>Celkový príkon</t>
  </si>
  <si>
    <t>Prevádzková doba</t>
  </si>
  <si>
    <t>Celková spotreba elektriny</t>
  </si>
  <si>
    <t>Miestnosti</t>
  </si>
  <si>
    <t>Prevádzkové hodiny</t>
  </si>
  <si>
    <t>Príkon osvetlovacieho telesa [W]</t>
  </si>
  <si>
    <r>
      <t>hod.rok</t>
    </r>
    <r>
      <rPr>
        <b/>
        <vertAlign val="superscript"/>
        <sz val="8"/>
        <color rgb="FF000000"/>
        <rFont val="Times New Roman"/>
        <family val="1"/>
        <charset val="238"/>
      </rPr>
      <t>-1</t>
    </r>
  </si>
  <si>
    <r>
      <t>MWh.rok</t>
    </r>
    <r>
      <rPr>
        <b/>
        <vertAlign val="superscript"/>
        <sz val="8"/>
        <color rgb="FF000000"/>
        <rFont val="Times New Roman"/>
        <family val="1"/>
        <charset val="238"/>
      </rPr>
      <t>-1</t>
    </r>
  </si>
  <si>
    <t>Izby</t>
  </si>
  <si>
    <t>žiarivky</t>
  </si>
  <si>
    <t>výbojky</t>
  </si>
  <si>
    <t>Učebne</t>
  </si>
  <si>
    <t>Toalety, sprchy</t>
  </si>
  <si>
    <t>Kancelárie</t>
  </si>
  <si>
    <t>Pedagogické kabinety</t>
  </si>
  <si>
    <t>Chodby</t>
  </si>
  <si>
    <t>žiarovky</t>
  </si>
  <si>
    <t>Vrátnice</t>
  </si>
  <si>
    <t>Technické miestnosti</t>
  </si>
  <si>
    <t>Upratovačka</t>
  </si>
  <si>
    <t>Telocvične</t>
  </si>
  <si>
    <t>Kuchyňa</t>
  </si>
  <si>
    <t>Sklady</t>
  </si>
  <si>
    <t>Jedáleň</t>
  </si>
  <si>
    <t>Knižnica</t>
  </si>
  <si>
    <t>Garáže</t>
  </si>
  <si>
    <t>Zasadacia miestnosť</t>
  </si>
  <si>
    <t>Terapeutické miestnosti</t>
  </si>
  <si>
    <t>Prednáškové sály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</si>
</sst>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\ _€_-;\-* #,##0.00\ _€_-;_-* &quot;-&quot;??\ _€_-;_-@_-"/>
    <numFmt numFmtId="165" formatCode="#,##0.000"/>
    <numFmt numFmtId="166" formatCode="0.0"/>
    <numFmt numFmtId="167" formatCode="#,##0.0"/>
    <numFmt numFmtId="168" formatCode="0.00000"/>
    <numFmt numFmtId="169" formatCode="0.000"/>
    <numFmt numFmtId="170" formatCode="0.0000"/>
    <numFmt numFmtId="171" formatCode="_-* #,##0.0\ _€_-;\-* #,##0.0\ _€_-;_-* &quot;-&quot;??\ _€_-;_-@_-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i/>
      <sz val="9"/>
      <name val="Calibri"/>
      <family val="2"/>
      <charset val="238"/>
    </font>
    <font>
      <sz val="9"/>
      <name val="Calibri"/>
      <family val="2"/>
      <charset val="238"/>
    </font>
    <font>
      <b/>
      <sz val="9"/>
      <name val="Calibri"/>
      <family val="2"/>
    </font>
    <font>
      <b/>
      <vertAlign val="subscript"/>
      <sz val="9"/>
      <name val="Calibri"/>
      <family val="2"/>
    </font>
    <font>
      <b/>
      <sz val="9"/>
      <name val="Calibri"/>
      <family val="2"/>
      <charset val="238"/>
    </font>
    <font>
      <b/>
      <sz val="9"/>
      <color theme="0"/>
      <name val="Calibri"/>
      <family val="2"/>
      <charset val="238"/>
    </font>
    <font>
      <b/>
      <vertAlign val="subscript"/>
      <sz val="9"/>
      <color theme="0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rial"/>
      <family val="2"/>
      <charset val="238"/>
    </font>
    <font>
      <b/>
      <vertAlign val="superscript"/>
      <sz val="9"/>
      <color theme="0"/>
      <name val="Calibri"/>
      <family val="2"/>
    </font>
    <font>
      <b/>
      <sz val="9"/>
      <name val="Arial"/>
      <family val="2"/>
      <charset val="238"/>
    </font>
    <font>
      <sz val="9"/>
      <name val="Calibri"/>
      <family val="2"/>
      <scheme val="minor"/>
    </font>
    <font>
      <b/>
      <vertAlign val="subscript"/>
      <sz val="9"/>
      <name val="Calibri"/>
      <family val="2"/>
      <charset val="238"/>
    </font>
    <font>
      <b/>
      <vertAlign val="superscript"/>
      <sz val="9"/>
      <name val="Calibri"/>
      <family val="2"/>
      <charset val="238"/>
    </font>
    <font>
      <sz val="8"/>
      <name val="Calibri"/>
      <family val="2"/>
      <scheme val="minor"/>
    </font>
    <font>
      <b/>
      <sz val="7.5"/>
      <name val="Arial"/>
      <family val="2"/>
      <charset val="238"/>
    </font>
    <font>
      <sz val="7.5"/>
      <name val="Arial"/>
      <family val="2"/>
      <charset val="238"/>
    </font>
    <font>
      <sz val="10"/>
      <name val="Arial"/>
      <family val="2"/>
      <charset val="238"/>
    </font>
    <font>
      <vertAlign val="superscript"/>
      <sz val="7.5"/>
      <name val="Arial"/>
      <family val="2"/>
      <charset val="238"/>
    </font>
    <font>
      <b/>
      <vertAlign val="subscript"/>
      <sz val="7.5"/>
      <name val="Arial"/>
      <family val="2"/>
      <charset val="238"/>
    </font>
    <font>
      <sz val="7.5"/>
      <color rgb="FFFF0000"/>
      <name val="Arial"/>
      <family val="2"/>
      <charset val="238"/>
    </font>
    <font>
      <sz val="7.5"/>
      <color indexed="22"/>
      <name val="Arial"/>
      <family val="2"/>
      <charset val="238"/>
    </font>
    <font>
      <b/>
      <sz val="7.5"/>
      <name val="Symbol"/>
      <family val="1"/>
      <charset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9"/>
      <name val="Calibri"/>
      <family val="2"/>
    </font>
    <font>
      <b/>
      <sz val="9"/>
      <color indexed="9"/>
      <name val="Calibri"/>
      <family val="2"/>
    </font>
    <font>
      <vertAlign val="subscript"/>
      <sz val="9"/>
      <name val="Calibri"/>
      <family val="2"/>
    </font>
    <font>
      <b/>
      <sz val="8"/>
      <name val="Arial"/>
      <family val="2"/>
      <charset val="238"/>
    </font>
    <font>
      <i/>
      <sz val="9"/>
      <name val="Calibri"/>
      <family val="2"/>
    </font>
    <font>
      <b/>
      <i/>
      <sz val="9"/>
      <name val="Calibri"/>
      <family val="2"/>
    </font>
    <font>
      <b/>
      <vertAlign val="superscript"/>
      <sz val="9"/>
      <name val="Calibri"/>
      <family val="2"/>
    </font>
    <font>
      <sz val="9"/>
      <color theme="1"/>
      <name val="Calibri"/>
      <family val="2"/>
      <scheme val="minor"/>
    </font>
    <font>
      <b/>
      <i/>
      <vertAlign val="subscript"/>
      <sz val="9"/>
      <name val="Calibri"/>
      <family val="2"/>
    </font>
    <font>
      <i/>
      <vertAlign val="subscript"/>
      <sz val="9"/>
      <name val="Calibri"/>
      <family val="2"/>
    </font>
    <font>
      <b/>
      <sz val="9"/>
      <color theme="1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9"/>
      <color theme="1"/>
      <name val="Calibri"/>
      <family val="2"/>
      <scheme val="minor"/>
    </font>
    <font>
      <b/>
      <i/>
      <sz val="9"/>
      <name val="Calibri"/>
      <family val="2"/>
      <charset val="238"/>
      <scheme val="minor"/>
    </font>
    <font>
      <i/>
      <sz val="9"/>
      <color theme="1"/>
      <name val="Calibri"/>
      <family val="2"/>
      <charset val="238"/>
      <scheme val="minor"/>
    </font>
    <font>
      <b/>
      <i/>
      <sz val="9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</font>
    <font>
      <b/>
      <sz val="9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</font>
    <font>
      <b/>
      <sz val="9"/>
      <color rgb="FFFF000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9"/>
      <color theme="1"/>
      <name val="Calibri"/>
      <family val="2"/>
    </font>
    <font>
      <sz val="9"/>
      <color rgb="FFFF0000"/>
      <name val="Calibri"/>
      <family val="2"/>
    </font>
    <font>
      <i/>
      <sz val="10"/>
      <color theme="1"/>
      <name val="Calibri"/>
      <family val="2"/>
      <scheme val="minor"/>
    </font>
    <font>
      <sz val="9"/>
      <color rgb="FF92D050"/>
      <name val="Calibri"/>
      <family val="2"/>
      <scheme val="minor"/>
    </font>
    <font>
      <sz val="9"/>
      <color rgb="FF000000"/>
      <name val="Calibri"/>
      <family val="2"/>
      <charset val="238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b/>
      <vertAlign val="superscript"/>
      <sz val="8"/>
      <color rgb="FF000000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8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6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C9AB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1" fillId="0" borderId="0"/>
    <xf numFmtId="43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0" fontId="21" fillId="0" borderId="0"/>
    <xf numFmtId="0" fontId="3" fillId="0" borderId="0"/>
    <xf numFmtId="0" fontId="54" fillId="0" borderId="0"/>
    <xf numFmtId="0" fontId="2" fillId="0" borderId="0"/>
    <xf numFmtId="0" fontId="61" fillId="0" borderId="0" applyNumberFormat="0" applyFill="0" applyBorder="0" applyAlignment="0" applyProtection="0"/>
    <xf numFmtId="0" fontId="1" fillId="0" borderId="0"/>
  </cellStyleXfs>
  <cellXfs count="559">
    <xf numFmtId="0" fontId="0" fillId="0" borderId="0" xfId="0"/>
    <xf numFmtId="0" fontId="4" fillId="0" borderId="1" xfId="0" applyFont="1" applyBorder="1"/>
    <xf numFmtId="165" fontId="8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9" fillId="5" borderId="1" xfId="0" applyFont="1" applyFill="1" applyBorder="1"/>
    <xf numFmtId="165" fontId="9" fillId="5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right" vertical="center"/>
    </xf>
    <xf numFmtId="2" fontId="8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wrapText="1"/>
    </xf>
    <xf numFmtId="0" fontId="15" fillId="0" borderId="1" xfId="0" applyFont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 vertical="center"/>
    </xf>
    <xf numFmtId="166" fontId="15" fillId="2" borderId="1" xfId="0" applyNumberFormat="1" applyFont="1" applyFill="1" applyBorder="1" applyAlignment="1">
      <alignment wrapText="1"/>
    </xf>
    <xf numFmtId="1" fontId="15" fillId="2" borderId="1" xfId="0" applyNumberFormat="1" applyFont="1" applyFill="1" applyBorder="1"/>
    <xf numFmtId="166" fontId="15" fillId="2" borderId="1" xfId="0" applyNumberFormat="1" applyFont="1" applyFill="1" applyBorder="1"/>
    <xf numFmtId="2" fontId="15" fillId="2" borderId="1" xfId="0" applyNumberFormat="1" applyFont="1" applyFill="1" applyBorder="1"/>
    <xf numFmtId="0" fontId="20" fillId="0" borderId="0" xfId="0" applyFont="1" applyAlignment="1" applyProtection="1">
      <alignment horizontal="left"/>
      <protection locked="0"/>
    </xf>
    <xf numFmtId="0" fontId="20" fillId="0" borderId="0" xfId="0" applyFont="1" applyProtection="1">
      <protection locked="0"/>
    </xf>
    <xf numFmtId="3" fontId="20" fillId="6" borderId="1" xfId="0" applyNumberFormat="1" applyFont="1" applyFill="1" applyBorder="1" applyAlignment="1" applyProtection="1">
      <alignment horizontal="right" vertical="center"/>
      <protection locked="0"/>
    </xf>
    <xf numFmtId="3" fontId="20" fillId="0" borderId="1" xfId="0" applyNumberFormat="1" applyFont="1" applyBorder="1" applyAlignment="1">
      <alignment horizontal="right" vertical="center"/>
    </xf>
    <xf numFmtId="4" fontId="20" fillId="0" borderId="1" xfId="0" applyNumberFormat="1" applyFont="1" applyBorder="1" applyAlignment="1">
      <alignment horizontal="right" vertical="center"/>
    </xf>
    <xf numFmtId="0" fontId="20" fillId="6" borderId="1" xfId="0" applyFont="1" applyFill="1" applyBorder="1" applyAlignment="1" applyProtection="1">
      <alignment vertical="center"/>
      <protection locked="0"/>
    </xf>
    <xf numFmtId="0" fontId="20" fillId="0" borderId="1" xfId="0" applyFont="1" applyBorder="1"/>
    <xf numFmtId="0" fontId="20" fillId="0" borderId="0" xfId="0" applyFont="1"/>
    <xf numFmtId="0" fontId="19" fillId="0" borderId="8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wrapText="1"/>
    </xf>
    <xf numFmtId="0" fontId="20" fillId="0" borderId="6" xfId="0" applyFont="1" applyBorder="1"/>
    <xf numFmtId="0" fontId="20" fillId="0" borderId="1" xfId="0" applyFont="1" applyBorder="1" applyAlignment="1">
      <alignment horizontal="right"/>
    </xf>
    <xf numFmtId="0" fontId="20" fillId="7" borderId="6" xfId="0" applyFont="1" applyFill="1" applyBorder="1"/>
    <xf numFmtId="0" fontId="20" fillId="7" borderId="1" xfId="0" applyFont="1" applyFill="1" applyBorder="1"/>
    <xf numFmtId="0" fontId="20" fillId="0" borderId="1" xfId="0" applyFont="1" applyBorder="1" applyAlignment="1">
      <alignment wrapText="1"/>
    </xf>
    <xf numFmtId="166" fontId="20" fillId="0" borderId="6" xfId="0" applyNumberFormat="1" applyFont="1" applyBorder="1"/>
    <xf numFmtId="166" fontId="20" fillId="7" borderId="6" xfId="0" applyNumberFormat="1" applyFont="1" applyFill="1" applyBorder="1"/>
    <xf numFmtId="0" fontId="24" fillId="4" borderId="1" xfId="0" applyFont="1" applyFill="1" applyBorder="1"/>
    <xf numFmtId="16" fontId="20" fillId="0" borderId="1" xfId="0" applyNumberFormat="1" applyFont="1" applyBorder="1"/>
    <xf numFmtId="0" fontId="20" fillId="0" borderId="0" xfId="0" applyFont="1" applyAlignment="1">
      <alignment wrapText="1"/>
    </xf>
    <xf numFmtId="3" fontId="20" fillId="9" borderId="1" xfId="0" applyNumberFormat="1" applyFont="1" applyFill="1" applyBorder="1" applyAlignment="1" applyProtection="1">
      <alignment horizontal="right" vertical="center"/>
      <protection locked="0"/>
    </xf>
    <xf numFmtId="0" fontId="20" fillId="9" borderId="1" xfId="0" applyFont="1" applyFill="1" applyBorder="1" applyAlignment="1" applyProtection="1">
      <alignment vertical="center"/>
      <protection locked="0"/>
    </xf>
    <xf numFmtId="3" fontId="20" fillId="8" borderId="1" xfId="0" applyNumberFormat="1" applyFont="1" applyFill="1" applyBorder="1" applyAlignment="1">
      <alignment horizontal="right" vertical="center"/>
    </xf>
    <xf numFmtId="4" fontId="20" fillId="8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0" fontId="0" fillId="8" borderId="1" xfId="0" applyFill="1" applyBorder="1"/>
    <xf numFmtId="0" fontId="19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3" fontId="20" fillId="0" borderId="1" xfId="0" applyNumberFormat="1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/>
    </xf>
    <xf numFmtId="167" fontId="20" fillId="0" borderId="1" xfId="0" applyNumberFormat="1" applyFont="1" applyBorder="1" applyAlignment="1">
      <alignment horizontal="center" vertical="center"/>
    </xf>
    <xf numFmtId="14" fontId="20" fillId="0" borderId="0" xfId="0" applyNumberFormat="1" applyFont="1" applyProtection="1">
      <protection locked="0"/>
    </xf>
    <xf numFmtId="1" fontId="20" fillId="0" borderId="0" xfId="0" applyNumberFormat="1" applyFont="1" applyProtection="1">
      <protection locked="0"/>
    </xf>
    <xf numFmtId="3" fontId="20" fillId="0" borderId="0" xfId="0" applyNumberFormat="1" applyFont="1" applyProtection="1">
      <protection locked="0"/>
    </xf>
    <xf numFmtId="0" fontId="20" fillId="0" borderId="0" xfId="0" applyFont="1" applyAlignment="1" applyProtection="1">
      <alignment horizontal="left" vertical="center"/>
      <protection locked="0"/>
    </xf>
    <xf numFmtId="166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/>
    </xf>
    <xf numFmtId="166" fontId="20" fillId="0" borderId="1" xfId="0" applyNumberFormat="1" applyFont="1" applyBorder="1" applyAlignment="1">
      <alignment vertical="center"/>
    </xf>
    <xf numFmtId="2" fontId="20" fillId="0" borderId="1" xfId="0" applyNumberFormat="1" applyFont="1" applyBorder="1" applyAlignment="1">
      <alignment vertical="center"/>
    </xf>
    <xf numFmtId="167" fontId="20" fillId="0" borderId="1" xfId="0" applyNumberFormat="1" applyFont="1" applyBorder="1" applyAlignment="1">
      <alignment vertic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/>
    </xf>
    <xf numFmtId="166" fontId="29" fillId="0" borderId="1" xfId="0" applyNumberFormat="1" applyFont="1" applyBorder="1" applyAlignment="1">
      <alignment horizontal="center"/>
    </xf>
    <xf numFmtId="0" fontId="29" fillId="0" borderId="1" xfId="0" applyFont="1" applyBorder="1"/>
    <xf numFmtId="0" fontId="29" fillId="5" borderId="1" xfId="0" applyFont="1" applyFill="1" applyBorder="1" applyAlignment="1">
      <alignment horizontal="right"/>
    </xf>
    <xf numFmtId="1" fontId="29" fillId="0" borderId="1" xfId="0" applyNumberFormat="1" applyFont="1" applyBorder="1" applyAlignment="1">
      <alignment horizontal="center"/>
    </xf>
    <xf numFmtId="3" fontId="29" fillId="0" borderId="1" xfId="0" applyNumberFormat="1" applyFont="1" applyBorder="1" applyAlignment="1">
      <alignment horizontal="center"/>
    </xf>
    <xf numFmtId="166" fontId="29" fillId="0" borderId="1" xfId="0" applyNumberFormat="1" applyFont="1" applyBorder="1" applyAlignment="1">
      <alignment horizontal="left"/>
    </xf>
    <xf numFmtId="0" fontId="32" fillId="5" borderId="1" xfId="0" applyFont="1" applyFill="1" applyBorder="1" applyProtection="1">
      <protection locked="0"/>
    </xf>
    <xf numFmtId="0" fontId="20" fillId="5" borderId="1" xfId="0" applyFont="1" applyFill="1" applyBorder="1" applyProtection="1">
      <protection locked="0"/>
    </xf>
    <xf numFmtId="0" fontId="28" fillId="5" borderId="1" xfId="0" applyFont="1" applyFill="1" applyBorder="1"/>
    <xf numFmtId="0" fontId="0" fillId="10" borderId="0" xfId="0" applyFill="1"/>
    <xf numFmtId="0" fontId="20" fillId="0" borderId="1" xfId="1" applyFont="1" applyBorder="1" applyAlignment="1">
      <alignment horizontal="left" vertical="center"/>
    </xf>
    <xf numFmtId="0" fontId="29" fillId="0" borderId="0" xfId="0" applyFont="1"/>
    <xf numFmtId="0" fontId="29" fillId="0" borderId="0" xfId="0" applyFont="1" applyAlignment="1">
      <alignment vertical="center"/>
    </xf>
    <xf numFmtId="167" fontId="29" fillId="0" borderId="1" xfId="0" applyNumberFormat="1" applyFont="1" applyBorder="1" applyAlignment="1">
      <alignment horizontal="right"/>
    </xf>
    <xf numFmtId="2" fontId="29" fillId="0" borderId="1" xfId="0" applyNumberFormat="1" applyFont="1" applyBorder="1" applyAlignment="1">
      <alignment horizontal="center"/>
    </xf>
    <xf numFmtId="4" fontId="29" fillId="0" borderId="1" xfId="0" applyNumberFormat="1" applyFont="1" applyBorder="1" applyAlignment="1">
      <alignment horizontal="right"/>
    </xf>
    <xf numFmtId="0" fontId="6" fillId="0" borderId="0" xfId="0" applyFont="1"/>
    <xf numFmtId="2" fontId="29" fillId="2" borderId="1" xfId="0" applyNumberFormat="1" applyFont="1" applyFill="1" applyBorder="1" applyAlignment="1">
      <alignment horizontal="center"/>
    </xf>
    <xf numFmtId="0" fontId="29" fillId="2" borderId="1" xfId="0" applyFont="1" applyFill="1" applyBorder="1" applyAlignment="1">
      <alignment vertical="center"/>
    </xf>
    <xf numFmtId="0" fontId="6" fillId="0" borderId="1" xfId="0" applyFont="1" applyBorder="1"/>
    <xf numFmtId="0" fontId="34" fillId="0" borderId="1" xfId="0" applyFont="1" applyBorder="1" applyAlignment="1">
      <alignment horizontal="right"/>
    </xf>
    <xf numFmtId="0" fontId="34" fillId="5" borderId="1" xfId="0" applyFont="1" applyFill="1" applyBorder="1" applyAlignment="1">
      <alignment horizontal="center" vertical="center"/>
    </xf>
    <xf numFmtId="2" fontId="0" fillId="0" borderId="0" xfId="0" applyNumberFormat="1"/>
    <xf numFmtId="0" fontId="4" fillId="0" borderId="4" xfId="0" applyFont="1" applyBorder="1"/>
    <xf numFmtId="0" fontId="8" fillId="5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left" wrapText="1"/>
    </xf>
    <xf numFmtId="0" fontId="36" fillId="0" borderId="1" xfId="0" applyFont="1" applyBorder="1"/>
    <xf numFmtId="0" fontId="36" fillId="0" borderId="1" xfId="0" applyFont="1" applyBorder="1" applyAlignment="1">
      <alignment horizontal="center" vertical="center"/>
    </xf>
    <xf numFmtId="166" fontId="29" fillId="0" borderId="0" xfId="0" applyNumberFormat="1" applyFont="1" applyAlignment="1">
      <alignment horizontal="center"/>
    </xf>
    <xf numFmtId="166" fontId="29" fillId="0" borderId="0" xfId="0" applyNumberFormat="1" applyFont="1" applyAlignment="1">
      <alignment horizontal="right"/>
    </xf>
    <xf numFmtId="166" fontId="29" fillId="2" borderId="1" xfId="0" applyNumberFormat="1" applyFont="1" applyFill="1" applyBorder="1" applyAlignment="1">
      <alignment horizontal="center"/>
    </xf>
    <xf numFmtId="166" fontId="29" fillId="2" borderId="1" xfId="0" applyNumberFormat="1" applyFont="1" applyFill="1" applyBorder="1" applyAlignment="1">
      <alignment horizontal="right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167" fontId="6" fillId="8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29" fillId="9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right" indent="1"/>
    </xf>
    <xf numFmtId="167" fontId="6" fillId="0" borderId="1" xfId="0" applyNumberFormat="1" applyFont="1" applyBorder="1" applyAlignment="1">
      <alignment horizontal="right"/>
    </xf>
    <xf numFmtId="0" fontId="36" fillId="0" borderId="0" xfId="0" applyFont="1"/>
    <xf numFmtId="0" fontId="6" fillId="0" borderId="1" xfId="0" applyFont="1" applyBorder="1" applyAlignment="1">
      <alignment horizontal="right"/>
    </xf>
    <xf numFmtId="4" fontId="6" fillId="8" borderId="1" xfId="0" applyNumberFormat="1" applyFont="1" applyFill="1" applyBorder="1" applyAlignment="1">
      <alignment horizontal="righ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11" borderId="13" xfId="0" applyFont="1" applyFill="1" applyBorder="1" applyAlignment="1">
      <alignment horizontal="center"/>
    </xf>
    <xf numFmtId="166" fontId="8" fillId="8" borderId="6" xfId="0" applyNumberFormat="1" applyFont="1" applyFill="1" applyBorder="1" applyAlignment="1">
      <alignment horizontal="right"/>
    </xf>
    <xf numFmtId="168" fontId="39" fillId="8" borderId="0" xfId="0" applyNumberFormat="1" applyFont="1" applyFill="1"/>
    <xf numFmtId="0" fontId="5" fillId="10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43" fontId="5" fillId="0" borderId="1" xfId="2" applyFont="1" applyBorder="1" applyAlignment="1">
      <alignment horizontal="right"/>
    </xf>
    <xf numFmtId="167" fontId="5" fillId="8" borderId="1" xfId="0" applyNumberFormat="1" applyFont="1" applyFill="1" applyBorder="1" applyAlignment="1">
      <alignment horizontal="right"/>
    </xf>
    <xf numFmtId="167" fontId="41" fillId="0" borderId="1" xfId="0" applyNumberFormat="1" applyFont="1" applyBorder="1" applyAlignment="1">
      <alignment horizontal="center"/>
    </xf>
    <xf numFmtId="167" fontId="39" fillId="8" borderId="4" xfId="0" applyNumberFormat="1" applyFont="1" applyFill="1" applyBorder="1"/>
    <xf numFmtId="2" fontId="43" fillId="0" borderId="1" xfId="0" applyNumberFormat="1" applyFont="1" applyBorder="1" applyAlignment="1">
      <alignment horizontal="center" vertical="center"/>
    </xf>
    <xf numFmtId="0" fontId="44" fillId="5" borderId="1" xfId="0" applyFont="1" applyFill="1" applyBorder="1"/>
    <xf numFmtId="0" fontId="39" fillId="0" borderId="0" xfId="0" applyFont="1"/>
    <xf numFmtId="0" fontId="41" fillId="0" borderId="1" xfId="0" applyFont="1" applyBorder="1" applyAlignment="1">
      <alignment horizontal="left"/>
    </xf>
    <xf numFmtId="0" fontId="39" fillId="0" borderId="1" xfId="0" applyFont="1" applyBorder="1"/>
    <xf numFmtId="0" fontId="44" fillId="0" borderId="1" xfId="0" applyFont="1" applyBorder="1"/>
    <xf numFmtId="0" fontId="50" fillId="0" borderId="0" xfId="0" applyFont="1"/>
    <xf numFmtId="0" fontId="48" fillId="0" borderId="1" xfId="0" applyFont="1" applyBorder="1"/>
    <xf numFmtId="2" fontId="39" fillId="0" borderId="1" xfId="0" applyNumberFormat="1" applyFont="1" applyBorder="1"/>
    <xf numFmtId="43" fontId="39" fillId="0" borderId="1" xfId="2" applyFont="1" applyBorder="1"/>
    <xf numFmtId="0" fontId="36" fillId="9" borderId="1" xfId="0" applyFont="1" applyFill="1" applyBorder="1"/>
    <xf numFmtId="0" fontId="48" fillId="0" borderId="0" xfId="0" applyFont="1"/>
    <xf numFmtId="2" fontId="39" fillId="0" borderId="0" xfId="0" applyNumberFormat="1" applyFont="1"/>
    <xf numFmtId="0" fontId="36" fillId="0" borderId="5" xfId="0" applyFont="1" applyBorder="1"/>
    <xf numFmtId="0" fontId="36" fillId="0" borderId="5" xfId="0" applyFont="1" applyBorder="1" applyAlignment="1">
      <alignment horizontal="right"/>
    </xf>
    <xf numFmtId="0" fontId="51" fillId="0" borderId="1" xfId="0" applyFont="1" applyBorder="1"/>
    <xf numFmtId="0" fontId="49" fillId="0" borderId="1" xfId="0" applyFont="1" applyBorder="1"/>
    <xf numFmtId="0" fontId="52" fillId="0" borderId="1" xfId="0" applyFont="1" applyBorder="1"/>
    <xf numFmtId="43" fontId="39" fillId="8" borderId="1" xfId="2" applyFont="1" applyFill="1" applyBorder="1"/>
    <xf numFmtId="43" fontId="39" fillId="0" borderId="0" xfId="2" applyFont="1"/>
    <xf numFmtId="0" fontId="36" fillId="4" borderId="0" xfId="0" applyFont="1" applyFill="1"/>
    <xf numFmtId="0" fontId="39" fillId="13" borderId="1" xfId="0" applyFont="1" applyFill="1" applyBorder="1"/>
    <xf numFmtId="2" fontId="39" fillId="13" borderId="1" xfId="0" applyNumberFormat="1" applyFont="1" applyFill="1" applyBorder="1"/>
    <xf numFmtId="2" fontId="39" fillId="8" borderId="1" xfId="0" applyNumberFormat="1" applyFont="1" applyFill="1" applyBorder="1"/>
    <xf numFmtId="0" fontId="36" fillId="13" borderId="1" xfId="0" applyFont="1" applyFill="1" applyBorder="1"/>
    <xf numFmtId="43" fontId="39" fillId="13" borderId="1" xfId="2" applyFont="1" applyFill="1" applyBorder="1"/>
    <xf numFmtId="0" fontId="36" fillId="13" borderId="1" xfId="0" applyFont="1" applyFill="1" applyBorder="1" applyAlignment="1">
      <alignment horizontal="center" vertical="center"/>
    </xf>
    <xf numFmtId="0" fontId="39" fillId="13" borderId="1" xfId="0" applyFont="1" applyFill="1" applyBorder="1" applyAlignment="1">
      <alignment horizontal="center" vertical="center"/>
    </xf>
    <xf numFmtId="43" fontId="36" fillId="0" borderId="1" xfId="2" applyFont="1" applyBorder="1"/>
    <xf numFmtId="43" fontId="39" fillId="8" borderId="1" xfId="2" applyFont="1" applyFill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8" xfId="0" applyBorder="1"/>
    <xf numFmtId="166" fontId="0" fillId="0" borderId="27" xfId="0" applyNumberFormat="1" applyBorder="1"/>
    <xf numFmtId="1" fontId="0" fillId="0" borderId="27" xfId="0" applyNumberFormat="1" applyBorder="1"/>
    <xf numFmtId="166" fontId="0" fillId="0" borderId="26" xfId="0" applyNumberFormat="1" applyBorder="1"/>
    <xf numFmtId="1" fontId="0" fillId="0" borderId="6" xfId="0" applyNumberFormat="1" applyBorder="1"/>
    <xf numFmtId="1" fontId="0" fillId="0" borderId="29" xfId="0" applyNumberFormat="1" applyBorder="1"/>
    <xf numFmtId="1" fontId="0" fillId="0" borderId="1" xfId="0" applyNumberFormat="1" applyBorder="1"/>
    <xf numFmtId="1" fontId="0" fillId="0" borderId="24" xfId="0" applyNumberFormat="1" applyBorder="1"/>
    <xf numFmtId="1" fontId="0" fillId="0" borderId="26" xfId="0" applyNumberFormat="1" applyBorder="1"/>
    <xf numFmtId="2" fontId="0" fillId="0" borderId="6" xfId="0" applyNumberFormat="1" applyBorder="1"/>
    <xf numFmtId="2" fontId="0" fillId="0" borderId="29" xfId="0" applyNumberFormat="1" applyBorder="1"/>
    <xf numFmtId="2" fontId="0" fillId="0" borderId="1" xfId="0" applyNumberFormat="1" applyBorder="1"/>
    <xf numFmtId="2" fontId="0" fillId="0" borderId="24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0" fontId="0" fillId="0" borderId="21" xfId="0" applyBorder="1"/>
    <xf numFmtId="2" fontId="0" fillId="0" borderId="23" xfId="0" applyNumberFormat="1" applyBorder="1"/>
    <xf numFmtId="2" fontId="0" fillId="0" borderId="25" xfId="0" applyNumberFormat="1" applyBorder="1"/>
    <xf numFmtId="2" fontId="0" fillId="0" borderId="20" xfId="0" applyNumberFormat="1" applyBorder="1"/>
    <xf numFmtId="1" fontId="0" fillId="0" borderId="0" xfId="0" applyNumberFormat="1"/>
    <xf numFmtId="2" fontId="0" fillId="0" borderId="21" xfId="0" applyNumberFormat="1" applyBorder="1"/>
    <xf numFmtId="1" fontId="0" fillId="0" borderId="20" xfId="0" applyNumberFormat="1" applyBorder="1" applyAlignment="1">
      <alignment horizontal="left"/>
    </xf>
    <xf numFmtId="1" fontId="0" fillId="0" borderId="23" xfId="0" applyNumberFormat="1" applyBorder="1" applyAlignment="1">
      <alignment horizontal="left"/>
    </xf>
    <xf numFmtId="1" fontId="0" fillId="0" borderId="25" xfId="0" applyNumberFormat="1" applyBorder="1" applyAlignment="1">
      <alignment horizontal="left"/>
    </xf>
    <xf numFmtId="2" fontId="0" fillId="0" borderId="22" xfId="0" applyNumberFormat="1" applyBorder="1"/>
    <xf numFmtId="1" fontId="0" fillId="0" borderId="21" xfId="0" applyNumberFormat="1" applyBorder="1"/>
    <xf numFmtId="1" fontId="0" fillId="0" borderId="22" xfId="0" applyNumberFormat="1" applyBorder="1"/>
    <xf numFmtId="0" fontId="28" fillId="17" borderId="5" xfId="0" applyFont="1" applyFill="1" applyBorder="1" applyAlignment="1">
      <alignment horizontal="center" vertical="center"/>
    </xf>
    <xf numFmtId="0" fontId="28" fillId="16" borderId="20" xfId="0" applyFont="1" applyFill="1" applyBorder="1"/>
    <xf numFmtId="0" fontId="28" fillId="16" borderId="23" xfId="0" applyFont="1" applyFill="1" applyBorder="1"/>
    <xf numFmtId="0" fontId="28" fillId="16" borderId="25" xfId="0" applyFont="1" applyFill="1" applyBorder="1"/>
    <xf numFmtId="0" fontId="28" fillId="16" borderId="26" xfId="0" applyFont="1" applyFill="1" applyBorder="1"/>
    <xf numFmtId="0" fontId="28" fillId="16" borderId="27" xfId="0" applyFont="1" applyFill="1" applyBorder="1"/>
    <xf numFmtId="0" fontId="28" fillId="15" borderId="20" xfId="0" applyFont="1" applyFill="1" applyBorder="1"/>
    <xf numFmtId="0" fontId="28" fillId="15" borderId="23" xfId="0" applyFont="1" applyFill="1" applyBorder="1"/>
    <xf numFmtId="0" fontId="28" fillId="15" borderId="25" xfId="0" applyFont="1" applyFill="1" applyBorder="1"/>
    <xf numFmtId="0" fontId="28" fillId="15" borderId="26" xfId="0" applyFont="1" applyFill="1" applyBorder="1"/>
    <xf numFmtId="0" fontId="28" fillId="15" borderId="27" xfId="0" applyFont="1" applyFill="1" applyBorder="1"/>
    <xf numFmtId="0" fontId="28" fillId="0" borderId="0" xfId="0" applyFont="1"/>
    <xf numFmtId="164" fontId="0" fillId="0" borderId="0" xfId="3" applyFont="1"/>
    <xf numFmtId="0" fontId="0" fillId="0" borderId="24" xfId="0" applyBorder="1"/>
    <xf numFmtId="0" fontId="0" fillId="0" borderId="27" xfId="0" applyBorder="1"/>
    <xf numFmtId="1" fontId="0" fillId="0" borderId="32" xfId="0" applyNumberFormat="1" applyBorder="1" applyAlignment="1">
      <alignment horizontal="left"/>
    </xf>
    <xf numFmtId="1" fontId="0" fillId="0" borderId="45" xfId="0" applyNumberFormat="1" applyBorder="1" applyAlignment="1">
      <alignment horizontal="left"/>
    </xf>
    <xf numFmtId="1" fontId="0" fillId="0" borderId="53" xfId="0" applyNumberFormat="1" applyBorder="1" applyAlignment="1">
      <alignment horizontal="left"/>
    </xf>
    <xf numFmtId="1" fontId="0" fillId="0" borderId="51" xfId="0" applyNumberFormat="1" applyBorder="1" applyAlignment="1">
      <alignment horizontal="left"/>
    </xf>
    <xf numFmtId="0" fontId="28" fillId="17" borderId="54" xfId="0" applyFont="1" applyFill="1" applyBorder="1" applyAlignment="1">
      <alignment horizontal="center" vertical="center"/>
    </xf>
    <xf numFmtId="164" fontId="39" fillId="8" borderId="1" xfId="0" applyNumberFormat="1" applyFont="1" applyFill="1" applyBorder="1"/>
    <xf numFmtId="0" fontId="36" fillId="0" borderId="2" xfId="0" applyFont="1" applyBorder="1"/>
    <xf numFmtId="0" fontId="55" fillId="0" borderId="1" xfId="0" applyFont="1" applyBorder="1"/>
    <xf numFmtId="43" fontId="40" fillId="13" borderId="1" xfId="2" applyFont="1" applyFill="1" applyBorder="1"/>
    <xf numFmtId="0" fontId="39" fillId="9" borderId="1" xfId="0" applyFont="1" applyFill="1" applyBorder="1"/>
    <xf numFmtId="0" fontId="39" fillId="8" borderId="1" xfId="0" applyFont="1" applyFill="1" applyBorder="1"/>
    <xf numFmtId="168" fontId="39" fillId="0" borderId="0" xfId="0" applyNumberFormat="1" applyFont="1"/>
    <xf numFmtId="2" fontId="15" fillId="17" borderId="0" xfId="0" applyNumberFormat="1" applyFont="1" applyFill="1"/>
    <xf numFmtId="0" fontId="56" fillId="0" borderId="1" xfId="0" applyFont="1" applyBorder="1"/>
    <xf numFmtId="169" fontId="5" fillId="0" borderId="1" xfId="0" applyNumberFormat="1" applyFont="1" applyBorder="1" applyAlignment="1">
      <alignment horizontal="center" vertical="center"/>
    </xf>
    <xf numFmtId="164" fontId="15" fillId="18" borderId="0" xfId="0" applyNumberFormat="1" applyFont="1" applyFill="1"/>
    <xf numFmtId="9" fontId="36" fillId="0" borderId="1" xfId="0" applyNumberFormat="1" applyFont="1" applyBorder="1"/>
    <xf numFmtId="43" fontId="36" fillId="0" borderId="1" xfId="2" applyFont="1" applyFill="1" applyBorder="1"/>
    <xf numFmtId="170" fontId="29" fillId="0" borderId="0" xfId="0" applyNumberFormat="1" applyFont="1" applyAlignment="1">
      <alignment horizontal="right"/>
    </xf>
    <xf numFmtId="1" fontId="39" fillId="0" borderId="0" xfId="0" applyNumberFormat="1" applyFont="1"/>
    <xf numFmtId="0" fontId="39" fillId="4" borderId="1" xfId="0" applyFont="1" applyFill="1" applyBorder="1"/>
    <xf numFmtId="165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/>
    </xf>
    <xf numFmtId="165" fontId="0" fillId="0" borderId="0" xfId="0" applyNumberFormat="1"/>
    <xf numFmtId="164" fontId="39" fillId="4" borderId="1" xfId="0" applyNumberFormat="1" applyFont="1" applyFill="1" applyBorder="1"/>
    <xf numFmtId="164" fontId="36" fillId="0" borderId="1" xfId="0" applyNumberFormat="1" applyFont="1" applyBorder="1"/>
    <xf numFmtId="164" fontId="39" fillId="13" borderId="1" xfId="2" applyNumberFormat="1" applyFont="1" applyFill="1" applyBorder="1"/>
    <xf numFmtId="43" fontId="36" fillId="0" borderId="0" xfId="0" applyNumberFormat="1" applyFont="1"/>
    <xf numFmtId="164" fontId="36" fillId="0" borderId="0" xfId="0" applyNumberFormat="1" applyFont="1"/>
    <xf numFmtId="164" fontId="0" fillId="0" borderId="0" xfId="0" applyNumberFormat="1"/>
    <xf numFmtId="0" fontId="57" fillId="0" borderId="0" xfId="0" applyFont="1" applyAlignment="1" applyProtection="1">
      <alignment horizontal="center" vertical="center" wrapText="1"/>
      <protection locked="0"/>
    </xf>
    <xf numFmtId="0" fontId="58" fillId="0" borderId="1" xfId="0" applyFont="1" applyBorder="1"/>
    <xf numFmtId="43" fontId="58" fillId="0" borderId="1" xfId="2" applyFont="1" applyBorder="1"/>
    <xf numFmtId="43" fontId="39" fillId="0" borderId="1" xfId="0" applyNumberFormat="1" applyFont="1" applyBorder="1"/>
    <xf numFmtId="0" fontId="2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9" fillId="7" borderId="1" xfId="0" applyFont="1" applyFill="1" applyBorder="1"/>
    <xf numFmtId="164" fontId="39" fillId="7" borderId="1" xfId="0" applyNumberFormat="1" applyFont="1" applyFill="1" applyBorder="1"/>
    <xf numFmtId="0" fontId="41" fillId="0" borderId="0" xfId="0" applyFont="1"/>
    <xf numFmtId="0" fontId="59" fillId="0" borderId="0" xfId="0" applyFont="1" applyAlignment="1">
      <alignment horizontal="left" vertical="center" wrapText="1"/>
    </xf>
    <xf numFmtId="2" fontId="41" fillId="0" borderId="0" xfId="0" applyNumberFormat="1" applyFont="1" applyAlignment="1">
      <alignment wrapText="1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4" fontId="20" fillId="0" borderId="1" xfId="0" applyNumberFormat="1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1" fontId="20" fillId="0" borderId="1" xfId="0" applyNumberFormat="1" applyFont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/>
    </xf>
    <xf numFmtId="0" fontId="60" fillId="0" borderId="0" xfId="0" applyFont="1"/>
    <xf numFmtId="1" fontId="39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1" fontId="43" fillId="19" borderId="1" xfId="0" applyNumberFormat="1" applyFont="1" applyFill="1" applyBorder="1" applyAlignment="1">
      <alignment horizontal="center"/>
    </xf>
    <xf numFmtId="0" fontId="39" fillId="0" borderId="13" xfId="0" applyFont="1" applyBorder="1"/>
    <xf numFmtId="0" fontId="43" fillId="19" borderId="1" xfId="0" applyFont="1" applyFill="1" applyBorder="1" applyAlignment="1">
      <alignment horizontal="center"/>
    </xf>
    <xf numFmtId="166" fontId="0" fillId="0" borderId="0" xfId="0" applyNumberFormat="1"/>
    <xf numFmtId="171" fontId="0" fillId="0" borderId="0" xfId="0" applyNumberFormat="1"/>
    <xf numFmtId="1" fontId="28" fillId="0" borderId="0" xfId="0" applyNumberFormat="1" applyFont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0" fontId="44" fillId="0" borderId="55" xfId="0" applyFont="1" applyBorder="1" applyAlignment="1">
      <alignment horizontal="center"/>
    </xf>
    <xf numFmtId="0" fontId="44" fillId="0" borderId="56" xfId="0" applyFont="1" applyBorder="1" applyAlignment="1">
      <alignment horizontal="center"/>
    </xf>
    <xf numFmtId="1" fontId="43" fillId="0" borderId="56" xfId="0" applyNumberFormat="1" applyFont="1" applyBorder="1" applyAlignment="1">
      <alignment horizontal="center"/>
    </xf>
    <xf numFmtId="1" fontId="43" fillId="0" borderId="57" xfId="0" applyNumberFormat="1" applyFont="1" applyBorder="1" applyAlignment="1">
      <alignment horizontal="center"/>
    </xf>
    <xf numFmtId="1" fontId="39" fillId="0" borderId="2" xfId="0" applyNumberFormat="1" applyFont="1" applyBorder="1" applyAlignment="1">
      <alignment horizontal="center"/>
    </xf>
    <xf numFmtId="1" fontId="39" fillId="0" borderId="57" xfId="0" applyNumberFormat="1" applyFont="1" applyBorder="1" applyAlignment="1">
      <alignment horizontal="center"/>
    </xf>
    <xf numFmtId="0" fontId="36" fillId="0" borderId="0" xfId="0" applyFont="1" applyAlignment="1">
      <alignment wrapText="1"/>
    </xf>
    <xf numFmtId="1" fontId="43" fillId="19" borderId="2" xfId="0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 wrapText="1"/>
    </xf>
    <xf numFmtId="1" fontId="43" fillId="19" borderId="3" xfId="0" applyNumberFormat="1" applyFont="1" applyFill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0" fontId="44" fillId="0" borderId="58" xfId="0" applyFont="1" applyBorder="1" applyAlignment="1">
      <alignment wrapText="1"/>
    </xf>
    <xf numFmtId="2" fontId="43" fillId="19" borderId="3" xfId="0" applyNumberFormat="1" applyFont="1" applyFill="1" applyBorder="1" applyAlignment="1">
      <alignment horizontal="center"/>
    </xf>
    <xf numFmtId="0" fontId="44" fillId="0" borderId="1" xfId="0" applyFont="1" applyBorder="1" applyAlignment="1">
      <alignment wrapText="1"/>
    </xf>
    <xf numFmtId="0" fontId="44" fillId="0" borderId="2" xfId="0" applyFont="1" applyBorder="1" applyAlignment="1">
      <alignment wrapText="1"/>
    </xf>
    <xf numFmtId="0" fontId="4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4" fillId="0" borderId="55" xfId="0" applyFont="1" applyBorder="1" applyAlignment="1">
      <alignment horizontal="center" wrapText="1"/>
    </xf>
    <xf numFmtId="1" fontId="44" fillId="0" borderId="56" xfId="0" applyNumberFormat="1" applyFont="1" applyBorder="1" applyAlignment="1">
      <alignment horizontal="center"/>
    </xf>
    <xf numFmtId="0" fontId="44" fillId="0" borderId="3" xfId="0" applyFont="1" applyBorder="1" applyAlignment="1">
      <alignment horizontal="left" wrapText="1"/>
    </xf>
    <xf numFmtId="0" fontId="62" fillId="5" borderId="0" xfId="0" applyFont="1" applyFill="1"/>
    <xf numFmtId="0" fontId="63" fillId="0" borderId="0" xfId="0" applyFont="1"/>
    <xf numFmtId="0" fontId="0" fillId="19" borderId="0" xfId="0" applyFill="1"/>
    <xf numFmtId="0" fontId="0" fillId="20" borderId="0" xfId="0" applyFill="1"/>
    <xf numFmtId="0" fontId="0" fillId="0" borderId="0" xfId="0" applyAlignment="1">
      <alignment wrapText="1"/>
    </xf>
    <xf numFmtId="0" fontId="64" fillId="0" borderId="59" xfId="0" applyFont="1" applyBorder="1" applyAlignment="1">
      <alignment horizontal="center" vertical="center"/>
    </xf>
    <xf numFmtId="0" fontId="64" fillId="0" borderId="36" xfId="0" applyFont="1" applyBorder="1" applyAlignment="1">
      <alignment horizontal="center" vertical="center"/>
    </xf>
    <xf numFmtId="0" fontId="64" fillId="0" borderId="36" xfId="0" applyFont="1" applyBorder="1" applyAlignment="1">
      <alignment horizontal="center" vertical="center" wrapText="1"/>
    </xf>
    <xf numFmtId="0" fontId="28" fillId="0" borderId="60" xfId="9" applyFont="1" applyBorder="1" applyAlignment="1">
      <alignment horizontal="center" vertical="center"/>
    </xf>
    <xf numFmtId="0" fontId="28" fillId="0" borderId="15" xfId="9" applyFont="1" applyBorder="1" applyAlignment="1">
      <alignment horizontal="center" vertical="center" wrapText="1"/>
    </xf>
    <xf numFmtId="0" fontId="60" fillId="0" borderId="20" xfId="9" applyFont="1" applyBorder="1" applyAlignment="1">
      <alignment horizontal="center" vertical="center"/>
    </xf>
    <xf numFmtId="0" fontId="60" fillId="0" borderId="22" xfId="9" applyFont="1" applyBorder="1" applyAlignment="1">
      <alignment horizontal="center" vertical="center" wrapText="1"/>
    </xf>
    <xf numFmtId="0" fontId="64" fillId="0" borderId="61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62" xfId="0" applyFont="1" applyBorder="1" applyAlignment="1">
      <alignment horizontal="center" vertical="center"/>
    </xf>
    <xf numFmtId="0" fontId="1" fillId="0" borderId="12" xfId="9" applyBorder="1" applyAlignment="1">
      <alignment horizontal="center" vertical="center"/>
    </xf>
    <xf numFmtId="0" fontId="1" fillId="0" borderId="48" xfId="9" applyBorder="1" applyAlignment="1">
      <alignment horizontal="center" vertical="center"/>
    </xf>
    <xf numFmtId="0" fontId="66" fillId="0" borderId="24" xfId="9" applyFont="1" applyBorder="1" applyAlignment="1">
      <alignment horizontal="center"/>
    </xf>
    <xf numFmtId="0" fontId="67" fillId="19" borderId="59" xfId="0" applyFont="1" applyFill="1" applyBorder="1" applyAlignment="1">
      <alignment horizontal="center" vertical="center"/>
    </xf>
    <xf numFmtId="1" fontId="67" fillId="19" borderId="36" xfId="0" applyNumberFormat="1" applyFont="1" applyFill="1" applyBorder="1" applyAlignment="1">
      <alignment horizontal="center" vertical="center"/>
    </xf>
    <xf numFmtId="166" fontId="67" fillId="19" borderId="36" xfId="0" applyNumberFormat="1" applyFont="1" applyFill="1" applyBorder="1" applyAlignment="1">
      <alignment horizontal="center" vertical="center"/>
    </xf>
    <xf numFmtId="2" fontId="67" fillId="0" borderId="36" xfId="0" applyNumberFormat="1" applyFont="1" applyBorder="1" applyAlignment="1">
      <alignment horizontal="center" vertical="center"/>
    </xf>
    <xf numFmtId="1" fontId="67" fillId="0" borderId="62" xfId="0" applyNumberFormat="1" applyFont="1" applyBorder="1" applyAlignment="1">
      <alignment horizontal="center" vertical="center"/>
    </xf>
    <xf numFmtId="2" fontId="67" fillId="20" borderId="62" xfId="0" applyNumberFormat="1" applyFont="1" applyFill="1" applyBorder="1" applyAlignment="1">
      <alignment horizontal="center" vertical="center"/>
    </xf>
    <xf numFmtId="0" fontId="67" fillId="19" borderId="61" xfId="0" applyFont="1" applyFill="1" applyBorder="1" applyAlignment="1">
      <alignment horizontal="center" vertical="center"/>
    </xf>
    <xf numFmtId="1" fontId="67" fillId="0" borderId="36" xfId="0" applyNumberFormat="1" applyFont="1" applyBorder="1" applyAlignment="1">
      <alignment horizontal="center" vertical="center"/>
    </xf>
    <xf numFmtId="0" fontId="64" fillId="0" borderId="61" xfId="0" applyFont="1" applyBorder="1" applyAlignment="1">
      <alignment horizontal="left" vertical="center"/>
    </xf>
    <xf numFmtId="0" fontId="64" fillId="0" borderId="62" xfId="0" applyFont="1" applyBorder="1" applyAlignment="1">
      <alignment horizontal="left" vertical="center"/>
    </xf>
    <xf numFmtId="1" fontId="64" fillId="0" borderId="62" xfId="0" applyNumberFormat="1" applyFont="1" applyBorder="1" applyAlignment="1">
      <alignment horizontal="center" vertical="center"/>
    </xf>
    <xf numFmtId="0" fontId="66" fillId="0" borderId="27" xfId="9" applyFont="1" applyBorder="1" applyAlignment="1">
      <alignment horizontal="center"/>
    </xf>
    <xf numFmtId="0" fontId="1" fillId="0" borderId="64" xfId="9" applyBorder="1" applyAlignment="1">
      <alignment horizontal="center" vertical="center"/>
    </xf>
    <xf numFmtId="0" fontId="1" fillId="0" borderId="65" xfId="9" applyBorder="1" applyAlignment="1">
      <alignment horizontal="center" vertical="center"/>
    </xf>
    <xf numFmtId="0" fontId="1" fillId="0" borderId="0" xfId="9"/>
    <xf numFmtId="0" fontId="28" fillId="0" borderId="0" xfId="9" applyFont="1"/>
    <xf numFmtId="0" fontId="1" fillId="0" borderId="0" xfId="9" applyAlignment="1">
      <alignment horizontal="center"/>
    </xf>
    <xf numFmtId="0" fontId="20" fillId="0" borderId="1" xfId="0" applyFont="1" applyBorder="1" applyAlignment="1" applyProtection="1">
      <alignment horizontal="center"/>
      <protection locked="0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 wrapText="1"/>
    </xf>
    <xf numFmtId="0" fontId="28" fillId="12" borderId="1" xfId="0" applyFont="1" applyFill="1" applyBorder="1" applyAlignment="1">
      <alignment horizontal="center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wrapText="1"/>
      <protection locked="0"/>
    </xf>
    <xf numFmtId="0" fontId="39" fillId="5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left"/>
    </xf>
    <xf numFmtId="0" fontId="19" fillId="5" borderId="2" xfId="0" applyFont="1" applyFill="1" applyBorder="1" applyAlignment="1" applyProtection="1">
      <alignment horizontal="left" vertical="center"/>
      <protection locked="0"/>
    </xf>
    <xf numFmtId="0" fontId="19" fillId="5" borderId="3" xfId="0" applyFont="1" applyFill="1" applyBorder="1" applyAlignment="1" applyProtection="1">
      <alignment horizontal="left" vertical="center"/>
      <protection locked="0"/>
    </xf>
    <xf numFmtId="0" fontId="19" fillId="5" borderId="4" xfId="0" applyFont="1" applyFill="1" applyBorder="1" applyAlignment="1" applyProtection="1">
      <alignment horizontal="left" vertical="center"/>
      <protection locked="0"/>
    </xf>
    <xf numFmtId="0" fontId="44" fillId="5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30" fillId="5" borderId="1" xfId="0" applyFont="1" applyFill="1" applyBorder="1" applyAlignment="1">
      <alignment horizontal="left" vertical="center" wrapText="1"/>
    </xf>
    <xf numFmtId="166" fontId="29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0" fontId="20" fillId="0" borderId="3" xfId="1" applyFont="1" applyBorder="1" applyAlignment="1">
      <alignment horizontal="left" vertical="center"/>
    </xf>
    <xf numFmtId="0" fontId="20" fillId="0" borderId="4" xfId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9" fillId="0" borderId="7" xfId="0" applyFont="1" applyBorder="1" applyAlignment="1" applyProtection="1">
      <alignment horizontal="left"/>
      <protection locked="0"/>
    </xf>
    <xf numFmtId="0" fontId="20" fillId="0" borderId="1" xfId="0" applyFont="1" applyBorder="1" applyAlignment="1">
      <alignment horizontal="left"/>
    </xf>
    <xf numFmtId="0" fontId="20" fillId="6" borderId="2" xfId="0" applyFont="1" applyFill="1" applyBorder="1" applyAlignment="1" applyProtection="1">
      <alignment horizontal="left"/>
      <protection locked="0"/>
    </xf>
    <xf numFmtId="0" fontId="20" fillId="6" borderId="4" xfId="0" applyFont="1" applyFill="1" applyBorder="1" applyAlignment="1" applyProtection="1">
      <alignment horizontal="left"/>
      <protection locked="0"/>
    </xf>
    <xf numFmtId="0" fontId="20" fillId="6" borderId="2" xfId="0" applyFont="1" applyFill="1" applyBorder="1" applyAlignment="1">
      <alignment horizontal="left"/>
    </xf>
    <xf numFmtId="0" fontId="20" fillId="6" borderId="4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9" fillId="5" borderId="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0" fillId="0" borderId="18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165" fontId="8" fillId="5" borderId="5" xfId="0" applyNumberFormat="1" applyFont="1" applyFill="1" applyBorder="1" applyAlignment="1">
      <alignment horizontal="center" vertical="center"/>
    </xf>
    <xf numFmtId="165" fontId="8" fillId="5" borderId="6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47" fillId="0" borderId="2" xfId="0" applyFont="1" applyBorder="1" applyAlignment="1">
      <alignment horizontal="right"/>
    </xf>
    <xf numFmtId="0" fontId="47" fillId="0" borderId="3" xfId="0" applyFont="1" applyBorder="1" applyAlignment="1">
      <alignment horizontal="right"/>
    </xf>
    <xf numFmtId="0" fontId="47" fillId="0" borderId="4" xfId="0" applyFont="1" applyBorder="1" applyAlignment="1">
      <alignment horizontal="right"/>
    </xf>
    <xf numFmtId="0" fontId="39" fillId="0" borderId="1" xfId="0" applyFont="1" applyBorder="1" applyAlignment="1">
      <alignment horizontal="left"/>
    </xf>
    <xf numFmtId="0" fontId="40" fillId="5" borderId="1" xfId="0" applyFont="1" applyFill="1" applyBorder="1" applyAlignment="1">
      <alignment horizontal="left"/>
    </xf>
    <xf numFmtId="0" fontId="45" fillId="0" borderId="1" xfId="0" applyFont="1" applyBorder="1" applyAlignment="1">
      <alignment horizontal="right"/>
    </xf>
    <xf numFmtId="167" fontId="41" fillId="0" borderId="2" xfId="0" applyNumberFormat="1" applyFont="1" applyBorder="1" applyAlignment="1">
      <alignment horizontal="center"/>
    </xf>
    <xf numFmtId="167" fontId="41" fillId="0" borderId="3" xfId="0" applyNumberFormat="1" applyFont="1" applyBorder="1" applyAlignment="1">
      <alignment horizontal="center"/>
    </xf>
    <xf numFmtId="167" fontId="41" fillId="0" borderId="4" xfId="0" applyNumberFormat="1" applyFont="1" applyBorder="1" applyAlignment="1">
      <alignment horizontal="center"/>
    </xf>
    <xf numFmtId="0" fontId="46" fillId="0" borderId="5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0" fillId="0" borderId="2" xfId="0" applyFont="1" applyBorder="1" applyAlignment="1">
      <alignment horizontal="left"/>
    </xf>
    <xf numFmtId="0" fontId="40" fillId="0" borderId="3" xfId="0" applyFont="1" applyBorder="1" applyAlignment="1">
      <alignment horizontal="left"/>
    </xf>
    <xf numFmtId="0" fontId="40" fillId="0" borderId="4" xfId="0" applyFont="1" applyBorder="1" applyAlignment="1">
      <alignment horizontal="left"/>
    </xf>
    <xf numFmtId="0" fontId="42" fillId="0" borderId="5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0" fillId="5" borderId="2" xfId="0" applyFont="1" applyFill="1" applyBorder="1" applyAlignment="1">
      <alignment horizontal="left"/>
    </xf>
    <xf numFmtId="0" fontId="40" fillId="5" borderId="3" xfId="0" applyFont="1" applyFill="1" applyBorder="1" applyAlignment="1">
      <alignment horizontal="left"/>
    </xf>
    <xf numFmtId="0" fontId="40" fillId="5" borderId="4" xfId="0" applyFont="1" applyFill="1" applyBorder="1" applyAlignment="1">
      <alignment horizontal="left"/>
    </xf>
    <xf numFmtId="0" fontId="41" fillId="0" borderId="1" xfId="0" applyFont="1" applyBorder="1" applyAlignment="1">
      <alignment horizontal="center"/>
    </xf>
    <xf numFmtId="0" fontId="42" fillId="0" borderId="13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34" fillId="0" borderId="2" xfId="0" applyFont="1" applyBorder="1" applyAlignment="1">
      <alignment horizontal="right" indent="1"/>
    </xf>
    <xf numFmtId="0" fontId="34" fillId="0" borderId="3" xfId="0" applyFont="1" applyBorder="1" applyAlignment="1">
      <alignment horizontal="right" indent="1"/>
    </xf>
    <xf numFmtId="0" fontId="34" fillId="0" borderId="4" xfId="0" applyFont="1" applyBorder="1" applyAlignment="1">
      <alignment horizontal="right" indent="1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34" fillId="0" borderId="2" xfId="0" applyFont="1" applyBorder="1" applyAlignment="1">
      <alignment horizontal="right"/>
    </xf>
    <xf numFmtId="0" fontId="34" fillId="0" borderId="3" xfId="0" applyFont="1" applyBorder="1" applyAlignment="1">
      <alignment horizontal="right"/>
    </xf>
    <xf numFmtId="0" fontId="34" fillId="0" borderId="4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36" fillId="0" borderId="1" xfId="0" applyFont="1" applyBorder="1" applyAlignment="1">
      <alignment horizontal="center"/>
    </xf>
    <xf numFmtId="0" fontId="6" fillId="5" borderId="17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9" fillId="10" borderId="2" xfId="0" applyFont="1" applyFill="1" applyBorder="1" applyAlignment="1">
      <alignment horizontal="left"/>
    </xf>
    <xf numFmtId="0" fontId="29" fillId="10" borderId="3" xfId="0" applyFont="1" applyFill="1" applyBorder="1" applyAlignment="1">
      <alignment horizontal="left"/>
    </xf>
    <xf numFmtId="0" fontId="29" fillId="10" borderId="4" xfId="0" applyFont="1" applyFill="1" applyBorder="1" applyAlignment="1">
      <alignment horizontal="left"/>
    </xf>
    <xf numFmtId="0" fontId="29" fillId="0" borderId="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36" fillId="0" borderId="1" xfId="0" applyFont="1" applyBorder="1" applyAlignment="1">
      <alignment horizontal="right" vertical="center"/>
    </xf>
    <xf numFmtId="0" fontId="20" fillId="9" borderId="1" xfId="0" applyFont="1" applyFill="1" applyBorder="1" applyAlignment="1" applyProtection="1">
      <alignment horizontal="left"/>
      <protection locked="0"/>
    </xf>
    <xf numFmtId="0" fontId="29" fillId="2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left"/>
    </xf>
    <xf numFmtId="0" fontId="19" fillId="5" borderId="1" xfId="0" applyFont="1" applyFill="1" applyBorder="1" applyAlignment="1" applyProtection="1">
      <alignment horizontal="left"/>
      <protection locked="0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36" fillId="18" borderId="1" xfId="0" applyFont="1" applyFill="1" applyBorder="1" applyAlignment="1">
      <alignment horizontal="center"/>
    </xf>
    <xf numFmtId="0" fontId="39" fillId="12" borderId="1" xfId="0" applyFont="1" applyFill="1" applyBorder="1" applyAlignment="1">
      <alignment horizontal="center"/>
    </xf>
    <xf numFmtId="0" fontId="66" fillId="0" borderId="63" xfId="9" applyFont="1" applyBorder="1" applyAlignment="1">
      <alignment horizontal="center" vertical="center"/>
    </xf>
    <xf numFmtId="0" fontId="66" fillId="0" borderId="37" xfId="9" applyFont="1" applyBorder="1" applyAlignment="1">
      <alignment horizontal="center" vertical="center"/>
    </xf>
    <xf numFmtId="0" fontId="66" fillId="0" borderId="28" xfId="9" applyFont="1" applyBorder="1" applyAlignment="1">
      <alignment horizontal="center" vertical="center"/>
    </xf>
    <xf numFmtId="0" fontId="66" fillId="0" borderId="23" xfId="9" applyFont="1" applyBorder="1" applyAlignment="1">
      <alignment horizontal="center" vertical="center"/>
    </xf>
    <xf numFmtId="0" fontId="66" fillId="0" borderId="25" xfId="9" applyFont="1" applyBorder="1" applyAlignment="1">
      <alignment horizontal="center" vertical="center"/>
    </xf>
    <xf numFmtId="0" fontId="28" fillId="17" borderId="21" xfId="0" applyFont="1" applyFill="1" applyBorder="1" applyAlignment="1">
      <alignment horizontal="center" vertical="center" textRotation="90" wrapText="1"/>
    </xf>
    <xf numFmtId="0" fontId="28" fillId="17" borderId="1" xfId="0" applyFont="1" applyFill="1" applyBorder="1" applyAlignment="1">
      <alignment horizontal="center" vertical="center" textRotation="90" wrapText="1"/>
    </xf>
    <xf numFmtId="0" fontId="28" fillId="17" borderId="52" xfId="0" applyFont="1" applyFill="1" applyBorder="1" applyAlignment="1">
      <alignment horizontal="center" vertical="center" textRotation="90"/>
    </xf>
    <xf numFmtId="0" fontId="28" fillId="17" borderId="13" xfId="0" applyFont="1" applyFill="1" applyBorder="1" applyAlignment="1">
      <alignment horizontal="center" vertical="center" textRotation="90"/>
    </xf>
    <xf numFmtId="0" fontId="28" fillId="17" borderId="6" xfId="0" applyFont="1" applyFill="1" applyBorder="1" applyAlignment="1">
      <alignment horizontal="center" vertical="center" textRotation="90"/>
    </xf>
    <xf numFmtId="0" fontId="28" fillId="17" borderId="15" xfId="0" applyFont="1" applyFill="1" applyBorder="1" applyAlignment="1">
      <alignment horizontal="center" vertical="center" textRotation="90"/>
    </xf>
    <xf numFmtId="0" fontId="28" fillId="17" borderId="48" xfId="0" applyFont="1" applyFill="1" applyBorder="1" applyAlignment="1">
      <alignment horizontal="center" vertical="center" textRotation="90"/>
    </xf>
    <xf numFmtId="0" fontId="28" fillId="17" borderId="29" xfId="0" applyFont="1" applyFill="1" applyBorder="1" applyAlignment="1">
      <alignment horizontal="center" vertical="center" textRotation="90"/>
    </xf>
    <xf numFmtId="0" fontId="28" fillId="17" borderId="44" xfId="0" applyFont="1" applyFill="1" applyBorder="1" applyAlignment="1">
      <alignment horizontal="center" vertical="center" textRotation="90"/>
    </xf>
    <xf numFmtId="0" fontId="28" fillId="17" borderId="37" xfId="0" applyFont="1" applyFill="1" applyBorder="1" applyAlignment="1">
      <alignment horizontal="center" vertical="center" textRotation="90"/>
    </xf>
    <xf numFmtId="0" fontId="28" fillId="17" borderId="38" xfId="0" applyFont="1" applyFill="1" applyBorder="1" applyAlignment="1">
      <alignment horizontal="center" vertical="center" textRotation="90"/>
    </xf>
    <xf numFmtId="0" fontId="28" fillId="17" borderId="21" xfId="0" applyFont="1" applyFill="1" applyBorder="1" applyAlignment="1">
      <alignment horizontal="center" vertical="center" textRotation="90"/>
    </xf>
    <xf numFmtId="0" fontId="28" fillId="17" borderId="1" xfId="0" applyFont="1" applyFill="1" applyBorder="1" applyAlignment="1">
      <alignment horizontal="center" vertical="center" textRotation="90"/>
    </xf>
    <xf numFmtId="0" fontId="28" fillId="0" borderId="0" xfId="0" applyFont="1" applyAlignment="1">
      <alignment horizontal="left"/>
    </xf>
    <xf numFmtId="0" fontId="53" fillId="4" borderId="32" xfId="0" applyFont="1" applyFill="1" applyBorder="1" applyAlignment="1">
      <alignment horizontal="left"/>
    </xf>
    <xf numFmtId="0" fontId="53" fillId="4" borderId="33" xfId="0" applyFont="1" applyFill="1" applyBorder="1" applyAlignment="1">
      <alignment horizontal="left"/>
    </xf>
    <xf numFmtId="0" fontId="53" fillId="4" borderId="50" xfId="0" applyFont="1" applyFill="1" applyBorder="1" applyAlignment="1">
      <alignment horizontal="left"/>
    </xf>
    <xf numFmtId="2" fontId="0" fillId="0" borderId="40" xfId="0" applyNumberFormat="1" applyBorder="1" applyAlignment="1">
      <alignment horizontal="left"/>
    </xf>
    <xf numFmtId="2" fontId="0" fillId="0" borderId="41" xfId="0" applyNumberFormat="1" applyBorder="1" applyAlignment="1">
      <alignment horizontal="left"/>
    </xf>
    <xf numFmtId="2" fontId="0" fillId="0" borderId="42" xfId="0" applyNumberFormat="1" applyBorder="1" applyAlignment="1">
      <alignment horizontal="left"/>
    </xf>
    <xf numFmtId="2" fontId="0" fillId="0" borderId="43" xfId="0" applyNumberFormat="1" applyBorder="1" applyAlignment="1">
      <alignment horizontal="left"/>
    </xf>
    <xf numFmtId="0" fontId="28" fillId="17" borderId="21" xfId="0" applyFont="1" applyFill="1" applyBorder="1" applyAlignment="1">
      <alignment horizontal="center" textRotation="90"/>
    </xf>
    <xf numFmtId="0" fontId="28" fillId="17" borderId="1" xfId="0" applyFont="1" applyFill="1" applyBorder="1" applyAlignment="1">
      <alignment horizontal="center" textRotation="90"/>
    </xf>
    <xf numFmtId="0" fontId="0" fillId="0" borderId="34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18" borderId="34" xfId="0" applyFill="1" applyBorder="1" applyAlignment="1">
      <alignment horizontal="left"/>
    </xf>
    <xf numFmtId="0" fontId="0" fillId="18" borderId="35" xfId="0" applyFill="1" applyBorder="1" applyAlignment="1">
      <alignment horizontal="left"/>
    </xf>
    <xf numFmtId="0" fontId="0" fillId="18" borderId="36" xfId="0" applyFill="1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9" xfId="0" applyBorder="1" applyAlignment="1">
      <alignment horizontal="left"/>
    </xf>
    <xf numFmtId="0" fontId="28" fillId="17" borderId="34" xfId="0" applyFont="1" applyFill="1" applyBorder="1" applyAlignment="1">
      <alignment horizontal="center"/>
    </xf>
    <xf numFmtId="0" fontId="28" fillId="17" borderId="35" xfId="0" applyFont="1" applyFill="1" applyBorder="1" applyAlignment="1">
      <alignment horizontal="center"/>
    </xf>
    <xf numFmtId="0" fontId="28" fillId="17" borderId="36" xfId="0" applyFont="1" applyFill="1" applyBorder="1" applyAlignment="1">
      <alignment horizontal="center"/>
    </xf>
    <xf numFmtId="0" fontId="28" fillId="16" borderId="46" xfId="0" applyFont="1" applyFill="1" applyBorder="1" applyAlignment="1">
      <alignment horizontal="center" wrapText="1"/>
    </xf>
    <xf numFmtId="0" fontId="28" fillId="16" borderId="30" xfId="0" applyFont="1" applyFill="1" applyBorder="1" applyAlignment="1">
      <alignment horizontal="center" wrapText="1"/>
    </xf>
    <xf numFmtId="0" fontId="28" fillId="16" borderId="31" xfId="0" applyFont="1" applyFill="1" applyBorder="1" applyAlignment="1">
      <alignment horizontal="center" wrapText="1"/>
    </xf>
    <xf numFmtId="0" fontId="28" fillId="16" borderId="17" xfId="0" applyFont="1" applyFill="1" applyBorder="1" applyAlignment="1">
      <alignment horizontal="center" wrapText="1"/>
    </xf>
    <xf numFmtId="0" fontId="28" fillId="16" borderId="7" xfId="0" applyFont="1" applyFill="1" applyBorder="1" applyAlignment="1">
      <alignment horizontal="center" wrapText="1"/>
    </xf>
    <xf numFmtId="0" fontId="28" fillId="16" borderId="47" xfId="0" applyFont="1" applyFill="1" applyBorder="1" applyAlignment="1">
      <alignment horizontal="center" wrapText="1"/>
    </xf>
    <xf numFmtId="0" fontId="28" fillId="15" borderId="46" xfId="0" applyFont="1" applyFill="1" applyBorder="1" applyAlignment="1">
      <alignment horizontal="center" wrapText="1"/>
    </xf>
    <xf numFmtId="0" fontId="28" fillId="15" borderId="30" xfId="0" applyFont="1" applyFill="1" applyBorder="1" applyAlignment="1">
      <alignment horizontal="center" wrapText="1"/>
    </xf>
    <xf numFmtId="0" fontId="28" fillId="15" borderId="31" xfId="0" applyFont="1" applyFill="1" applyBorder="1" applyAlignment="1">
      <alignment horizontal="center" wrapText="1"/>
    </xf>
    <xf numFmtId="0" fontId="28" fillId="15" borderId="17" xfId="0" applyFont="1" applyFill="1" applyBorder="1" applyAlignment="1">
      <alignment horizontal="center" wrapText="1"/>
    </xf>
    <xf numFmtId="0" fontId="28" fillId="15" borderId="7" xfId="0" applyFont="1" applyFill="1" applyBorder="1" applyAlignment="1">
      <alignment horizontal="center" wrapText="1"/>
    </xf>
    <xf numFmtId="0" fontId="28" fillId="15" borderId="47" xfId="0" applyFont="1" applyFill="1" applyBorder="1" applyAlignment="1">
      <alignment horizontal="center" wrapText="1"/>
    </xf>
    <xf numFmtId="0" fontId="28" fillId="9" borderId="34" xfId="0" applyFont="1" applyFill="1" applyBorder="1" applyAlignment="1">
      <alignment horizontal="left"/>
    </xf>
    <xf numFmtId="0" fontId="28" fillId="9" borderId="35" xfId="0" applyFont="1" applyFill="1" applyBorder="1" applyAlignment="1">
      <alignment horizontal="left"/>
    </xf>
    <xf numFmtId="0" fontId="28" fillId="9" borderId="36" xfId="0" applyFont="1" applyFill="1" applyBorder="1" applyAlignment="1">
      <alignment horizontal="left"/>
    </xf>
    <xf numFmtId="0" fontId="28" fillId="14" borderId="34" xfId="0" applyFont="1" applyFill="1" applyBorder="1" applyAlignment="1">
      <alignment horizontal="left"/>
    </xf>
    <xf numFmtId="0" fontId="28" fillId="14" borderId="35" xfId="0" applyFont="1" applyFill="1" applyBorder="1" applyAlignment="1">
      <alignment horizontal="left"/>
    </xf>
    <xf numFmtId="0" fontId="28" fillId="14" borderId="36" xfId="0" applyFont="1" applyFill="1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8" fillId="0" borderId="34" xfId="0" applyFont="1" applyBorder="1" applyAlignment="1">
      <alignment horizontal="center"/>
    </xf>
    <xf numFmtId="0" fontId="28" fillId="0" borderId="36" xfId="0" applyFont="1" applyBorder="1" applyAlignment="1">
      <alignment horizontal="center"/>
    </xf>
    <xf numFmtId="0" fontId="28" fillId="0" borderId="34" xfId="0" applyFont="1" applyBorder="1" applyAlignment="1">
      <alignment horizontal="left"/>
    </xf>
    <xf numFmtId="0" fontId="28" fillId="0" borderId="36" xfId="0" applyFont="1" applyBorder="1" applyAlignment="1">
      <alignment horizontal="left"/>
    </xf>
    <xf numFmtId="0" fontId="28" fillId="17" borderId="52" xfId="0" applyFont="1" applyFill="1" applyBorder="1" applyAlignment="1">
      <alignment horizontal="center" textRotation="90"/>
    </xf>
    <xf numFmtId="0" fontId="28" fillId="17" borderId="13" xfId="0" applyFont="1" applyFill="1" applyBorder="1" applyAlignment="1">
      <alignment horizontal="center" textRotation="90"/>
    </xf>
    <xf numFmtId="0" fontId="28" fillId="17" borderId="6" xfId="0" applyFont="1" applyFill="1" applyBorder="1" applyAlignment="1">
      <alignment horizontal="center" textRotation="90"/>
    </xf>
    <xf numFmtId="0" fontId="36" fillId="0" borderId="0" xfId="0" applyFont="1" applyAlignment="1">
      <alignment horizontal="left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center" vertical="center" wrapText="1"/>
    </xf>
    <xf numFmtId="0" fontId="39" fillId="13" borderId="1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</cellXfs>
  <cellStyles count="10">
    <cellStyle name="Čiarka" xfId="2" builtinId="3"/>
    <cellStyle name="Čiarka 2" xfId="3" xr:uid="{00000000-0005-0000-0000-000001000000}"/>
    <cellStyle name="Hypertextové prepojenie 2" xfId="8" xr:uid="{00000000-0005-0000-0000-000002000000}"/>
    <cellStyle name="Normal 2" xfId="4" xr:uid="{00000000-0005-0000-0000-000003000000}"/>
    <cellStyle name="Normal 3" xfId="5" xr:uid="{00000000-0005-0000-0000-000004000000}"/>
    <cellStyle name="Normálna" xfId="0" builtinId="0"/>
    <cellStyle name="Normálna 2" xfId="7" xr:uid="{00000000-0005-0000-0000-000006000000}"/>
    <cellStyle name="Normálna 3" xfId="9" xr:uid="{0CEFD8CE-458C-44FE-862C-623A87C86CA3}"/>
    <cellStyle name="normálne_Hárok1" xfId="6" xr:uid="{00000000-0005-0000-0000-000007000000}"/>
    <cellStyle name="normální_Plochy, ČSOB, Dlouhá 136, Zlín" xfId="1" xr:uid="{00000000-0005-0000-0000-000008000000}"/>
  </cellStyles>
  <dxfs count="0"/>
  <tableStyles count="0" defaultTableStyle="TableStyleMedium2" defaultPivotStyle="PivotStyleLight16"/>
  <colors>
    <mruColors>
      <color rgb="FF7ADB57"/>
      <color rgb="FF33CC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02.PP/EC/EC%20Dokumenty/vzor_11.1.2014_mesacna%20metod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%20zaloha\OTO%202020\Vypocty\PROGRAM%202020%20-%20Vypocty%20BUDOVA%20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dentifikacia"/>
      <sheetName val="Geometria"/>
      <sheetName val="U"/>
      <sheetName val="Qh"/>
      <sheetName val="Qvyk"/>
      <sheetName val="Qtv"/>
      <sheetName val="Zdroj"/>
      <sheetName val="Bilancia"/>
      <sheetName val="TOB"/>
      <sheetName val="VYK"/>
      <sheetName val="TV"/>
      <sheetName val="Rekapitulácia"/>
      <sheetName val="Energia"/>
      <sheetName val="EPI, CO2"/>
      <sheetName val="Literatura"/>
      <sheetName val="zoznamy"/>
      <sheetName val="Intenz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B2" t="str">
            <v>jednorúrkový</v>
          </cell>
        </row>
        <row r="3">
          <cell r="A3" t="str">
            <v>Obvodová stena 1:</v>
          </cell>
          <cell r="C3" t="str">
            <v>Odpor pri prestupe tepla na vnútornom povrchu (vodorovne)</v>
          </cell>
          <cell r="F3" t="str">
            <v>Debnenie, vnútorné</v>
          </cell>
          <cell r="AB3" t="str">
            <v>dvojrúrkový</v>
          </cell>
        </row>
        <row r="4">
          <cell r="A4" t="str">
            <v>Obvodová stena 2:</v>
          </cell>
          <cell r="C4" t="str">
            <v>Odpor pri prestupe tepla na vnútornom povrchu (hore)</v>
          </cell>
          <cell r="F4" t="str">
            <v>Dlažba, keramická</v>
          </cell>
        </row>
        <row r="5">
          <cell r="A5" t="str">
            <v>Strecha 1:</v>
          </cell>
          <cell r="C5" t="str">
            <v>Odpor pri prestupe tepla na vnútornom povrchu (dolu)</v>
          </cell>
          <cell r="F5" t="str">
            <v>Doska, oceľobetónová</v>
          </cell>
        </row>
        <row r="6">
          <cell r="A6" t="str">
            <v>Strecha 2:</v>
          </cell>
          <cell r="C6" t="str">
            <v>Odpor pri prestupe tepla na vonkajšom povrchu</v>
          </cell>
          <cell r="F6" t="str">
            <v>Doska, drevená, mäkká (kolmo na vlákna)</v>
          </cell>
        </row>
        <row r="7">
          <cell r="A7" t="str">
            <v>Strop do podstrešného priestoru:</v>
          </cell>
          <cell r="F7" t="str">
            <v>Doska, drevovláknitá Hofatex</v>
          </cell>
        </row>
        <row r="8">
          <cell r="A8" t="str">
            <v>Podlaha nad nevykurovaným suterénom 1:</v>
          </cell>
          <cell r="F8" t="str">
            <v>Doska, drevotriesková</v>
          </cell>
        </row>
        <row r="9">
          <cell r="A9" t="str">
            <v>Podlaha nad nevykurovaným suterénom 2:</v>
          </cell>
          <cell r="F9" t="str">
            <v>Doska, laminátová</v>
          </cell>
        </row>
        <row r="10">
          <cell r="A10" t="str">
            <v>Podlaha na teréne podľa STN EN ISO 13370:</v>
          </cell>
          <cell r="F10" t="str">
            <v>Doska, plynosilikátová</v>
          </cell>
        </row>
        <row r="11">
          <cell r="F11" t="str">
            <v>Fólia, polyetylénová</v>
          </cell>
        </row>
        <row r="12">
          <cell r="F12" t="str">
            <v>Hydroizolácia</v>
          </cell>
        </row>
        <row r="13">
          <cell r="F13" t="str">
            <v>Izolácia, tepelná</v>
          </cell>
        </row>
        <row r="14">
          <cell r="F14" t="str">
            <v>Izolácia, tepelná, polystyrén EPS</v>
          </cell>
        </row>
        <row r="15">
          <cell r="F15" t="str">
            <v xml:space="preserve">Izolácia, tepelná kročajová tvrdená </v>
          </cell>
        </row>
        <row r="16">
          <cell r="F16" t="str">
            <v xml:space="preserve">Izolácia, tepelná tvrdená </v>
          </cell>
        </row>
        <row r="17">
          <cell r="F17" t="str">
            <v>Izolácia, tepelná, kamenná vlna</v>
          </cell>
        </row>
        <row r="18">
          <cell r="F18" t="str">
            <v>Izolácia, tepelná, minerálna vlna</v>
          </cell>
        </row>
        <row r="19">
          <cell r="F19" t="str">
            <v>Izolácia, tepelná, polyuretán, tuhý</v>
          </cell>
        </row>
        <row r="20">
          <cell r="F20" t="str">
            <v>Malta, lepiaca</v>
          </cell>
        </row>
        <row r="21">
          <cell r="F21" t="str">
            <v>Medzera, vzduchová odvetraná</v>
          </cell>
        </row>
        <row r="22">
          <cell r="F22" t="str">
            <v>Murivo, tehlové Porotherm Profi</v>
          </cell>
        </row>
        <row r="23">
          <cell r="F23" t="str">
            <v>Násyp, struskový</v>
          </cell>
        </row>
        <row r="24">
          <cell r="F24" t="str">
            <v>Obklad, drevený</v>
          </cell>
        </row>
        <row r="25">
          <cell r="F25" t="str">
            <v>Omietka, akrylátová</v>
          </cell>
        </row>
        <row r="26">
          <cell r="F26" t="str">
            <v>Omietka, silikátová</v>
          </cell>
        </row>
        <row r="27">
          <cell r="F27" t="str">
            <v>Omietka, vápenná</v>
          </cell>
        </row>
        <row r="28">
          <cell r="F28" t="str">
            <v>Omietka, vnútorná</v>
          </cell>
        </row>
        <row r="29">
          <cell r="F29" t="str">
            <v>Panel, obvodový, plynosilikátový</v>
          </cell>
        </row>
        <row r="30">
          <cell r="F30" t="str">
            <v>Panel, stropný, železobetónový</v>
          </cell>
        </row>
        <row r="31">
          <cell r="F31" t="str">
            <v>Parkety, drevené</v>
          </cell>
        </row>
        <row r="32">
          <cell r="F32" t="str">
            <v>Pena, podkladová</v>
          </cell>
        </row>
        <row r="33">
          <cell r="F33" t="str">
            <v>Poter, betónový</v>
          </cell>
        </row>
        <row r="34">
          <cell r="F34" t="str">
            <v>Rošt, drevený (mäkké drevo, tok rovnobežne s vláknami)</v>
          </cell>
        </row>
        <row r="35">
          <cell r="F35" t="str">
            <v>Sadrokartón</v>
          </cell>
        </row>
        <row r="36">
          <cell r="F36" t="str">
            <v>Štrk</v>
          </cell>
        </row>
        <row r="37">
          <cell r="F37" t="str">
            <v>Tvárnice, obvodové Ytong P-500</v>
          </cell>
        </row>
        <row r="38">
          <cell r="F38" t="str">
            <v>Vzduchová medzera 30mm (vodorovne)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áčrty"/>
      <sheetName val="1_základné udaje"/>
      <sheetName val="emisie"/>
      <sheetName val="2_okna"/>
      <sheetName val="Okná_výpočet"/>
      <sheetName val="Jednoduché okná staré"/>
      <sheetName val="Zdvojené okná staré"/>
      <sheetName val="Dvojité okná staré"/>
      <sheetName val="3_konstrukcie"/>
      <sheetName val="4_tepelny zisk "/>
      <sheetName val="5_osvetlenie"/>
      <sheetName val="6_oze+TV"/>
      <sheetName val="7_hodnotenie opatr."/>
      <sheetName val="Okná_Stavex-plast"/>
      <sheetName val="U_STN 6946_súčastnosť"/>
      <sheetName val="8_kontrola_kotlov"/>
      <sheetName val="Výstup do EA"/>
      <sheetName val="9_tepelna strata"/>
      <sheetName val="10_ekonomika"/>
      <sheetName val="11_otimalizacia"/>
      <sheetName val="Sumarizačný riadok"/>
      <sheetName val="cis_dennost."/>
      <sheetName val="cis_stav.konstrukcie"/>
      <sheetName val="Altern.+ekon."/>
      <sheetName val="Výstupné úd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33">
          <cell r="C133">
            <v>10756.100175000005</v>
          </cell>
        </row>
      </sheetData>
      <sheetData sheetId="18"/>
      <sheetData sheetId="19"/>
      <sheetData sheetId="20"/>
      <sheetData sheetId="21">
        <row r="1">
          <cell r="G1">
            <v>2001</v>
          </cell>
          <cell r="I1">
            <v>2002</v>
          </cell>
          <cell r="K1">
            <v>2003</v>
          </cell>
          <cell r="M1">
            <v>2004</v>
          </cell>
          <cell r="O1">
            <v>2005</v>
          </cell>
          <cell r="Q1">
            <v>2006</v>
          </cell>
          <cell r="S1">
            <v>2007</v>
          </cell>
          <cell r="U1">
            <v>2008</v>
          </cell>
          <cell r="W1">
            <v>2009</v>
          </cell>
          <cell r="Y1">
            <v>2010</v>
          </cell>
          <cell r="AA1">
            <v>2011</v>
          </cell>
          <cell r="AC1">
            <v>2012</v>
          </cell>
          <cell r="AE1">
            <v>2013</v>
          </cell>
          <cell r="AG1">
            <v>2014</v>
          </cell>
          <cell r="AI1">
            <v>2015</v>
          </cell>
          <cell r="AK1">
            <v>2016</v>
          </cell>
        </row>
        <row r="3">
          <cell r="B3" t="str">
            <v>Bánovce nad Bebravou</v>
          </cell>
          <cell r="C3" t="str">
            <v>BN</v>
          </cell>
          <cell r="D3" t="str">
            <v>Trenčín</v>
          </cell>
          <cell r="E3">
            <v>-12</v>
          </cell>
          <cell r="F3" t="str">
            <v>od 2 do 5</v>
          </cell>
        </row>
        <row r="4">
          <cell r="B4" t="str">
            <v>Banská Bystrica</v>
          </cell>
          <cell r="C4" t="str">
            <v>BB</v>
          </cell>
          <cell r="D4" t="str">
            <v>Banská Bystrica</v>
          </cell>
          <cell r="E4">
            <v>-15</v>
          </cell>
          <cell r="F4" t="str">
            <v>&lt; 2,0</v>
          </cell>
        </row>
        <row r="5">
          <cell r="B5" t="str">
            <v>Banská Štiavnica</v>
          </cell>
          <cell r="C5" t="str">
            <v>BS</v>
          </cell>
          <cell r="D5" t="str">
            <v>Banská Bystrica</v>
          </cell>
          <cell r="E5">
            <v>-16</v>
          </cell>
          <cell r="F5" t="str">
            <v>&lt; 2,0</v>
          </cell>
        </row>
        <row r="6">
          <cell r="B6" t="str">
            <v>Bardejov</v>
          </cell>
          <cell r="C6" t="str">
            <v>BJ</v>
          </cell>
          <cell r="D6" t="str">
            <v>Prešov</v>
          </cell>
          <cell r="E6">
            <v>-15</v>
          </cell>
          <cell r="F6" t="str">
            <v>od 2 do 5</v>
          </cell>
        </row>
        <row r="7">
          <cell r="B7" t="str">
            <v>Bratislava I</v>
          </cell>
          <cell r="C7" t="str">
            <v>BA1</v>
          </cell>
          <cell r="D7" t="str">
            <v>Bratislava</v>
          </cell>
          <cell r="E7">
            <v>-11</v>
          </cell>
          <cell r="F7" t="str">
            <v>od 2 do 5</v>
          </cell>
        </row>
        <row r="8">
          <cell r="B8" t="str">
            <v>Bratislava II</v>
          </cell>
          <cell r="C8" t="str">
            <v>BA2</v>
          </cell>
          <cell r="D8" t="str">
            <v>Bratislava</v>
          </cell>
          <cell r="E8">
            <v>-11</v>
          </cell>
          <cell r="F8" t="str">
            <v>od 2 do 5</v>
          </cell>
        </row>
        <row r="9">
          <cell r="B9" t="str">
            <v>Bratislava III</v>
          </cell>
          <cell r="C9" t="str">
            <v>BA3</v>
          </cell>
          <cell r="D9" t="str">
            <v>Bratislava</v>
          </cell>
          <cell r="E9">
            <v>-11</v>
          </cell>
          <cell r="F9" t="str">
            <v>od 2 do 5</v>
          </cell>
        </row>
        <row r="10">
          <cell r="B10" t="str">
            <v>Bratislava IV</v>
          </cell>
          <cell r="C10" t="str">
            <v>BA4</v>
          </cell>
          <cell r="D10" t="str">
            <v>Bratislava</v>
          </cell>
          <cell r="E10">
            <v>-11</v>
          </cell>
          <cell r="F10" t="str">
            <v>od 2 do 5</v>
          </cell>
        </row>
        <row r="11">
          <cell r="B11" t="str">
            <v>Bratislava V</v>
          </cell>
          <cell r="C11" t="str">
            <v>BA5</v>
          </cell>
          <cell r="D11" t="str">
            <v>Bratislava</v>
          </cell>
          <cell r="E11">
            <v>-11</v>
          </cell>
          <cell r="F11" t="str">
            <v>od 2 do 5</v>
          </cell>
        </row>
        <row r="12">
          <cell r="B12" t="str">
            <v>Brezno</v>
          </cell>
          <cell r="C12" t="str">
            <v>BR</v>
          </cell>
          <cell r="D12" t="str">
            <v>Banská Bystrica</v>
          </cell>
          <cell r="E12">
            <v>-16</v>
          </cell>
          <cell r="F12" t="str">
            <v>&lt; 2,0</v>
          </cell>
        </row>
        <row r="13">
          <cell r="B13" t="str">
            <v>Bytča</v>
          </cell>
          <cell r="C13" t="str">
            <v>BY</v>
          </cell>
          <cell r="D13" t="str">
            <v>Žilina</v>
          </cell>
          <cell r="E13">
            <v>-15</v>
          </cell>
          <cell r="F13" t="str">
            <v>&lt; 2,0</v>
          </cell>
        </row>
        <row r="14">
          <cell r="B14" t="str">
            <v>Čadca</v>
          </cell>
          <cell r="C14" t="str">
            <v>CA</v>
          </cell>
          <cell r="D14" t="str">
            <v>Žilina</v>
          </cell>
          <cell r="E14">
            <v>-15</v>
          </cell>
          <cell r="F14" t="str">
            <v>&lt; 2,0</v>
          </cell>
        </row>
        <row r="15">
          <cell r="B15" t="str">
            <v>Detva</v>
          </cell>
          <cell r="C15" t="str">
            <v>DT</v>
          </cell>
          <cell r="D15" t="str">
            <v>Banská Bystrica</v>
          </cell>
          <cell r="E15">
            <v>-15</v>
          </cell>
          <cell r="F15" t="str">
            <v>&lt; 2,0</v>
          </cell>
        </row>
        <row r="16">
          <cell r="B16" t="str">
            <v>Dolný Kubín</v>
          </cell>
          <cell r="C16" t="str">
            <v>DK</v>
          </cell>
          <cell r="D16" t="str">
            <v>Žilina</v>
          </cell>
          <cell r="E16">
            <v>-16</v>
          </cell>
          <cell r="F16" t="str">
            <v>&lt; 2,0</v>
          </cell>
        </row>
        <row r="17">
          <cell r="B17" t="str">
            <v>Dunajská Streda</v>
          </cell>
          <cell r="C17" t="str">
            <v>DS</v>
          </cell>
          <cell r="D17" t="str">
            <v>Trnava</v>
          </cell>
          <cell r="E17">
            <v>-11</v>
          </cell>
          <cell r="F17" t="str">
            <v>od 2 do 5</v>
          </cell>
        </row>
        <row r="18">
          <cell r="B18" t="str">
            <v>Galanta</v>
          </cell>
          <cell r="C18" t="str">
            <v>GA</v>
          </cell>
          <cell r="D18" t="str">
            <v>Trnava</v>
          </cell>
          <cell r="E18">
            <v>-11</v>
          </cell>
          <cell r="F18" t="str">
            <v>od 2 do 5</v>
          </cell>
        </row>
        <row r="19">
          <cell r="B19" t="str">
            <v>Gelnica</v>
          </cell>
          <cell r="C19" t="str">
            <v>GL</v>
          </cell>
          <cell r="D19" t="str">
            <v>Košice</v>
          </cell>
          <cell r="E19">
            <v>-15</v>
          </cell>
          <cell r="F19" t="str">
            <v>&lt; 2,0</v>
          </cell>
        </row>
        <row r="20">
          <cell r="B20" t="str">
            <v>Hlohovec</v>
          </cell>
          <cell r="C20" t="str">
            <v>HC</v>
          </cell>
          <cell r="D20" t="str">
            <v>Trnava</v>
          </cell>
          <cell r="E20">
            <v>-11</v>
          </cell>
          <cell r="F20" t="str">
            <v>od 2 do 5</v>
          </cell>
        </row>
        <row r="21">
          <cell r="B21" t="str">
            <v>Humenné</v>
          </cell>
          <cell r="C21" t="str">
            <v>HE</v>
          </cell>
          <cell r="D21" t="str">
            <v>Prešov</v>
          </cell>
          <cell r="E21">
            <v>-15</v>
          </cell>
          <cell r="F21" t="str">
            <v>&lt; 2,0</v>
          </cell>
        </row>
        <row r="22">
          <cell r="B22" t="str">
            <v>Ilava</v>
          </cell>
          <cell r="C22" t="str">
            <v>IL</v>
          </cell>
          <cell r="D22" t="str">
            <v>Trenčín</v>
          </cell>
          <cell r="E22">
            <v>-13</v>
          </cell>
          <cell r="F22" t="str">
            <v>od 2 do 5</v>
          </cell>
        </row>
        <row r="23">
          <cell r="B23" t="str">
            <v>Kežmarok</v>
          </cell>
          <cell r="C23" t="str">
            <v>KK</v>
          </cell>
          <cell r="D23" t="str">
            <v>Prešov</v>
          </cell>
          <cell r="E23">
            <v>-16</v>
          </cell>
          <cell r="F23" t="str">
            <v>&lt; 2,0</v>
          </cell>
        </row>
        <row r="24">
          <cell r="B24" t="str">
            <v>Komárno</v>
          </cell>
          <cell r="C24" t="str">
            <v>KN</v>
          </cell>
          <cell r="D24" t="str">
            <v>Nitra</v>
          </cell>
          <cell r="E24">
            <v>-11</v>
          </cell>
          <cell r="F24" t="str">
            <v>od 2 do 5</v>
          </cell>
        </row>
        <row r="25">
          <cell r="B25" t="str">
            <v>Košice - okolie</v>
          </cell>
          <cell r="C25" t="str">
            <v>KS</v>
          </cell>
          <cell r="D25" t="str">
            <v>Košice</v>
          </cell>
          <cell r="E25">
            <v>-13</v>
          </cell>
          <cell r="F25" t="str">
            <v>od 2 do 5</v>
          </cell>
        </row>
        <row r="26">
          <cell r="B26" t="str">
            <v>Košice I</v>
          </cell>
          <cell r="C26" t="str">
            <v>KE1</v>
          </cell>
          <cell r="D26" t="str">
            <v>Košice</v>
          </cell>
          <cell r="E26">
            <v>-13</v>
          </cell>
          <cell r="F26" t="str">
            <v>od 2 do 5</v>
          </cell>
        </row>
        <row r="27">
          <cell r="B27" t="str">
            <v>Košice II</v>
          </cell>
          <cell r="C27" t="str">
            <v>KE2</v>
          </cell>
          <cell r="D27" t="str">
            <v>Košice</v>
          </cell>
          <cell r="E27">
            <v>-13</v>
          </cell>
          <cell r="F27" t="str">
            <v>od 2 do 5</v>
          </cell>
        </row>
        <row r="28">
          <cell r="B28" t="str">
            <v>Košice III</v>
          </cell>
          <cell r="C28" t="str">
            <v>KE3</v>
          </cell>
          <cell r="D28" t="str">
            <v>Košice</v>
          </cell>
          <cell r="E28">
            <v>-13</v>
          </cell>
          <cell r="F28" t="str">
            <v>od 2 do 5</v>
          </cell>
        </row>
        <row r="29">
          <cell r="B29" t="str">
            <v>Košice IV</v>
          </cell>
          <cell r="C29" t="str">
            <v>KE4</v>
          </cell>
          <cell r="D29" t="str">
            <v>Košice</v>
          </cell>
          <cell r="E29">
            <v>-13</v>
          </cell>
          <cell r="F29" t="str">
            <v>od 2 do 5</v>
          </cell>
        </row>
        <row r="30">
          <cell r="B30" t="str">
            <v>Krupina</v>
          </cell>
          <cell r="C30" t="str">
            <v>KA</v>
          </cell>
          <cell r="D30" t="str">
            <v>Banská Bystrica</v>
          </cell>
          <cell r="E30">
            <v>-13</v>
          </cell>
          <cell r="F30" t="str">
            <v>&lt; 2,0</v>
          </cell>
        </row>
        <row r="31">
          <cell r="B31" t="str">
            <v>Kysucké Nové Mesto</v>
          </cell>
          <cell r="C31" t="str">
            <v>KM</v>
          </cell>
          <cell r="D31" t="str">
            <v>Žilina</v>
          </cell>
          <cell r="E31">
            <v>-13</v>
          </cell>
          <cell r="F31" t="str">
            <v>&lt; 2,0</v>
          </cell>
        </row>
        <row r="32">
          <cell r="B32" t="str">
            <v>Levice</v>
          </cell>
          <cell r="C32" t="str">
            <v>LV</v>
          </cell>
          <cell r="D32" t="str">
            <v>Nitra</v>
          </cell>
          <cell r="E32">
            <v>-11</v>
          </cell>
          <cell r="F32" t="str">
            <v>&lt; 2,0</v>
          </cell>
        </row>
        <row r="33">
          <cell r="B33" t="str">
            <v>Levoča</v>
          </cell>
          <cell r="C33" t="str">
            <v>LE</v>
          </cell>
          <cell r="D33" t="str">
            <v>Prešov</v>
          </cell>
          <cell r="E33">
            <v>-16</v>
          </cell>
          <cell r="F33" t="str">
            <v>&lt; 2,0</v>
          </cell>
        </row>
        <row r="34">
          <cell r="B34" t="str">
            <v>Liptovský Mikuláš</v>
          </cell>
          <cell r="C34" t="str">
            <v>LM</v>
          </cell>
          <cell r="D34" t="str">
            <v>Žilina</v>
          </cell>
          <cell r="E34">
            <v>-16</v>
          </cell>
          <cell r="F34" t="str">
            <v>&lt; 2,0</v>
          </cell>
        </row>
        <row r="35">
          <cell r="B35" t="str">
            <v>Lučenec</v>
          </cell>
          <cell r="C35" t="str">
            <v>LC</v>
          </cell>
          <cell r="D35" t="str">
            <v>Banská Bystrica</v>
          </cell>
          <cell r="E35">
            <v>-13</v>
          </cell>
          <cell r="F35" t="str">
            <v>&lt; 2,0</v>
          </cell>
        </row>
        <row r="36">
          <cell r="B36" t="str">
            <v>Malacky</v>
          </cell>
          <cell r="C36" t="str">
            <v>MA</v>
          </cell>
          <cell r="D36" t="str">
            <v>Bratislava</v>
          </cell>
          <cell r="E36">
            <v>-11</v>
          </cell>
          <cell r="F36" t="str">
            <v>od 2 do 5</v>
          </cell>
        </row>
        <row r="37">
          <cell r="B37" t="str">
            <v>Martin</v>
          </cell>
          <cell r="C37" t="str">
            <v>MT</v>
          </cell>
          <cell r="D37" t="str">
            <v>Žilina</v>
          </cell>
          <cell r="E37">
            <v>-15</v>
          </cell>
          <cell r="F37" t="str">
            <v>&lt; 2,0</v>
          </cell>
        </row>
        <row r="38">
          <cell r="B38" t="str">
            <v>Medzilaborce</v>
          </cell>
          <cell r="C38" t="str">
            <v>ML</v>
          </cell>
          <cell r="D38" t="str">
            <v>Prešov</v>
          </cell>
          <cell r="E38">
            <v>-15</v>
          </cell>
          <cell r="F38" t="str">
            <v>od 2 do 5</v>
          </cell>
        </row>
        <row r="39">
          <cell r="B39" t="str">
            <v>Michalovce</v>
          </cell>
          <cell r="C39" t="str">
            <v>MI</v>
          </cell>
          <cell r="D39" t="str">
            <v>Košice</v>
          </cell>
          <cell r="E39">
            <v>-13</v>
          </cell>
          <cell r="F39" t="str">
            <v>od 2 do 5</v>
          </cell>
        </row>
        <row r="40">
          <cell r="B40" t="str">
            <v>Myjava</v>
          </cell>
          <cell r="C40" t="str">
            <v>MY</v>
          </cell>
          <cell r="D40" t="str">
            <v>Trenčín</v>
          </cell>
          <cell r="E40">
            <v>-13</v>
          </cell>
          <cell r="F40" t="str">
            <v>od 2 do 5</v>
          </cell>
        </row>
        <row r="41">
          <cell r="B41" t="str">
            <v>Námestovo</v>
          </cell>
          <cell r="C41" t="str">
            <v>NO</v>
          </cell>
          <cell r="D41" t="str">
            <v>Žilina</v>
          </cell>
          <cell r="E41">
            <v>-18</v>
          </cell>
          <cell r="F41" t="str">
            <v>&lt; 2,0</v>
          </cell>
        </row>
        <row r="42">
          <cell r="B42" t="str">
            <v>Nitra</v>
          </cell>
          <cell r="C42" t="str">
            <v>NR</v>
          </cell>
          <cell r="D42" t="str">
            <v>Nitra</v>
          </cell>
          <cell r="E42">
            <v>-11</v>
          </cell>
          <cell r="F42" t="str">
            <v>od 2 do 5</v>
          </cell>
        </row>
        <row r="43">
          <cell r="B43" t="str">
            <v>Nové Mesto nad Váhom</v>
          </cell>
          <cell r="C43" t="str">
            <v>NM</v>
          </cell>
          <cell r="D43" t="str">
            <v>Trenčín</v>
          </cell>
          <cell r="E43">
            <v>-11</v>
          </cell>
          <cell r="F43" t="str">
            <v>od 2 do 5</v>
          </cell>
        </row>
        <row r="44">
          <cell r="B44" t="str">
            <v>Nové Zámky</v>
          </cell>
          <cell r="C44" t="str">
            <v>NZ</v>
          </cell>
          <cell r="D44" t="str">
            <v>Nitra</v>
          </cell>
          <cell r="E44">
            <v>-11</v>
          </cell>
          <cell r="F44" t="str">
            <v>od 2 do 5</v>
          </cell>
        </row>
        <row r="45">
          <cell r="B45" t="str">
            <v>Partizánske</v>
          </cell>
          <cell r="C45" t="str">
            <v>PE</v>
          </cell>
          <cell r="D45" t="str">
            <v>Trenčín</v>
          </cell>
          <cell r="E45">
            <v>-13</v>
          </cell>
          <cell r="F45" t="str">
            <v>od 2 do 5</v>
          </cell>
        </row>
        <row r="46">
          <cell r="B46" t="str">
            <v>Pezinok</v>
          </cell>
          <cell r="C46" t="str">
            <v>PK</v>
          </cell>
          <cell r="D46" t="str">
            <v>Bratislava</v>
          </cell>
          <cell r="E46">
            <v>-11</v>
          </cell>
          <cell r="F46" t="str">
            <v>od 2 do 5</v>
          </cell>
        </row>
        <row r="47">
          <cell r="B47" t="str">
            <v>Piešťany</v>
          </cell>
          <cell r="C47" t="str">
            <v>PN</v>
          </cell>
          <cell r="D47" t="str">
            <v>Trnava</v>
          </cell>
          <cell r="E47">
            <v>-11</v>
          </cell>
          <cell r="F47" t="str">
            <v>od 2 do 5</v>
          </cell>
        </row>
        <row r="48">
          <cell r="B48" t="str">
            <v>Poltár</v>
          </cell>
          <cell r="C48" t="str">
            <v>PT</v>
          </cell>
          <cell r="D48" t="str">
            <v>Banská Bystrica</v>
          </cell>
          <cell r="E48">
            <v>-13</v>
          </cell>
          <cell r="F48" t="str">
            <v>&lt; 2,0</v>
          </cell>
        </row>
        <row r="49">
          <cell r="B49" t="str">
            <v>Poprad</v>
          </cell>
          <cell r="C49" t="str">
            <v>PP</v>
          </cell>
          <cell r="D49" t="str">
            <v>Prešov</v>
          </cell>
          <cell r="E49">
            <v>-16</v>
          </cell>
          <cell r="F49" t="str">
            <v>od 2 do 5</v>
          </cell>
        </row>
        <row r="50">
          <cell r="B50" t="str">
            <v>Považská Bystrica</v>
          </cell>
          <cell r="C50" t="str">
            <v>PB</v>
          </cell>
          <cell r="D50" t="str">
            <v>Trenčín</v>
          </cell>
          <cell r="E50">
            <v>-15</v>
          </cell>
          <cell r="F50" t="str">
            <v>&lt; 2,0</v>
          </cell>
        </row>
        <row r="51">
          <cell r="B51" t="str">
            <v>Prešov</v>
          </cell>
          <cell r="C51" t="str">
            <v>PO</v>
          </cell>
          <cell r="D51" t="str">
            <v>Prešov</v>
          </cell>
          <cell r="E51">
            <v>-15</v>
          </cell>
          <cell r="F51" t="str">
            <v>od 2 do 5</v>
          </cell>
        </row>
        <row r="52">
          <cell r="B52" t="str">
            <v>Prievidza</v>
          </cell>
          <cell r="C52" t="str">
            <v>PD</v>
          </cell>
          <cell r="D52" t="str">
            <v>Trenčín</v>
          </cell>
          <cell r="E52">
            <v>-14</v>
          </cell>
          <cell r="F52" t="str">
            <v>&lt; 2,0</v>
          </cell>
        </row>
        <row r="53">
          <cell r="B53" t="str">
            <v>Púchov</v>
          </cell>
          <cell r="C53" t="str">
            <v>PU</v>
          </cell>
          <cell r="D53" t="str">
            <v>Trenčín</v>
          </cell>
          <cell r="E53">
            <v>-13</v>
          </cell>
          <cell r="F53" t="str">
            <v>od 2 do 5</v>
          </cell>
        </row>
        <row r="54">
          <cell r="B54" t="str">
            <v>Revúca</v>
          </cell>
          <cell r="C54" t="str">
            <v>RA</v>
          </cell>
          <cell r="D54" t="str">
            <v>Banská Bystrica</v>
          </cell>
          <cell r="E54">
            <v>-15</v>
          </cell>
          <cell r="F54" t="str">
            <v>&lt; 2,0</v>
          </cell>
        </row>
        <row r="55">
          <cell r="B55" t="str">
            <v>Rimavská Sobota</v>
          </cell>
          <cell r="C55" t="str">
            <v>RS</v>
          </cell>
          <cell r="D55" t="str">
            <v>Banská Bystrica</v>
          </cell>
          <cell r="E55">
            <v>-13</v>
          </cell>
          <cell r="F55" t="str">
            <v>&lt; 2,0</v>
          </cell>
        </row>
        <row r="56">
          <cell r="B56" t="str">
            <v>Rožňava</v>
          </cell>
          <cell r="C56" t="str">
            <v>RV</v>
          </cell>
          <cell r="D56" t="str">
            <v>Košice</v>
          </cell>
          <cell r="E56">
            <v>-15</v>
          </cell>
          <cell r="F56" t="str">
            <v>&lt; 2,0</v>
          </cell>
        </row>
        <row r="57">
          <cell r="B57" t="str">
            <v>Ružomberok</v>
          </cell>
          <cell r="C57" t="str">
            <v>RK</v>
          </cell>
          <cell r="D57" t="str">
            <v>Žilina</v>
          </cell>
          <cell r="E57">
            <v>-16</v>
          </cell>
          <cell r="F57" t="str">
            <v>&lt; 2,0</v>
          </cell>
        </row>
        <row r="58">
          <cell r="B58" t="str">
            <v>Sabinov</v>
          </cell>
          <cell r="C58" t="str">
            <v>SB</v>
          </cell>
          <cell r="D58" t="str">
            <v>Prešov</v>
          </cell>
          <cell r="E58">
            <v>-15</v>
          </cell>
          <cell r="F58" t="str">
            <v>&lt; 2,0</v>
          </cell>
        </row>
        <row r="59">
          <cell r="B59" t="str">
            <v>Senec</v>
          </cell>
          <cell r="C59" t="str">
            <v>SC</v>
          </cell>
          <cell r="D59" t="str">
            <v>Bratislava</v>
          </cell>
          <cell r="E59">
            <v>-11</v>
          </cell>
          <cell r="F59" t="str">
            <v>od 2 do 5</v>
          </cell>
        </row>
        <row r="60">
          <cell r="B60" t="str">
            <v>Senica</v>
          </cell>
          <cell r="C60" t="str">
            <v>SE</v>
          </cell>
          <cell r="D60" t="str">
            <v>Trnava</v>
          </cell>
          <cell r="E60">
            <v>-12</v>
          </cell>
          <cell r="F60" t="str">
            <v>od 2 do 5</v>
          </cell>
        </row>
        <row r="61">
          <cell r="B61" t="str">
            <v>Skalica</v>
          </cell>
          <cell r="C61" t="str">
            <v>SI</v>
          </cell>
          <cell r="D61" t="str">
            <v>Trnava</v>
          </cell>
          <cell r="E61">
            <v>-11</v>
          </cell>
          <cell r="F61" t="str">
            <v>od 2 do 5</v>
          </cell>
        </row>
        <row r="62">
          <cell r="B62" t="str">
            <v>Snina</v>
          </cell>
          <cell r="C62" t="str">
            <v>SV</v>
          </cell>
          <cell r="D62" t="str">
            <v>Prešov</v>
          </cell>
          <cell r="E62">
            <v>-15</v>
          </cell>
          <cell r="F62" t="str">
            <v>&lt; 2,0</v>
          </cell>
        </row>
        <row r="63">
          <cell r="B63" t="str">
            <v>Sobrance</v>
          </cell>
          <cell r="C63" t="str">
            <v>SO</v>
          </cell>
          <cell r="D63" t="str">
            <v>Košice</v>
          </cell>
          <cell r="E63">
            <v>-13</v>
          </cell>
          <cell r="F63" t="str">
            <v>od 2 do 5</v>
          </cell>
        </row>
        <row r="64">
          <cell r="B64" t="str">
            <v>Spišská Nová Ves</v>
          </cell>
          <cell r="C64" t="str">
            <v>SN</v>
          </cell>
          <cell r="D64" t="str">
            <v>Košice</v>
          </cell>
          <cell r="E64">
            <v>-16</v>
          </cell>
          <cell r="F64" t="str">
            <v>&lt; 2,0</v>
          </cell>
        </row>
        <row r="65">
          <cell r="B65" t="str">
            <v>Stará Ľubovňa</v>
          </cell>
          <cell r="C65" t="str">
            <v>SL</v>
          </cell>
          <cell r="D65" t="str">
            <v>Prešov</v>
          </cell>
          <cell r="E65">
            <v>-17</v>
          </cell>
          <cell r="F65" t="str">
            <v>&lt; 2,0</v>
          </cell>
        </row>
        <row r="66">
          <cell r="B66" t="str">
            <v>Stropkov</v>
          </cell>
          <cell r="C66" t="str">
            <v>SP</v>
          </cell>
          <cell r="D66" t="str">
            <v>Prešov</v>
          </cell>
          <cell r="E66">
            <v>-15</v>
          </cell>
          <cell r="F66" t="str">
            <v>od 2 do 5</v>
          </cell>
        </row>
        <row r="67">
          <cell r="B67" t="str">
            <v>Svidník</v>
          </cell>
          <cell r="C67" t="str">
            <v>SK</v>
          </cell>
          <cell r="D67" t="str">
            <v>Prešov</v>
          </cell>
          <cell r="E67">
            <v>-15</v>
          </cell>
          <cell r="F67" t="str">
            <v>od 2 do 5</v>
          </cell>
        </row>
        <row r="68">
          <cell r="B68" t="str">
            <v>Šaľa</v>
          </cell>
          <cell r="C68" t="str">
            <v>SA</v>
          </cell>
          <cell r="D68" t="str">
            <v>Nitra</v>
          </cell>
          <cell r="E68">
            <v>-11</v>
          </cell>
          <cell r="F68" t="str">
            <v>od 2 do 5</v>
          </cell>
        </row>
        <row r="69">
          <cell r="B69" t="str">
            <v>Topoľčany</v>
          </cell>
          <cell r="C69" t="str">
            <v>TO</v>
          </cell>
          <cell r="D69" t="str">
            <v>Nitra</v>
          </cell>
          <cell r="E69">
            <v>-11</v>
          </cell>
          <cell r="F69" t="str">
            <v>od 2 do 5</v>
          </cell>
        </row>
        <row r="70">
          <cell r="B70" t="str">
            <v>Trebišov</v>
          </cell>
          <cell r="C70" t="str">
            <v>TV</v>
          </cell>
          <cell r="D70" t="str">
            <v>Košice</v>
          </cell>
          <cell r="E70">
            <v>-13</v>
          </cell>
          <cell r="F70" t="str">
            <v>od 2 do 5</v>
          </cell>
        </row>
        <row r="71">
          <cell r="B71" t="str">
            <v>Trenčín</v>
          </cell>
          <cell r="C71" t="str">
            <v>TN</v>
          </cell>
          <cell r="D71" t="str">
            <v>Trenčín</v>
          </cell>
          <cell r="E71">
            <v>-12</v>
          </cell>
          <cell r="F71" t="str">
            <v>od 2 do 5</v>
          </cell>
        </row>
        <row r="72">
          <cell r="B72" t="str">
            <v>Trnava</v>
          </cell>
          <cell r="C72" t="str">
            <v>TT</v>
          </cell>
          <cell r="D72" t="str">
            <v>Trnava</v>
          </cell>
          <cell r="E72">
            <v>-11</v>
          </cell>
          <cell r="F72" t="str">
            <v>od 2 do 5</v>
          </cell>
        </row>
        <row r="73">
          <cell r="B73" t="str">
            <v>Turčianske Teplice</v>
          </cell>
          <cell r="C73" t="str">
            <v>TR</v>
          </cell>
          <cell r="D73" t="str">
            <v>Žilina</v>
          </cell>
          <cell r="E73">
            <v>-16</v>
          </cell>
          <cell r="F73" t="str">
            <v>&lt; 2,0</v>
          </cell>
        </row>
        <row r="74">
          <cell r="B74" t="str">
            <v>Tvrdošín</v>
          </cell>
          <cell r="C74" t="str">
            <v>TS</v>
          </cell>
          <cell r="D74" t="str">
            <v>Žilina</v>
          </cell>
          <cell r="E74">
            <v>-17</v>
          </cell>
          <cell r="F74" t="str">
            <v>&lt; 2,0</v>
          </cell>
        </row>
        <row r="75">
          <cell r="B75" t="str">
            <v>Veľký Krtíš</v>
          </cell>
          <cell r="C75" t="str">
            <v>VK</v>
          </cell>
          <cell r="D75" t="str">
            <v>Banská Bystrica</v>
          </cell>
          <cell r="E75">
            <v>-13</v>
          </cell>
          <cell r="F75" t="str">
            <v>&lt; 2,0</v>
          </cell>
        </row>
        <row r="76">
          <cell r="B76" t="str">
            <v>Vranov nad Topľou</v>
          </cell>
          <cell r="C76" t="str">
            <v>VT</v>
          </cell>
          <cell r="D76" t="str">
            <v>Prešov</v>
          </cell>
          <cell r="E76">
            <v>-15</v>
          </cell>
          <cell r="F76" t="str">
            <v>od 2 do 5</v>
          </cell>
        </row>
        <row r="77">
          <cell r="B77" t="str">
            <v>Zlaté Moravce</v>
          </cell>
          <cell r="C77" t="str">
            <v>ZM</v>
          </cell>
          <cell r="D77" t="str">
            <v>Nitra</v>
          </cell>
          <cell r="E77">
            <v>-11</v>
          </cell>
          <cell r="F77" t="str">
            <v>od 2 do 5</v>
          </cell>
        </row>
        <row r="78">
          <cell r="B78" t="str">
            <v>Zvolen</v>
          </cell>
          <cell r="C78" t="str">
            <v>ZV</v>
          </cell>
          <cell r="D78" t="str">
            <v>Banská Bystrica</v>
          </cell>
          <cell r="E78">
            <v>-15</v>
          </cell>
          <cell r="F78" t="str">
            <v>&lt; 2,0</v>
          </cell>
        </row>
        <row r="79">
          <cell r="B79" t="str">
            <v>Žarnovica</v>
          </cell>
          <cell r="C79" t="str">
            <v>ZC</v>
          </cell>
          <cell r="D79" t="str">
            <v>Banská Bystrica</v>
          </cell>
          <cell r="E79">
            <v>-15</v>
          </cell>
          <cell r="F79" t="str">
            <v>&lt; 2,0</v>
          </cell>
        </row>
        <row r="80">
          <cell r="B80" t="str">
            <v>Žiar nad Hronom</v>
          </cell>
          <cell r="C80" t="str">
            <v>ZH</v>
          </cell>
          <cell r="D80" t="str">
            <v>Banská Bystrica</v>
          </cell>
          <cell r="E80">
            <v>-15</v>
          </cell>
          <cell r="F80" t="str">
            <v>&lt; 2,0</v>
          </cell>
        </row>
        <row r="81">
          <cell r="B81" t="str">
            <v>Žilina</v>
          </cell>
          <cell r="C81" t="str">
            <v>ZA</v>
          </cell>
          <cell r="D81" t="str">
            <v>Žilina</v>
          </cell>
          <cell r="E81">
            <v>-15</v>
          </cell>
          <cell r="F81" t="str">
            <v>&lt; 2,0</v>
          </cell>
        </row>
      </sheetData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eronika Gombosova" id="{41E35117-B3AE-4053-A82A-CDE057B6E191}" userId="S::gombosova@ecb.sk::db79be53-ec7f-4a56-a312-847947dc31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0-06-17T21:52:21.62" personId="{41E35117-B3AE-4053-A82A-CDE057B6E191}" id="{3ABCB29A-1F7D-4167-A62D-AAF7842D058D}">
    <text>naformatovat vypocet Uw okien podla normy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" dT="2020-06-17T21:52:21.62" personId="{41E35117-B3AE-4053-A82A-CDE057B6E191}" id="{29BB8918-79C3-4287-80FD-02787B0FEEBC}">
    <text>naformatovat vypocet Uw okien podla normy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4"/>
  <sheetViews>
    <sheetView topLeftCell="BH1" workbookViewId="0">
      <selection activeCell="BL31" sqref="BL31"/>
    </sheetView>
  </sheetViews>
  <sheetFormatPr defaultRowHeight="14.4" x14ac:dyDescent="0.3"/>
  <cols>
    <col min="8" max="8" width="10.33203125" bestFit="1" customWidth="1"/>
    <col min="12" max="12" width="43.6640625" customWidth="1"/>
    <col min="17" max="56" width="0" hidden="1" customWidth="1"/>
    <col min="57" max="57" width="11.33203125" customWidth="1"/>
    <col min="59" max="59" width="10.6640625" customWidth="1"/>
    <col min="60" max="60" width="12.44140625" customWidth="1"/>
    <col min="66" max="66" width="40.6640625" bestFit="1" customWidth="1"/>
    <col min="70" max="70" width="5.44140625" bestFit="1" customWidth="1"/>
    <col min="71" max="71" width="6.109375" bestFit="1" customWidth="1"/>
  </cols>
  <sheetData>
    <row r="1" spans="1:72" ht="13.95" customHeight="1" x14ac:dyDescent="0.3">
      <c r="A1" t="s">
        <v>0</v>
      </c>
      <c r="G1" t="s">
        <v>1</v>
      </c>
      <c r="H1" t="s">
        <v>2</v>
      </c>
      <c r="L1" s="255" t="s">
        <v>3</v>
      </c>
      <c r="N1" s="84" t="s">
        <v>4</v>
      </c>
      <c r="O1" s="85"/>
      <c r="BE1" s="347" t="s">
        <v>5</v>
      </c>
      <c r="BF1" s="347"/>
      <c r="BG1" s="347"/>
      <c r="BH1" s="347"/>
      <c r="BI1" s="347"/>
      <c r="BJ1" s="347"/>
      <c r="BN1" s="344" t="s">
        <v>6</v>
      </c>
      <c r="BO1" s="344"/>
      <c r="BP1" s="344"/>
      <c r="BQ1" s="344"/>
      <c r="BR1" s="344"/>
      <c r="BS1" s="344"/>
      <c r="BT1" s="344"/>
    </row>
    <row r="2" spans="1:72" ht="13.95" customHeight="1" x14ac:dyDescent="0.3">
      <c r="B2" t="s">
        <v>7</v>
      </c>
      <c r="L2" s="79" t="s">
        <v>8</v>
      </c>
      <c r="N2" s="29" t="s">
        <v>9</v>
      </c>
      <c r="O2" s="29">
        <v>1.2</v>
      </c>
      <c r="BE2" s="348" t="s">
        <v>10</v>
      </c>
      <c r="BF2" s="348"/>
      <c r="BG2" s="348"/>
      <c r="BH2" s="348"/>
      <c r="BI2" s="104">
        <v>5</v>
      </c>
      <c r="BJ2" s="104" t="s">
        <v>11</v>
      </c>
      <c r="BM2" s="262"/>
      <c r="BN2" s="342"/>
      <c r="BO2" s="265" t="s">
        <v>12</v>
      </c>
      <c r="BP2" s="265" t="s">
        <v>12</v>
      </c>
      <c r="BQ2" s="265" t="s">
        <v>13</v>
      </c>
      <c r="BR2" s="343" t="s">
        <v>14</v>
      </c>
      <c r="BS2" s="343"/>
      <c r="BT2" s="265" t="s">
        <v>15</v>
      </c>
    </row>
    <row r="3" spans="1:72" ht="13.95" customHeight="1" x14ac:dyDescent="0.3">
      <c r="B3" t="s">
        <v>16</v>
      </c>
      <c r="L3" s="79" t="s">
        <v>17</v>
      </c>
      <c r="N3" s="29" t="s">
        <v>18</v>
      </c>
      <c r="O3" s="29">
        <v>1</v>
      </c>
      <c r="BE3" s="348" t="s">
        <v>19</v>
      </c>
      <c r="BF3" s="348"/>
      <c r="BG3" s="348"/>
      <c r="BH3" s="348"/>
      <c r="BI3" s="104">
        <v>4</v>
      </c>
      <c r="BJ3" s="104" t="s">
        <v>11</v>
      </c>
      <c r="BM3" s="262"/>
      <c r="BN3" s="342"/>
      <c r="BO3" s="265" t="s">
        <v>20</v>
      </c>
      <c r="BP3" s="265" t="s">
        <v>21</v>
      </c>
      <c r="BQ3" s="265" t="s">
        <v>22</v>
      </c>
      <c r="BR3" s="265" t="s">
        <v>23</v>
      </c>
      <c r="BS3" s="265" t="s">
        <v>24</v>
      </c>
      <c r="BT3" s="265" t="s">
        <v>25</v>
      </c>
    </row>
    <row r="4" spans="1:72" ht="13.95" customHeight="1" x14ac:dyDescent="0.3">
      <c r="L4" s="79" t="s">
        <v>26</v>
      </c>
      <c r="BE4" s="348" t="s">
        <v>27</v>
      </c>
      <c r="BF4" s="348"/>
      <c r="BG4" s="348"/>
      <c r="BH4" s="348"/>
      <c r="BI4" s="104">
        <v>6</v>
      </c>
      <c r="BJ4" s="104" t="s">
        <v>11</v>
      </c>
      <c r="BM4" s="262"/>
      <c r="BN4" s="266" t="s">
        <v>28</v>
      </c>
      <c r="BO4" s="267">
        <v>13</v>
      </c>
      <c r="BP4" s="267" t="s">
        <v>29</v>
      </c>
      <c r="BQ4" s="268">
        <v>0.27</v>
      </c>
      <c r="BR4" s="268">
        <v>0.66</v>
      </c>
      <c r="BS4" s="268">
        <v>0.01</v>
      </c>
      <c r="BT4" s="269">
        <v>1000</v>
      </c>
    </row>
    <row r="5" spans="1:72" ht="13.95" customHeight="1" x14ac:dyDescent="0.3">
      <c r="L5" s="79" t="s">
        <v>30</v>
      </c>
      <c r="BM5" s="262"/>
      <c r="BN5" s="266" t="s">
        <v>31</v>
      </c>
      <c r="BO5" s="267">
        <v>15</v>
      </c>
      <c r="BP5" s="267" t="s">
        <v>32</v>
      </c>
      <c r="BQ5" s="268">
        <v>4.32</v>
      </c>
      <c r="BR5" s="268">
        <v>2.66</v>
      </c>
      <c r="BS5" s="268">
        <v>0.03</v>
      </c>
      <c r="BT5" s="269">
        <v>3000</v>
      </c>
    </row>
    <row r="6" spans="1:72" ht="13.95" customHeight="1" x14ac:dyDescent="0.3">
      <c r="L6" s="79" t="s">
        <v>33</v>
      </c>
      <c r="BM6" s="262"/>
      <c r="BN6" s="266" t="s">
        <v>34</v>
      </c>
      <c r="BO6" s="267">
        <v>85</v>
      </c>
      <c r="BP6" s="267" t="s">
        <v>35</v>
      </c>
      <c r="BQ6" s="268">
        <v>23.24</v>
      </c>
      <c r="BR6" s="268">
        <v>11.62</v>
      </c>
      <c r="BS6" s="268">
        <v>0.66</v>
      </c>
      <c r="BT6" s="269">
        <v>50000</v>
      </c>
    </row>
    <row r="7" spans="1:72" ht="13.95" customHeight="1" x14ac:dyDescent="0.3">
      <c r="L7" s="79" t="s">
        <v>36</v>
      </c>
      <c r="BM7" s="262"/>
      <c r="BN7" s="266" t="s">
        <v>37</v>
      </c>
      <c r="BO7" s="267">
        <v>85</v>
      </c>
      <c r="BP7" s="267" t="s">
        <v>35</v>
      </c>
      <c r="BQ7" s="268">
        <v>120</v>
      </c>
      <c r="BR7" s="268">
        <f>33+10</f>
        <v>43</v>
      </c>
      <c r="BS7" s="268">
        <v>1.7</v>
      </c>
      <c r="BT7" s="269">
        <v>50000</v>
      </c>
    </row>
    <row r="8" spans="1:72" ht="13.95" customHeight="1" x14ac:dyDescent="0.3">
      <c r="L8" s="79" t="s">
        <v>38</v>
      </c>
      <c r="BM8" s="262"/>
      <c r="BN8" s="266" t="s">
        <v>39</v>
      </c>
      <c r="BO8" s="267">
        <v>85</v>
      </c>
      <c r="BP8" s="267" t="s">
        <v>35</v>
      </c>
      <c r="BQ8" s="268"/>
      <c r="BR8" s="268">
        <f>50+10</f>
        <v>60</v>
      </c>
      <c r="BS8" s="268">
        <v>1.7</v>
      </c>
      <c r="BT8" s="269">
        <v>50000</v>
      </c>
    </row>
    <row r="9" spans="1:72" ht="13.95" customHeight="1" x14ac:dyDescent="0.3">
      <c r="L9" s="79" t="s">
        <v>40</v>
      </c>
      <c r="BM9" s="262"/>
      <c r="BN9" s="266" t="s">
        <v>41</v>
      </c>
      <c r="BO9" s="267">
        <v>95</v>
      </c>
      <c r="BP9" s="267" t="s">
        <v>42</v>
      </c>
      <c r="BQ9" s="268">
        <v>165</v>
      </c>
      <c r="BR9" s="268">
        <f>115+10</f>
        <v>125</v>
      </c>
      <c r="BS9" s="268">
        <v>0.5</v>
      </c>
      <c r="BT9" s="269">
        <v>50000</v>
      </c>
    </row>
    <row r="10" spans="1:72" ht="13.95" customHeight="1" x14ac:dyDescent="0.3">
      <c r="L10" s="79" t="s">
        <v>43</v>
      </c>
      <c r="BM10" s="262"/>
      <c r="BN10" s="266" t="s">
        <v>44</v>
      </c>
      <c r="BO10" s="267">
        <v>60</v>
      </c>
      <c r="BP10" s="267" t="s">
        <v>45</v>
      </c>
      <c r="BQ10" s="268">
        <v>1.83</v>
      </c>
      <c r="BR10" s="268">
        <v>0</v>
      </c>
      <c r="BS10" s="268">
        <v>0.03</v>
      </c>
      <c r="BT10" s="269">
        <v>8000</v>
      </c>
    </row>
    <row r="11" spans="1:72" ht="13.95" customHeight="1" x14ac:dyDescent="0.3">
      <c r="BM11" s="262"/>
      <c r="BN11" s="266" t="s">
        <v>46</v>
      </c>
      <c r="BO11" s="267">
        <v>80</v>
      </c>
      <c r="BP11" s="267" t="s">
        <v>47</v>
      </c>
      <c r="BQ11" s="268">
        <v>0</v>
      </c>
      <c r="BR11" s="268">
        <v>27.22</v>
      </c>
      <c r="BS11" s="268">
        <v>0.03</v>
      </c>
      <c r="BT11" s="269">
        <v>15000</v>
      </c>
    </row>
    <row r="12" spans="1:72" ht="13.95" customHeight="1" x14ac:dyDescent="0.3">
      <c r="K12" s="87"/>
      <c r="L12" s="349" t="s">
        <v>48</v>
      </c>
      <c r="M12" s="350"/>
      <c r="N12" s="350"/>
      <c r="O12" s="351"/>
      <c r="Q12" s="354" t="s">
        <v>49</v>
      </c>
      <c r="R12" s="354"/>
      <c r="S12" s="354"/>
      <c r="T12" s="354"/>
      <c r="U12" s="354"/>
      <c r="V12" s="354"/>
      <c r="W12" s="354"/>
      <c r="X12" s="354"/>
      <c r="Y12" s="354"/>
      <c r="Z12" s="354"/>
      <c r="AA12" s="354"/>
      <c r="AB12" s="354"/>
      <c r="AC12" s="354"/>
      <c r="AD12" s="354"/>
      <c r="AE12" s="354"/>
      <c r="AF12" s="354"/>
      <c r="AG12" s="354"/>
      <c r="AH12" s="354"/>
      <c r="AI12" s="354"/>
      <c r="AJ12" s="354"/>
      <c r="AK12" s="354"/>
      <c r="AL12" s="354"/>
      <c r="AM12" s="354"/>
      <c r="AN12" s="354"/>
      <c r="AO12" s="354"/>
      <c r="AP12" s="354"/>
      <c r="AQ12" s="354"/>
      <c r="AR12" s="354"/>
      <c r="AS12" s="354"/>
      <c r="AT12" s="354"/>
      <c r="AU12" s="354"/>
      <c r="AV12" s="354"/>
      <c r="AW12" s="354"/>
      <c r="AX12" s="354"/>
      <c r="AY12" s="354"/>
      <c r="AZ12" s="354"/>
      <c r="BA12" s="354"/>
      <c r="BB12" s="354"/>
      <c r="BC12" s="79"/>
      <c r="BE12" s="352" t="s">
        <v>50</v>
      </c>
      <c r="BF12" s="352"/>
      <c r="BG12" s="352"/>
      <c r="BH12" s="352"/>
      <c r="BI12" s="352"/>
      <c r="BJ12" s="352"/>
      <c r="BM12" s="262"/>
      <c r="BN12" s="266" t="s">
        <v>51</v>
      </c>
      <c r="BO12" s="267">
        <v>80</v>
      </c>
      <c r="BP12" s="267" t="s">
        <v>47</v>
      </c>
      <c r="BQ12" s="268"/>
      <c r="BR12" s="268">
        <f>32+10</f>
        <v>42</v>
      </c>
      <c r="BS12" s="268">
        <v>0.25</v>
      </c>
      <c r="BT12" s="269">
        <v>15000</v>
      </c>
    </row>
    <row r="13" spans="1:72" ht="13.95" customHeight="1" x14ac:dyDescent="0.3">
      <c r="L13" s="353"/>
      <c r="M13" s="353"/>
      <c r="N13" s="67" t="s">
        <v>52</v>
      </c>
      <c r="O13" s="67" t="s">
        <v>53</v>
      </c>
      <c r="Q13" s="80" t="s">
        <v>54</v>
      </c>
      <c r="R13" s="78" t="s">
        <v>55</v>
      </c>
      <c r="S13" s="355" t="s">
        <v>56</v>
      </c>
      <c r="T13" s="355"/>
      <c r="U13" s="355"/>
      <c r="V13" s="355" t="s">
        <v>57</v>
      </c>
      <c r="W13" s="355"/>
      <c r="X13" s="355"/>
      <c r="Y13" s="355" t="s">
        <v>58</v>
      </c>
      <c r="Z13" s="355"/>
      <c r="AA13" s="355"/>
      <c r="AB13" s="355" t="s">
        <v>59</v>
      </c>
      <c r="AC13" s="355"/>
      <c r="AD13" s="355"/>
      <c r="AE13" s="355" t="s">
        <v>60</v>
      </c>
      <c r="AF13" s="355"/>
      <c r="AG13" s="355"/>
      <c r="AH13" s="355" t="s">
        <v>61</v>
      </c>
      <c r="AI13" s="355"/>
      <c r="AJ13" s="355"/>
      <c r="AK13" s="355" t="s">
        <v>62</v>
      </c>
      <c r="AL13" s="355"/>
      <c r="AM13" s="355"/>
      <c r="AN13" s="355" t="s">
        <v>63</v>
      </c>
      <c r="AO13" s="355"/>
      <c r="AP13" s="355"/>
      <c r="AQ13" s="355" t="s">
        <v>64</v>
      </c>
      <c r="AR13" s="355"/>
      <c r="AS13" s="355"/>
      <c r="AT13" s="355" t="s">
        <v>65</v>
      </c>
      <c r="AU13" s="355"/>
      <c r="AV13" s="355"/>
      <c r="AW13" s="355" t="s">
        <v>66</v>
      </c>
      <c r="AX13" s="355"/>
      <c r="AY13" s="355"/>
      <c r="AZ13" s="355" t="s">
        <v>67</v>
      </c>
      <c r="BA13" s="355"/>
      <c r="BB13" s="355"/>
      <c r="BC13" s="79"/>
      <c r="BE13" s="105" t="s">
        <v>68</v>
      </c>
      <c r="BF13" s="105" t="s">
        <v>69</v>
      </c>
      <c r="BG13" s="258" t="s">
        <v>70</v>
      </c>
      <c r="BH13" s="258" t="s">
        <v>71</v>
      </c>
      <c r="BI13" s="105" t="s">
        <v>72</v>
      </c>
      <c r="BJ13" s="105" t="s">
        <v>73</v>
      </c>
      <c r="BM13" s="262"/>
      <c r="BN13" s="266" t="s">
        <v>74</v>
      </c>
      <c r="BO13" s="267">
        <v>95</v>
      </c>
      <c r="BP13" s="267" t="s">
        <v>75</v>
      </c>
      <c r="BQ13" s="268">
        <v>1.83</v>
      </c>
      <c r="BR13" s="268">
        <f>30+10</f>
        <v>40</v>
      </c>
      <c r="BS13" s="268">
        <v>0.35</v>
      </c>
      <c r="BT13" s="269">
        <v>16000</v>
      </c>
    </row>
    <row r="14" spans="1:72" ht="13.95" customHeight="1" x14ac:dyDescent="0.3">
      <c r="L14" s="69" t="s">
        <v>76</v>
      </c>
      <c r="M14" s="68" t="s">
        <v>77</v>
      </c>
      <c r="N14" s="69">
        <v>-15</v>
      </c>
      <c r="O14" s="69" t="e">
        <f>VLOOKUP(#REF!,Dennostupne!B3:E81,4,FALSE)</f>
        <v>#REF!</v>
      </c>
      <c r="Q14" s="80" t="s">
        <v>78</v>
      </c>
      <c r="R14" s="81">
        <f>SUM(S17:BB17)</f>
        <v>4432.3999999999996</v>
      </c>
      <c r="S14" s="356">
        <v>31</v>
      </c>
      <c r="T14" s="356"/>
      <c r="U14" s="356"/>
      <c r="V14" s="356">
        <v>28</v>
      </c>
      <c r="W14" s="356"/>
      <c r="X14" s="356"/>
      <c r="Y14" s="356">
        <v>31</v>
      </c>
      <c r="Z14" s="356"/>
      <c r="AA14" s="356"/>
      <c r="AB14" s="356">
        <v>30</v>
      </c>
      <c r="AC14" s="356"/>
      <c r="AD14" s="356"/>
      <c r="AE14" s="356">
        <v>5</v>
      </c>
      <c r="AF14" s="356"/>
      <c r="AG14" s="356"/>
      <c r="AH14" s="356">
        <v>0</v>
      </c>
      <c r="AI14" s="356"/>
      <c r="AJ14" s="356"/>
      <c r="AK14" s="356">
        <v>0</v>
      </c>
      <c r="AL14" s="356"/>
      <c r="AM14" s="356"/>
      <c r="AN14" s="356">
        <v>0</v>
      </c>
      <c r="AO14" s="356"/>
      <c r="AP14" s="356"/>
      <c r="AQ14" s="356">
        <v>5</v>
      </c>
      <c r="AR14" s="356"/>
      <c r="AS14" s="356"/>
      <c r="AT14" s="356">
        <v>31</v>
      </c>
      <c r="AU14" s="356"/>
      <c r="AV14" s="356"/>
      <c r="AW14" s="356">
        <v>30</v>
      </c>
      <c r="AX14" s="356"/>
      <c r="AY14" s="356"/>
      <c r="AZ14" s="356">
        <v>31</v>
      </c>
      <c r="BA14" s="356"/>
      <c r="BB14" s="356"/>
      <c r="BC14" s="79" t="s">
        <v>79</v>
      </c>
      <c r="BE14" s="104" t="s">
        <v>56</v>
      </c>
      <c r="BF14" s="104">
        <v>31</v>
      </c>
      <c r="BG14" s="104">
        <v>20</v>
      </c>
      <c r="BH14" s="104">
        <v>-1.8</v>
      </c>
      <c r="BI14" s="104">
        <f>BF14*(BG14-BH14)</f>
        <v>675.80000000000007</v>
      </c>
      <c r="BJ14" s="104">
        <f>BI14*0.024</f>
        <v>16.219200000000001</v>
      </c>
      <c r="BM14" s="262"/>
      <c r="BN14" s="266" t="s">
        <v>80</v>
      </c>
      <c r="BO14" s="267">
        <v>50</v>
      </c>
      <c r="BP14" s="267" t="s">
        <v>81</v>
      </c>
      <c r="BQ14" s="268">
        <v>4.6500000000000004</v>
      </c>
      <c r="BR14" s="268">
        <v>4.32</v>
      </c>
      <c r="BS14" s="268">
        <v>0.03</v>
      </c>
      <c r="BT14" s="269">
        <v>6000</v>
      </c>
    </row>
    <row r="15" spans="1:72" ht="13.95" customHeight="1" x14ac:dyDescent="0.3">
      <c r="L15" s="69" t="s">
        <v>82</v>
      </c>
      <c r="M15" s="243" t="s">
        <v>83</v>
      </c>
      <c r="N15" s="70" t="s">
        <v>84</v>
      </c>
      <c r="O15" s="71" t="e">
        <f>VLOOKUP(#REF!,Dennostupne!B3:F81,5,FALSE)</f>
        <v>#REF!</v>
      </c>
      <c r="Q15" s="80" t="s">
        <v>85</v>
      </c>
      <c r="R15" s="81">
        <f>SUM(S18:BB18)</f>
        <v>720</v>
      </c>
      <c r="S15" s="355">
        <f>S14-U15</f>
        <v>22.142857142857142</v>
      </c>
      <c r="T15" s="356"/>
      <c r="U15" s="78">
        <f>S14/7*2</f>
        <v>8.8571428571428577</v>
      </c>
      <c r="V15" s="355">
        <f>V14-X15</f>
        <v>20</v>
      </c>
      <c r="W15" s="355"/>
      <c r="X15" s="78">
        <f>V14/7*2</f>
        <v>8</v>
      </c>
      <c r="Y15" s="355">
        <f>Y14-AA15</f>
        <v>22.142857142857142</v>
      </c>
      <c r="Z15" s="356"/>
      <c r="AA15" s="78">
        <f>Y14/7*2</f>
        <v>8.8571428571428577</v>
      </c>
      <c r="AB15" s="355">
        <f>AB14-AD15</f>
        <v>21.428571428571431</v>
      </c>
      <c r="AC15" s="356"/>
      <c r="AD15" s="78">
        <f>AB14/7*2</f>
        <v>8.5714285714285712</v>
      </c>
      <c r="AE15" s="78">
        <f>AE14-AG15</f>
        <v>3.5714285714285712</v>
      </c>
      <c r="AF15" s="242"/>
      <c r="AG15" s="78">
        <f>AE14/7*2</f>
        <v>1.4285714285714286</v>
      </c>
      <c r="AH15" s="355">
        <f>AH14-AJ15</f>
        <v>0</v>
      </c>
      <c r="AI15" s="356"/>
      <c r="AJ15" s="78">
        <f>AH14/7*2</f>
        <v>0</v>
      </c>
      <c r="AK15" s="355">
        <f>AK14-AM15</f>
        <v>0</v>
      </c>
      <c r="AL15" s="356"/>
      <c r="AM15" s="78">
        <f>AK14/7*2</f>
        <v>0</v>
      </c>
      <c r="AN15" s="355">
        <f>AN14-AP15</f>
        <v>0</v>
      </c>
      <c r="AO15" s="356"/>
      <c r="AP15" s="78">
        <f>AN14/7*2</f>
        <v>0</v>
      </c>
      <c r="AQ15" s="78">
        <f>AQ14-AS15</f>
        <v>3.5714285714285712</v>
      </c>
      <c r="AR15" s="242"/>
      <c r="AS15" s="78">
        <f>AQ14/7*2</f>
        <v>1.4285714285714286</v>
      </c>
      <c r="AT15" s="355">
        <f>AT14-AV15</f>
        <v>22.142857142857142</v>
      </c>
      <c r="AU15" s="356"/>
      <c r="AV15" s="78">
        <f>AT14/7*2</f>
        <v>8.8571428571428577</v>
      </c>
      <c r="AW15" s="355">
        <f>AW14-AY15</f>
        <v>21.428571428571431</v>
      </c>
      <c r="AX15" s="356"/>
      <c r="AY15" s="78">
        <f>AW14/7*2</f>
        <v>8.5714285714285712</v>
      </c>
      <c r="AZ15" s="355">
        <f>AZ14-BB15</f>
        <v>22.142857142857142</v>
      </c>
      <c r="BA15" s="356"/>
      <c r="BB15" s="78">
        <f>AZ14/7*2</f>
        <v>8.8571428571428577</v>
      </c>
      <c r="BC15" s="79" t="s">
        <v>86</v>
      </c>
      <c r="BE15" s="104" t="s">
        <v>57</v>
      </c>
      <c r="BF15" s="104">
        <v>28</v>
      </c>
      <c r="BG15" s="104">
        <v>20</v>
      </c>
      <c r="BH15" s="104">
        <v>0.4</v>
      </c>
      <c r="BI15" s="104">
        <f t="shared" ref="BI15:BI20" si="0">BF15*(BG15-BH15)</f>
        <v>548.80000000000007</v>
      </c>
      <c r="BJ15" s="104">
        <f t="shared" ref="BJ15:BJ20" si="1">BI15*0.024</f>
        <v>13.171200000000002</v>
      </c>
      <c r="BM15" s="262"/>
      <c r="BN15" s="266" t="s">
        <v>87</v>
      </c>
      <c r="BO15" s="267">
        <v>150</v>
      </c>
      <c r="BP15" s="267" t="s">
        <v>88</v>
      </c>
      <c r="BQ15" s="268">
        <v>34.85</v>
      </c>
      <c r="BR15" s="268">
        <v>66.39</v>
      </c>
      <c r="BS15" s="268">
        <v>0.53</v>
      </c>
      <c r="BT15" s="269">
        <v>14000</v>
      </c>
    </row>
    <row r="16" spans="1:72" ht="13.95" customHeight="1" x14ac:dyDescent="0.3">
      <c r="L16" s="69" t="s">
        <v>89</v>
      </c>
      <c r="M16" s="68" t="s">
        <v>90</v>
      </c>
      <c r="N16" s="69">
        <v>20</v>
      </c>
      <c r="O16" s="72">
        <v>20</v>
      </c>
      <c r="Q16" s="80" t="s">
        <v>91</v>
      </c>
      <c r="R16" s="242"/>
      <c r="S16" s="242">
        <v>16</v>
      </c>
      <c r="T16" s="242">
        <f>24-S16</f>
        <v>8</v>
      </c>
      <c r="U16" s="242">
        <v>24</v>
      </c>
      <c r="V16" s="242">
        <v>16</v>
      </c>
      <c r="W16" s="242">
        <f>24-V16</f>
        <v>8</v>
      </c>
      <c r="X16" s="242">
        <v>24</v>
      </c>
      <c r="Y16" s="242">
        <v>16</v>
      </c>
      <c r="Z16" s="242">
        <f>24-Y16</f>
        <v>8</v>
      </c>
      <c r="AA16" s="242">
        <v>24</v>
      </c>
      <c r="AB16" s="242">
        <v>16</v>
      </c>
      <c r="AC16" s="242">
        <f>24-AB16</f>
        <v>8</v>
      </c>
      <c r="AD16" s="242">
        <v>24</v>
      </c>
      <c r="AE16" s="242">
        <v>16</v>
      </c>
      <c r="AF16" s="242">
        <f>24-AE16</f>
        <v>8</v>
      </c>
      <c r="AG16" s="242">
        <v>24</v>
      </c>
      <c r="AH16" s="242">
        <v>16</v>
      </c>
      <c r="AI16" s="242">
        <f>24-AH16</f>
        <v>8</v>
      </c>
      <c r="AJ16" s="242">
        <v>24</v>
      </c>
      <c r="AK16" s="242">
        <v>16</v>
      </c>
      <c r="AL16" s="242">
        <f>24-AK16</f>
        <v>8</v>
      </c>
      <c r="AM16" s="242">
        <v>24</v>
      </c>
      <c r="AN16" s="242">
        <v>16</v>
      </c>
      <c r="AO16" s="242">
        <f>24-AN16</f>
        <v>8</v>
      </c>
      <c r="AP16" s="242">
        <v>24</v>
      </c>
      <c r="AQ16" s="242">
        <v>16</v>
      </c>
      <c r="AR16" s="242">
        <f>24-AQ16</f>
        <v>8</v>
      </c>
      <c r="AS16" s="242">
        <v>24</v>
      </c>
      <c r="AT16" s="242">
        <v>16</v>
      </c>
      <c r="AU16" s="242">
        <f>24-AT16</f>
        <v>8</v>
      </c>
      <c r="AV16" s="242">
        <v>24</v>
      </c>
      <c r="AW16" s="242">
        <v>16</v>
      </c>
      <c r="AX16" s="242">
        <f>24-AW16</f>
        <v>8</v>
      </c>
      <c r="AY16" s="242">
        <v>24</v>
      </c>
      <c r="AZ16" s="242">
        <v>16</v>
      </c>
      <c r="BA16" s="242">
        <f>24-AZ16</f>
        <v>8</v>
      </c>
      <c r="BB16" s="242">
        <v>24</v>
      </c>
      <c r="BC16" s="77" t="s">
        <v>92</v>
      </c>
      <c r="BE16" s="104" t="s">
        <v>58</v>
      </c>
      <c r="BF16" s="104">
        <v>31</v>
      </c>
      <c r="BG16" s="104">
        <v>20</v>
      </c>
      <c r="BH16" s="104">
        <v>4.5999999999999996</v>
      </c>
      <c r="BI16" s="104">
        <f t="shared" si="0"/>
        <v>477.40000000000003</v>
      </c>
      <c r="BJ16" s="104">
        <f t="shared" si="1"/>
        <v>11.457600000000001</v>
      </c>
      <c r="BM16" s="262"/>
      <c r="BN16" s="266" t="s">
        <v>93</v>
      </c>
      <c r="BO16" s="267">
        <v>120</v>
      </c>
      <c r="BP16" s="267" t="s">
        <v>94</v>
      </c>
      <c r="BQ16" s="268">
        <v>18.260000000000002</v>
      </c>
      <c r="BR16" s="268">
        <v>116.18</v>
      </c>
      <c r="BS16" s="268">
        <v>0.18</v>
      </c>
      <c r="BT16" s="269">
        <v>25000</v>
      </c>
    </row>
    <row r="17" spans="12:78" ht="13.95" customHeight="1" x14ac:dyDescent="0.3">
      <c r="L17" s="69" t="s">
        <v>95</v>
      </c>
      <c r="M17" s="68" t="s">
        <v>96</v>
      </c>
      <c r="N17" s="69">
        <v>3.86</v>
      </c>
      <c r="O17" s="73">
        <f>U8</f>
        <v>0</v>
      </c>
      <c r="Q17" s="80" t="s">
        <v>97</v>
      </c>
      <c r="R17" s="82">
        <f>SUM(S17:BB17)</f>
        <v>4432.3999999999996</v>
      </c>
      <c r="S17" s="81">
        <f>(S18-S19)*S15/24*S16</f>
        <v>379.38095238095235</v>
      </c>
      <c r="T17" s="81">
        <f>(T18-T19)*S15/24*T16</f>
        <v>189.69047619047618</v>
      </c>
      <c r="U17" s="81">
        <f>(U18-U19)*U15/24*U16</f>
        <v>227.62857142857143</v>
      </c>
      <c r="V17" s="81">
        <f>(V18-V19)*V15/24*V16</f>
        <v>321.33333333333331</v>
      </c>
      <c r="W17" s="81">
        <f>(W18-W19)*V15/24*W16</f>
        <v>160.66666666666666</v>
      </c>
      <c r="X17" s="81">
        <f>(X18-X19)*X15/24*X16</f>
        <v>192.8</v>
      </c>
      <c r="Y17" s="81">
        <f>(Y18-Y19)*Y15/24*Y16</f>
        <v>301.14285714285711</v>
      </c>
      <c r="Z17" s="81">
        <f>(Z18-Z19)*Y15/24*Z16</f>
        <v>150.57142857142856</v>
      </c>
      <c r="AA17" s="81">
        <f>(AA18-AA19)*AA15/24*AA16</f>
        <v>180.68571428571428</v>
      </c>
      <c r="AB17" s="81">
        <f>(AB18-AB19)*AB15/24*AB16</f>
        <v>217.14285714285714</v>
      </c>
      <c r="AC17" s="81">
        <f>(AC18-AC19)*AB15/24*AC16</f>
        <v>108.57142857142857</v>
      </c>
      <c r="AD17" s="81">
        <f>(AD18-AD19)*AD15/24*AD16</f>
        <v>130.28571428571428</v>
      </c>
      <c r="AE17" s="81">
        <f>(AE18-AE19)*AE15/24*AE16</f>
        <v>24.285714285714281</v>
      </c>
      <c r="AF17" s="81">
        <f>(AF18-AF19)*AE15/24*AF16</f>
        <v>12.142857142857141</v>
      </c>
      <c r="AG17" s="81">
        <f>(AG18-AG19)*AG15/24*AG16</f>
        <v>14.571428571428569</v>
      </c>
      <c r="AH17" s="81">
        <f>(AH18-AH19)*AH15/24*AH16</f>
        <v>0</v>
      </c>
      <c r="AI17" s="81">
        <f>(AI18-AI19)*AH15/24*AI16</f>
        <v>0</v>
      </c>
      <c r="AJ17" s="81">
        <f>(AJ18-AJ19)*AJ15/24*AJ16</f>
        <v>0</v>
      </c>
      <c r="AK17" s="81">
        <f>(AK18-AK19)*AK15/24*AK16</f>
        <v>0</v>
      </c>
      <c r="AL17" s="81">
        <f>(AL18-AL19)*AK15/24*AL16</f>
        <v>0</v>
      </c>
      <c r="AM17" s="81">
        <f>(AM18-AM19)*AM15/24*AM16</f>
        <v>0</v>
      </c>
      <c r="AN17" s="81">
        <f>(AN18-AN19)*AN15/24*AN16</f>
        <v>0</v>
      </c>
      <c r="AO17" s="81">
        <f>(AO18-AO19)*AN15/24*AO16</f>
        <v>0</v>
      </c>
      <c r="AP17" s="81">
        <f>(AP18-AP19)*AP15/24*AP16</f>
        <v>0</v>
      </c>
      <c r="AQ17" s="81">
        <f>(AQ18-AQ19)*AQ15/24*AQ16</f>
        <v>21.904761904761902</v>
      </c>
      <c r="AR17" s="81">
        <f>(AR18-AR19)*AQ15/24*AR16</f>
        <v>10.952380952380951</v>
      </c>
      <c r="AS17" s="81">
        <f>(AS18-AS19)*AS15/24*AS16</f>
        <v>13.142857142857142</v>
      </c>
      <c r="AT17" s="81">
        <f>(AT18-AT19)*AT15/24*AT16</f>
        <v>212.57142857142856</v>
      </c>
      <c r="AU17" s="81">
        <f>(AU18-AU19)*AT15/24*AU16</f>
        <v>106.28571428571428</v>
      </c>
      <c r="AV17" s="81">
        <f>(AV18-AV19)*AV15/24*AV16</f>
        <v>127.54285714285716</v>
      </c>
      <c r="AW17" s="81">
        <f>(AW18-AW19)*AW15/24*AW16</f>
        <v>277.14285714285717</v>
      </c>
      <c r="AX17" s="81">
        <f>(AX18-AX19)*AW15/24*AX16</f>
        <v>138.57142857142858</v>
      </c>
      <c r="AY17" s="81">
        <f>(AY18-AY19)*AY15/24*AY16</f>
        <v>166.28571428571428</v>
      </c>
      <c r="AZ17" s="81">
        <f>(AZ18-AZ19)*AZ15/24*AZ16</f>
        <v>355.76190476190476</v>
      </c>
      <c r="BA17" s="81">
        <f>(BA18-BA19)*AZ15/24*BA16</f>
        <v>177.88095238095238</v>
      </c>
      <c r="BB17" s="81">
        <f>(BB18-BB19)*BB15/24*BB16</f>
        <v>213.45714285714291</v>
      </c>
      <c r="BC17" s="79" t="s">
        <v>98</v>
      </c>
      <c r="BE17" s="104" t="s">
        <v>59</v>
      </c>
      <c r="BF17" s="104">
        <v>30</v>
      </c>
      <c r="BG17" s="104">
        <v>20</v>
      </c>
      <c r="BH17" s="104">
        <v>9.9</v>
      </c>
      <c r="BI17" s="104">
        <f t="shared" si="0"/>
        <v>303</v>
      </c>
      <c r="BJ17" s="104">
        <f t="shared" si="1"/>
        <v>7.2720000000000002</v>
      </c>
      <c r="BM17" s="262"/>
      <c r="BN17" s="266" t="s">
        <v>99</v>
      </c>
      <c r="BO17" s="267">
        <v>50</v>
      </c>
      <c r="BP17" s="267" t="s">
        <v>100</v>
      </c>
      <c r="BQ17" s="268">
        <v>8.6300000000000008</v>
      </c>
      <c r="BR17" s="268">
        <v>0</v>
      </c>
      <c r="BS17" s="268">
        <v>0.03</v>
      </c>
      <c r="BT17" s="269">
        <v>12000</v>
      </c>
    </row>
    <row r="18" spans="12:78" ht="13.95" customHeight="1" x14ac:dyDescent="0.35">
      <c r="L18" s="69" t="s">
        <v>101</v>
      </c>
      <c r="M18" s="243" t="s">
        <v>102</v>
      </c>
      <c r="N18" s="69">
        <v>212</v>
      </c>
      <c r="O18" s="74">
        <f>U7</f>
        <v>0</v>
      </c>
      <c r="Q18" s="80" t="s">
        <v>103</v>
      </c>
      <c r="R18" s="242"/>
      <c r="S18" s="242">
        <v>20</v>
      </c>
      <c r="T18" s="242">
        <f>S18-$X$91</f>
        <v>20</v>
      </c>
      <c r="U18" s="242">
        <f>T18</f>
        <v>20</v>
      </c>
      <c r="V18" s="242">
        <v>20</v>
      </c>
      <c r="W18" s="242">
        <f>V18-$X$91</f>
        <v>20</v>
      </c>
      <c r="X18" s="242">
        <f>W18</f>
        <v>20</v>
      </c>
      <c r="Y18" s="242">
        <v>20</v>
      </c>
      <c r="Z18" s="242">
        <f>Y18-$X$91</f>
        <v>20</v>
      </c>
      <c r="AA18" s="242">
        <f>Z18</f>
        <v>20</v>
      </c>
      <c r="AB18" s="242">
        <v>20</v>
      </c>
      <c r="AC18" s="242">
        <f>AB18-$X$91</f>
        <v>20</v>
      </c>
      <c r="AD18" s="242">
        <f>AC18</f>
        <v>20</v>
      </c>
      <c r="AE18" s="242">
        <v>20</v>
      </c>
      <c r="AF18" s="242">
        <f>AE18-$X$91</f>
        <v>20</v>
      </c>
      <c r="AG18" s="242">
        <f>AF18</f>
        <v>20</v>
      </c>
      <c r="AH18" s="242">
        <v>20</v>
      </c>
      <c r="AI18" s="242">
        <f>AH18-$X$91</f>
        <v>20</v>
      </c>
      <c r="AJ18" s="242">
        <f>AI18</f>
        <v>20</v>
      </c>
      <c r="AK18" s="242">
        <v>20</v>
      </c>
      <c r="AL18" s="242">
        <f>AK18-$X$91</f>
        <v>20</v>
      </c>
      <c r="AM18" s="242">
        <f>AL18</f>
        <v>20</v>
      </c>
      <c r="AN18" s="242">
        <v>20</v>
      </c>
      <c r="AO18" s="242">
        <f>AN18-$X$91</f>
        <v>20</v>
      </c>
      <c r="AP18" s="242">
        <f>AO18</f>
        <v>20</v>
      </c>
      <c r="AQ18" s="242">
        <v>20</v>
      </c>
      <c r="AR18" s="242">
        <f>AQ18-$X$91</f>
        <v>20</v>
      </c>
      <c r="AS18" s="242">
        <f>AR18</f>
        <v>20</v>
      </c>
      <c r="AT18" s="242">
        <v>20</v>
      </c>
      <c r="AU18" s="242">
        <f>AT18-$X$91</f>
        <v>20</v>
      </c>
      <c r="AV18" s="242">
        <f>AU18</f>
        <v>20</v>
      </c>
      <c r="AW18" s="242">
        <v>20</v>
      </c>
      <c r="AX18" s="242">
        <f>AW18-$X$91</f>
        <v>20</v>
      </c>
      <c r="AY18" s="242">
        <f>AX18</f>
        <v>20</v>
      </c>
      <c r="AZ18" s="242">
        <v>20</v>
      </c>
      <c r="BA18" s="242">
        <f>AZ18-$X$91</f>
        <v>20</v>
      </c>
      <c r="BB18" s="242">
        <f>BA18</f>
        <v>20</v>
      </c>
      <c r="BC18" s="79" t="s">
        <v>104</v>
      </c>
      <c r="BE18" s="104" t="s">
        <v>65</v>
      </c>
      <c r="BF18" s="104">
        <v>31</v>
      </c>
      <c r="BG18" s="104">
        <v>20</v>
      </c>
      <c r="BH18" s="104">
        <v>9.8000000000000007</v>
      </c>
      <c r="BI18" s="104">
        <f t="shared" si="0"/>
        <v>316.2</v>
      </c>
      <c r="BJ18" s="104">
        <f t="shared" si="1"/>
        <v>7.5888</v>
      </c>
      <c r="BM18" s="262"/>
      <c r="BN18" s="266" t="s">
        <v>105</v>
      </c>
      <c r="BO18" s="267">
        <v>75</v>
      </c>
      <c r="BP18" s="267" t="s">
        <v>106</v>
      </c>
      <c r="BQ18" s="268">
        <v>39.83</v>
      </c>
      <c r="BR18" s="268">
        <v>82.98</v>
      </c>
      <c r="BS18" s="268">
        <v>0.16</v>
      </c>
      <c r="BT18" s="269">
        <v>12000</v>
      </c>
    </row>
    <row r="19" spans="12:78" ht="13.95" customHeight="1" x14ac:dyDescent="0.35">
      <c r="L19" s="69" t="s">
        <v>107</v>
      </c>
      <c r="M19" s="243" t="s">
        <v>108</v>
      </c>
      <c r="N19" s="69">
        <v>3421.5</v>
      </c>
      <c r="O19" s="72">
        <f>U9</f>
        <v>0</v>
      </c>
      <c r="Q19" s="80" t="s">
        <v>109</v>
      </c>
      <c r="R19" s="78"/>
      <c r="S19" s="78">
        <v>-5.7</v>
      </c>
      <c r="T19" s="78">
        <f>S19</f>
        <v>-5.7</v>
      </c>
      <c r="U19" s="78">
        <f>S19</f>
        <v>-5.7</v>
      </c>
      <c r="V19" s="78">
        <v>-4.0999999999999996</v>
      </c>
      <c r="W19" s="78">
        <f>V19</f>
        <v>-4.0999999999999996</v>
      </c>
      <c r="X19" s="78">
        <f>V19</f>
        <v>-4.0999999999999996</v>
      </c>
      <c r="Y19" s="78">
        <v>-0.4</v>
      </c>
      <c r="Z19" s="78">
        <f>Y19</f>
        <v>-0.4</v>
      </c>
      <c r="AA19" s="78">
        <f>Y19</f>
        <v>-0.4</v>
      </c>
      <c r="AB19" s="78">
        <v>4.8</v>
      </c>
      <c r="AC19" s="78">
        <f>AB19</f>
        <v>4.8</v>
      </c>
      <c r="AD19" s="78">
        <f>AB19</f>
        <v>4.8</v>
      </c>
      <c r="AE19" s="78">
        <v>9.8000000000000007</v>
      </c>
      <c r="AF19" s="78">
        <f>AE19</f>
        <v>9.8000000000000007</v>
      </c>
      <c r="AG19" s="78">
        <f>AE19</f>
        <v>9.8000000000000007</v>
      </c>
      <c r="AH19" s="78">
        <v>12.5</v>
      </c>
      <c r="AI19" s="78">
        <f>AH19</f>
        <v>12.5</v>
      </c>
      <c r="AJ19" s="78">
        <f>AH19</f>
        <v>12.5</v>
      </c>
      <c r="AK19" s="78">
        <v>14</v>
      </c>
      <c r="AL19" s="78">
        <f>AK19</f>
        <v>14</v>
      </c>
      <c r="AM19" s="78">
        <f>AK19</f>
        <v>14</v>
      </c>
      <c r="AN19" s="78">
        <v>13.4</v>
      </c>
      <c r="AO19" s="78">
        <f>AN19</f>
        <v>13.4</v>
      </c>
      <c r="AP19" s="78">
        <f>AN19</f>
        <v>13.4</v>
      </c>
      <c r="AQ19" s="78">
        <v>10.8</v>
      </c>
      <c r="AR19" s="78">
        <f>AQ19</f>
        <v>10.8</v>
      </c>
      <c r="AS19" s="78">
        <f>AQ19</f>
        <v>10.8</v>
      </c>
      <c r="AT19" s="78">
        <v>5.6</v>
      </c>
      <c r="AU19" s="78">
        <f>AT19</f>
        <v>5.6</v>
      </c>
      <c r="AV19" s="78">
        <f>AT19</f>
        <v>5.6</v>
      </c>
      <c r="AW19" s="78">
        <v>0.6</v>
      </c>
      <c r="AX19" s="78">
        <f>AW19</f>
        <v>0.6</v>
      </c>
      <c r="AY19" s="78">
        <f>AW19</f>
        <v>0.6</v>
      </c>
      <c r="AZ19" s="78">
        <v>-4.0999999999999996</v>
      </c>
      <c r="BA19" s="78">
        <f>AZ19</f>
        <v>-4.0999999999999996</v>
      </c>
      <c r="BB19" s="78">
        <f>AZ19</f>
        <v>-4.0999999999999996</v>
      </c>
      <c r="BC19" s="83" t="s">
        <v>104</v>
      </c>
      <c r="BE19" s="104" t="s">
        <v>110</v>
      </c>
      <c r="BF19" s="104">
        <v>30</v>
      </c>
      <c r="BG19" s="104">
        <v>20</v>
      </c>
      <c r="BH19" s="104">
        <v>4.3</v>
      </c>
      <c r="BI19" s="104">
        <f t="shared" si="0"/>
        <v>471</v>
      </c>
      <c r="BJ19" s="104">
        <f t="shared" si="1"/>
        <v>11.304</v>
      </c>
      <c r="BM19" s="262"/>
      <c r="BN19" s="266" t="s">
        <v>111</v>
      </c>
      <c r="BO19" s="267">
        <v>50</v>
      </c>
      <c r="BP19" s="267" t="s">
        <v>112</v>
      </c>
      <c r="BQ19" s="268">
        <v>9.9600000000000009</v>
      </c>
      <c r="BR19" s="268">
        <v>0</v>
      </c>
      <c r="BS19" s="268">
        <v>0.12</v>
      </c>
      <c r="BT19" s="269">
        <v>24000</v>
      </c>
    </row>
    <row r="20" spans="12:78" ht="13.95" customHeight="1" x14ac:dyDescent="0.35">
      <c r="Q20" s="80" t="s">
        <v>113</v>
      </c>
      <c r="R20" s="242"/>
      <c r="S20" s="242">
        <v>2.8</v>
      </c>
      <c r="T20" s="242">
        <v>2.8</v>
      </c>
      <c r="U20" s="242">
        <v>2.8</v>
      </c>
      <c r="V20" s="242">
        <v>2.8</v>
      </c>
      <c r="W20" s="242">
        <v>2.8</v>
      </c>
      <c r="X20" s="242">
        <v>2.8</v>
      </c>
      <c r="Y20" s="242">
        <v>2.8</v>
      </c>
      <c r="Z20" s="242">
        <v>2.8</v>
      </c>
      <c r="AA20" s="242">
        <v>2.8</v>
      </c>
      <c r="AB20" s="242">
        <v>2.8</v>
      </c>
      <c r="AC20" s="242">
        <v>2.8</v>
      </c>
      <c r="AD20" s="242">
        <v>2.8</v>
      </c>
      <c r="AE20" s="242">
        <v>2.8</v>
      </c>
      <c r="AF20" s="242">
        <v>2.8</v>
      </c>
      <c r="AG20" s="242">
        <v>2.8</v>
      </c>
      <c r="AH20" s="242">
        <v>2.8</v>
      </c>
      <c r="AI20" s="242">
        <v>2.8</v>
      </c>
      <c r="AJ20" s="242">
        <v>2.8</v>
      </c>
      <c r="AK20" s="242">
        <v>2.8</v>
      </c>
      <c r="AL20" s="242">
        <v>2.8</v>
      </c>
      <c r="AM20" s="242">
        <v>2.8</v>
      </c>
      <c r="AN20" s="242">
        <v>2.8</v>
      </c>
      <c r="AO20" s="242">
        <v>2.8</v>
      </c>
      <c r="AP20" s="242">
        <v>2.8</v>
      </c>
      <c r="AQ20" s="242">
        <v>2.8</v>
      </c>
      <c r="AR20" s="242">
        <v>2.8</v>
      </c>
      <c r="AS20" s="242">
        <v>2.8</v>
      </c>
      <c r="AT20" s="242">
        <v>2.8</v>
      </c>
      <c r="AU20" s="242">
        <v>2.8</v>
      </c>
      <c r="AV20" s="242">
        <v>2.8</v>
      </c>
      <c r="AW20" s="242">
        <v>2.8</v>
      </c>
      <c r="AX20" s="242">
        <v>2.8</v>
      </c>
      <c r="AY20" s="242">
        <v>2.8</v>
      </c>
      <c r="AZ20" s="242">
        <v>2.8</v>
      </c>
      <c r="BA20" s="242">
        <v>2.8</v>
      </c>
      <c r="BB20" s="242">
        <v>2.8</v>
      </c>
      <c r="BC20" s="79" t="s">
        <v>114</v>
      </c>
      <c r="BE20" s="104" t="s">
        <v>67</v>
      </c>
      <c r="BF20" s="104">
        <v>31</v>
      </c>
      <c r="BG20" s="104">
        <v>20</v>
      </c>
      <c r="BH20" s="104">
        <v>-0.3</v>
      </c>
      <c r="BI20" s="104">
        <f t="shared" si="0"/>
        <v>629.30000000000007</v>
      </c>
      <c r="BJ20" s="104">
        <f t="shared" si="1"/>
        <v>15.103200000000001</v>
      </c>
      <c r="BM20" s="262"/>
      <c r="BN20" s="266" t="s">
        <v>115</v>
      </c>
      <c r="BO20" s="267">
        <v>70</v>
      </c>
      <c r="BP20" s="267" t="s">
        <v>116</v>
      </c>
      <c r="BQ20" s="268">
        <v>99.58</v>
      </c>
      <c r="BR20" s="268">
        <v>132.78</v>
      </c>
      <c r="BS20" s="268">
        <v>1.17</v>
      </c>
      <c r="BT20" s="269">
        <v>100000</v>
      </c>
    </row>
    <row r="21" spans="12:78" ht="13.95" customHeight="1" x14ac:dyDescent="0.35">
      <c r="L21" s="75" t="s">
        <v>117</v>
      </c>
      <c r="M21" s="76" t="s">
        <v>118</v>
      </c>
      <c r="BE21" s="133" t="s">
        <v>119</v>
      </c>
      <c r="BF21" s="133">
        <f>SUM(BF14:BF20)</f>
        <v>212</v>
      </c>
      <c r="BG21" s="133">
        <v>20</v>
      </c>
      <c r="BH21" s="133">
        <f>SUM(BH14:BH20)</f>
        <v>26.9</v>
      </c>
      <c r="BI21" s="133">
        <f>SUM(BI14:BI20)</f>
        <v>3421.5000000000005</v>
      </c>
      <c r="BJ21" s="104"/>
      <c r="BN21" s="266" t="s">
        <v>120</v>
      </c>
      <c r="BO21" s="267">
        <v>22</v>
      </c>
      <c r="BP21" s="267" t="s">
        <v>121</v>
      </c>
      <c r="BQ21" s="268">
        <v>11.62</v>
      </c>
      <c r="BR21" s="268">
        <v>0</v>
      </c>
      <c r="BS21" s="268">
        <v>0.05</v>
      </c>
      <c r="BT21" s="269">
        <v>16000</v>
      </c>
    </row>
    <row r="22" spans="12:78" ht="13.95" customHeight="1" x14ac:dyDescent="0.3">
      <c r="L22" s="77" t="s">
        <v>122</v>
      </c>
      <c r="M22" s="242">
        <v>1.8</v>
      </c>
      <c r="BM22" s="263"/>
    </row>
    <row r="23" spans="12:78" ht="13.95" customHeight="1" x14ac:dyDescent="0.3">
      <c r="L23" s="77" t="s">
        <v>123</v>
      </c>
      <c r="M23" s="242">
        <v>1.4</v>
      </c>
      <c r="BM23" s="264"/>
      <c r="BN23" s="270" t="s">
        <v>124</v>
      </c>
      <c r="BO23" s="345" t="s">
        <v>125</v>
      </c>
      <c r="BP23" s="345"/>
      <c r="BQ23" s="345"/>
      <c r="BR23" s="345"/>
      <c r="BS23" s="345"/>
      <c r="BT23" s="345"/>
      <c r="BU23" s="345"/>
      <c r="BV23" s="345"/>
      <c r="BW23" s="345"/>
      <c r="BX23" s="345"/>
      <c r="BY23" s="346" t="s">
        <v>126</v>
      </c>
      <c r="BZ23" s="346"/>
    </row>
    <row r="24" spans="12:78" ht="13.95" customHeight="1" x14ac:dyDescent="0.3">
      <c r="L24" s="77" t="s">
        <v>127</v>
      </c>
      <c r="M24" s="78">
        <v>1</v>
      </c>
      <c r="BM24" s="264"/>
      <c r="BN24" s="271" t="s">
        <v>128</v>
      </c>
      <c r="BO24" s="341" t="s">
        <v>128</v>
      </c>
      <c r="BP24" s="341"/>
      <c r="BQ24" s="341"/>
      <c r="BR24" s="341"/>
      <c r="BS24" s="341"/>
      <c r="BT24" s="341"/>
      <c r="BU24" s="341"/>
      <c r="BV24" s="341"/>
      <c r="BW24" s="341"/>
      <c r="BX24" s="341"/>
      <c r="BY24" s="341" t="s">
        <v>128</v>
      </c>
      <c r="BZ24" s="341"/>
    </row>
    <row r="25" spans="12:78" ht="13.95" customHeight="1" x14ac:dyDescent="0.3">
      <c r="L25" s="77" t="s">
        <v>129</v>
      </c>
      <c r="M25" s="242">
        <v>0.5</v>
      </c>
      <c r="BM25" s="264"/>
      <c r="BN25" s="272">
        <f>IF(AND(AM25&gt;0,AV25&gt;0),AP25/AM25/AV25,0)</f>
        <v>0</v>
      </c>
      <c r="BO25" s="29">
        <f>IF($K25="",0,VLOOKUP($K25,$B$28:$R$45,8,FALSE))</f>
        <v>0</v>
      </c>
      <c r="BP25" s="29">
        <f>IF($K25="",0,VLOOKUP($K25,$B$28:$R$45,9,FALSE))</f>
        <v>0</v>
      </c>
      <c r="BQ25" s="29">
        <f>IF($K25="",0,VLOOKUP($K25,$B$28:$R$45,10,FALSE))</f>
        <v>0</v>
      </c>
      <c r="BR25" s="29">
        <f>IF($K25="",0,VLOOKUP($K25,$B$28:$R$45,11,FALSE))</f>
        <v>0</v>
      </c>
      <c r="BS25" s="29">
        <f>IF($K25="",0,VLOOKUP($K25,$B$28:$R$45,12,FALSE))</f>
        <v>0</v>
      </c>
      <c r="BT25" s="29">
        <f>IF($K25="",0,VLOOKUP($K25,$B$28:$R$45,13,FALSE))</f>
        <v>0</v>
      </c>
      <c r="BU25" s="29">
        <f>IF($K25="",0,VLOOKUP($K25,$B$28:$R$45,14,FALSE))</f>
        <v>0</v>
      </c>
      <c r="BV25" s="29">
        <f>IF($K25="",0,VLOOKUP($K25,$B$28:$R$45,15,FALSE))</f>
        <v>0</v>
      </c>
      <c r="BW25" s="29">
        <f>IF($K25="",0,VLOOKUP($K25,$B$28:$R$45,16,FALSE))</f>
        <v>0</v>
      </c>
      <c r="BX25" s="29">
        <f>IF($K25="",0,VLOOKUP($K25,$B$28:$R$45,17,FALSE))</f>
        <v>0</v>
      </c>
      <c r="BY25" s="29">
        <f>IF(BO25&gt;=BN25,BO25,IF(BP25&gt;=BN25,BP25,IF(BQ25&gt;=BN25,BQ25,IF(BR25&gt;=BN25,BR25,IF(BS25&gt;=BN25,BS25,IF(BT25&gt;=BN25,BT25,IF(BU25&gt;=BN25,BU25,IF(BV25&gt;=BN25,BV25,0))))))))</f>
        <v>0</v>
      </c>
      <c r="BZ25" s="29">
        <f>IF(BY25&gt;0,BY25,IF(BW25&gt;BN25,BW25,IF(BX25&gt;BN25,BX25,BN25)))</f>
        <v>0</v>
      </c>
    </row>
    <row r="26" spans="12:78" ht="13.95" customHeight="1" x14ac:dyDescent="0.3">
      <c r="BM26" s="264"/>
      <c r="BN26" s="272">
        <f t="shared" ref="BN26:BN33" si="2">IF(AND(AM26&gt;0,AV26&gt;0),AP26/AM26/AV26,0)</f>
        <v>0</v>
      </c>
      <c r="BO26" s="29">
        <f t="shared" ref="BO26:BO33" si="3">IF($K26="",0,VLOOKUP($K26,$B$28:$R$45,8,FALSE))</f>
        <v>0</v>
      </c>
      <c r="BP26" s="29">
        <f t="shared" ref="BP26:BP33" si="4">IF($K26="",0,VLOOKUP($K26,$B$28:$R$45,9,FALSE))</f>
        <v>0</v>
      </c>
      <c r="BQ26" s="29">
        <f t="shared" ref="BQ26:BQ33" si="5">IF($K26="",0,VLOOKUP($K26,$B$28:$R$45,10,FALSE))</f>
        <v>0</v>
      </c>
      <c r="BR26" s="29">
        <f t="shared" ref="BR26:BR33" si="6">IF($K26="",0,VLOOKUP($K26,$B$28:$R$45,11,FALSE))</f>
        <v>0</v>
      </c>
      <c r="BS26" s="29">
        <f t="shared" ref="BS26:BS33" si="7">IF($K26="",0,VLOOKUP($K26,$B$28:$R$45,12,FALSE))</f>
        <v>0</v>
      </c>
      <c r="BT26" s="29">
        <f t="shared" ref="BT26:BT33" si="8">IF($K26="",0,VLOOKUP($K26,$B$28:$R$45,13,FALSE))</f>
        <v>0</v>
      </c>
      <c r="BU26" s="29">
        <f t="shared" ref="BU26:BU33" si="9">IF($K26="",0,VLOOKUP($K26,$B$28:$R$45,14,FALSE))</f>
        <v>0</v>
      </c>
      <c r="BV26" s="29">
        <f t="shared" ref="BV26:BV33" si="10">IF($K26="",0,VLOOKUP($K26,$B$28:$R$45,15,FALSE))</f>
        <v>0</v>
      </c>
      <c r="BW26" s="29">
        <f t="shared" ref="BW26:BW33" si="11">IF($K26="",0,VLOOKUP($K26,$B$28:$R$45,16,FALSE))</f>
        <v>0</v>
      </c>
      <c r="BX26" s="29">
        <f t="shared" ref="BX26:BX33" si="12">IF($K26="",0,VLOOKUP($K26,$B$28:$R$45,17,FALSE))</f>
        <v>0</v>
      </c>
      <c r="BY26" s="29">
        <f t="shared" ref="BY26:BY33" si="13">IF(BO26&gt;=BN26,BO26,IF(BP26&gt;=BN26,BP26,IF(BQ26&gt;=BN26,BQ26,IF(BR26&gt;=BN26,BR26,IF(BS26&gt;=BN26,BS26,IF(BT26&gt;=BN26,BT26,IF(BU26&gt;=BN26,BU26,IF(BV26&gt;=BN26,BV26,0))))))))</f>
        <v>0</v>
      </c>
      <c r="BZ26" s="29">
        <f t="shared" ref="BZ26:BZ33" si="14">IF(BY26&gt;0,BY26,IF(BW26&gt;BN26,BW26,IF(BX26&gt;BN26,BX26,BN26)))</f>
        <v>0</v>
      </c>
    </row>
    <row r="27" spans="12:78" ht="13.95" customHeight="1" x14ac:dyDescent="0.3">
      <c r="L27" s="102" t="s">
        <v>130</v>
      </c>
      <c r="M27" s="86" t="s">
        <v>131</v>
      </c>
      <c r="BM27" s="264"/>
      <c r="BN27" s="272">
        <f t="shared" si="2"/>
        <v>0</v>
      </c>
      <c r="BO27" s="29">
        <f t="shared" si="3"/>
        <v>0</v>
      </c>
      <c r="BP27" s="29">
        <f t="shared" si="4"/>
        <v>0</v>
      </c>
      <c r="BQ27" s="29">
        <f t="shared" si="5"/>
        <v>0</v>
      </c>
      <c r="BR27" s="29">
        <f t="shared" si="6"/>
        <v>0</v>
      </c>
      <c r="BS27" s="29">
        <f t="shared" si="7"/>
        <v>0</v>
      </c>
      <c r="BT27" s="29">
        <f t="shared" si="8"/>
        <v>0</v>
      </c>
      <c r="BU27" s="29">
        <f t="shared" si="9"/>
        <v>0</v>
      </c>
      <c r="BV27" s="29">
        <f t="shared" si="10"/>
        <v>0</v>
      </c>
      <c r="BW27" s="29">
        <f t="shared" si="11"/>
        <v>0</v>
      </c>
      <c r="BX27" s="29">
        <f t="shared" si="12"/>
        <v>0</v>
      </c>
      <c r="BY27" s="29">
        <f t="shared" si="13"/>
        <v>0</v>
      </c>
      <c r="BZ27" s="29">
        <f t="shared" si="14"/>
        <v>0</v>
      </c>
    </row>
    <row r="28" spans="12:78" ht="13.95" customHeight="1" x14ac:dyDescent="0.3">
      <c r="L28" s="77" t="s">
        <v>132</v>
      </c>
      <c r="M28" s="105">
        <v>1</v>
      </c>
      <c r="BN28" s="272">
        <f t="shared" si="2"/>
        <v>0</v>
      </c>
      <c r="BO28" s="29">
        <f t="shared" si="3"/>
        <v>0</v>
      </c>
      <c r="BP28" s="29">
        <f t="shared" si="4"/>
        <v>0</v>
      </c>
      <c r="BQ28" s="29">
        <f t="shared" si="5"/>
        <v>0</v>
      </c>
      <c r="BR28" s="29">
        <f t="shared" si="6"/>
        <v>0</v>
      </c>
      <c r="BS28" s="29">
        <f t="shared" si="7"/>
        <v>0</v>
      </c>
      <c r="BT28" s="29">
        <f t="shared" si="8"/>
        <v>0</v>
      </c>
      <c r="BU28" s="29">
        <f t="shared" si="9"/>
        <v>0</v>
      </c>
      <c r="BV28" s="29">
        <f t="shared" si="10"/>
        <v>0</v>
      </c>
      <c r="BW28" s="29">
        <f t="shared" si="11"/>
        <v>0</v>
      </c>
      <c r="BX28" s="29">
        <f t="shared" si="12"/>
        <v>0</v>
      </c>
      <c r="BY28" s="29">
        <f t="shared" si="13"/>
        <v>0</v>
      </c>
      <c r="BZ28" s="29">
        <f t="shared" si="14"/>
        <v>0</v>
      </c>
    </row>
    <row r="29" spans="12:78" ht="13.95" customHeight="1" x14ac:dyDescent="0.3">
      <c r="L29" s="77" t="s">
        <v>133</v>
      </c>
      <c r="M29" s="105">
        <v>1</v>
      </c>
      <c r="BN29" s="272">
        <f t="shared" si="2"/>
        <v>0</v>
      </c>
      <c r="BO29" s="29">
        <f t="shared" si="3"/>
        <v>0</v>
      </c>
      <c r="BP29" s="29">
        <f t="shared" si="4"/>
        <v>0</v>
      </c>
      <c r="BQ29" s="29">
        <f t="shared" si="5"/>
        <v>0</v>
      </c>
      <c r="BR29" s="29">
        <f t="shared" si="6"/>
        <v>0</v>
      </c>
      <c r="BS29" s="29">
        <f t="shared" si="7"/>
        <v>0</v>
      </c>
      <c r="BT29" s="29">
        <f t="shared" si="8"/>
        <v>0</v>
      </c>
      <c r="BU29" s="29">
        <f t="shared" si="9"/>
        <v>0</v>
      </c>
      <c r="BV29" s="29">
        <f t="shared" si="10"/>
        <v>0</v>
      </c>
      <c r="BW29" s="29">
        <f t="shared" si="11"/>
        <v>0</v>
      </c>
      <c r="BX29" s="29">
        <f t="shared" si="12"/>
        <v>0</v>
      </c>
      <c r="BY29" s="29">
        <f t="shared" si="13"/>
        <v>0</v>
      </c>
      <c r="BZ29" s="29">
        <f t="shared" si="14"/>
        <v>0</v>
      </c>
    </row>
    <row r="30" spans="12:78" ht="13.95" customHeight="1" x14ac:dyDescent="0.3">
      <c r="L30" s="77" t="s">
        <v>134</v>
      </c>
      <c r="M30" s="105">
        <v>1</v>
      </c>
      <c r="BN30" s="272">
        <f t="shared" si="2"/>
        <v>0</v>
      </c>
      <c r="BO30" s="29">
        <f t="shared" si="3"/>
        <v>0</v>
      </c>
      <c r="BP30" s="29">
        <f t="shared" si="4"/>
        <v>0</v>
      </c>
      <c r="BQ30" s="29">
        <f t="shared" si="5"/>
        <v>0</v>
      </c>
      <c r="BR30" s="29">
        <f t="shared" si="6"/>
        <v>0</v>
      </c>
      <c r="BS30" s="29">
        <f t="shared" si="7"/>
        <v>0</v>
      </c>
      <c r="BT30" s="29">
        <f t="shared" si="8"/>
        <v>0</v>
      </c>
      <c r="BU30" s="29">
        <f t="shared" si="9"/>
        <v>0</v>
      </c>
      <c r="BV30" s="29">
        <f t="shared" si="10"/>
        <v>0</v>
      </c>
      <c r="BW30" s="29">
        <f t="shared" si="11"/>
        <v>0</v>
      </c>
      <c r="BX30" s="29">
        <f t="shared" si="12"/>
        <v>0</v>
      </c>
      <c r="BY30" s="29">
        <f t="shared" si="13"/>
        <v>0</v>
      </c>
      <c r="BZ30" s="29">
        <f t="shared" si="14"/>
        <v>0</v>
      </c>
    </row>
    <row r="31" spans="12:78" ht="13.95" customHeight="1" x14ac:dyDescent="0.3">
      <c r="L31" s="77" t="s">
        <v>135</v>
      </c>
      <c r="M31" s="105">
        <v>0.8</v>
      </c>
      <c r="BN31" s="272">
        <f t="shared" si="2"/>
        <v>0</v>
      </c>
      <c r="BO31" s="29">
        <f t="shared" si="3"/>
        <v>0</v>
      </c>
      <c r="BP31" s="29">
        <f t="shared" si="4"/>
        <v>0</v>
      </c>
      <c r="BQ31" s="29">
        <f t="shared" si="5"/>
        <v>0</v>
      </c>
      <c r="BR31" s="29">
        <f t="shared" si="6"/>
        <v>0</v>
      </c>
      <c r="BS31" s="29">
        <f t="shared" si="7"/>
        <v>0</v>
      </c>
      <c r="BT31" s="29">
        <f t="shared" si="8"/>
        <v>0</v>
      </c>
      <c r="BU31" s="29">
        <f t="shared" si="9"/>
        <v>0</v>
      </c>
      <c r="BV31" s="29">
        <f t="shared" si="10"/>
        <v>0</v>
      </c>
      <c r="BW31" s="29">
        <f t="shared" si="11"/>
        <v>0</v>
      </c>
      <c r="BX31" s="29">
        <f t="shared" si="12"/>
        <v>0</v>
      </c>
      <c r="BY31" s="29">
        <f t="shared" si="13"/>
        <v>0</v>
      </c>
      <c r="BZ31" s="29">
        <f t="shared" si="14"/>
        <v>0</v>
      </c>
    </row>
    <row r="32" spans="12:78" ht="13.95" customHeight="1" x14ac:dyDescent="0.3">
      <c r="L32" s="77" t="s">
        <v>136</v>
      </c>
      <c r="M32" s="105">
        <v>0.8</v>
      </c>
      <c r="BN32" s="272">
        <f t="shared" si="2"/>
        <v>0</v>
      </c>
      <c r="BO32" s="29">
        <f t="shared" si="3"/>
        <v>0</v>
      </c>
      <c r="BP32" s="29">
        <f t="shared" si="4"/>
        <v>0</v>
      </c>
      <c r="BQ32" s="29">
        <f t="shared" si="5"/>
        <v>0</v>
      </c>
      <c r="BR32" s="29">
        <f t="shared" si="6"/>
        <v>0</v>
      </c>
      <c r="BS32" s="29">
        <f t="shared" si="7"/>
        <v>0</v>
      </c>
      <c r="BT32" s="29">
        <f t="shared" si="8"/>
        <v>0</v>
      </c>
      <c r="BU32" s="29">
        <f t="shared" si="9"/>
        <v>0</v>
      </c>
      <c r="BV32" s="29">
        <f t="shared" si="10"/>
        <v>0</v>
      </c>
      <c r="BW32" s="29">
        <f t="shared" si="11"/>
        <v>0</v>
      </c>
      <c r="BX32" s="29">
        <f t="shared" si="12"/>
        <v>0</v>
      </c>
      <c r="BY32" s="29">
        <f t="shared" si="13"/>
        <v>0</v>
      </c>
      <c r="BZ32" s="29">
        <f t="shared" si="14"/>
        <v>0</v>
      </c>
    </row>
    <row r="33" spans="12:78" ht="13.95" customHeight="1" x14ac:dyDescent="0.3">
      <c r="L33" s="77" t="s">
        <v>137</v>
      </c>
      <c r="M33" s="105">
        <v>0.5</v>
      </c>
      <c r="BN33" s="272">
        <f t="shared" si="2"/>
        <v>0</v>
      </c>
      <c r="BO33" s="29">
        <f t="shared" si="3"/>
        <v>0</v>
      </c>
      <c r="BP33" s="29">
        <f t="shared" si="4"/>
        <v>0</v>
      </c>
      <c r="BQ33" s="29">
        <f t="shared" si="5"/>
        <v>0</v>
      </c>
      <c r="BR33" s="29">
        <f t="shared" si="6"/>
        <v>0</v>
      </c>
      <c r="BS33" s="29">
        <f t="shared" si="7"/>
        <v>0</v>
      </c>
      <c r="BT33" s="29">
        <f t="shared" si="8"/>
        <v>0</v>
      </c>
      <c r="BU33" s="29">
        <f t="shared" si="9"/>
        <v>0</v>
      </c>
      <c r="BV33" s="29">
        <f t="shared" si="10"/>
        <v>0</v>
      </c>
      <c r="BW33" s="29">
        <f t="shared" si="11"/>
        <v>0</v>
      </c>
      <c r="BX33" s="29">
        <f t="shared" si="12"/>
        <v>0</v>
      </c>
      <c r="BY33" s="29">
        <f t="shared" si="13"/>
        <v>0</v>
      </c>
      <c r="BZ33" s="29">
        <f t="shared" si="14"/>
        <v>0</v>
      </c>
    </row>
    <row r="34" spans="12:78" ht="13.95" customHeight="1" x14ac:dyDescent="0.3">
      <c r="L34" s="77" t="s">
        <v>138</v>
      </c>
      <c r="M34" s="105">
        <v>0.35</v>
      </c>
    </row>
    <row r="35" spans="12:78" ht="13.95" customHeight="1" x14ac:dyDescent="0.3">
      <c r="L35" s="77" t="s">
        <v>139</v>
      </c>
      <c r="M35" s="105">
        <v>0.35</v>
      </c>
    </row>
    <row r="36" spans="12:78" ht="13.95" customHeight="1" x14ac:dyDescent="0.3">
      <c r="L36" s="77" t="s">
        <v>140</v>
      </c>
      <c r="M36" s="105">
        <v>0.1</v>
      </c>
    </row>
    <row r="37" spans="12:78" ht="13.95" customHeight="1" x14ac:dyDescent="0.3">
      <c r="L37" s="103" t="s">
        <v>141</v>
      </c>
      <c r="M37" s="105">
        <v>0.7</v>
      </c>
    </row>
    <row r="38" spans="12:78" ht="13.95" customHeight="1" x14ac:dyDescent="0.3">
      <c r="L38" s="103" t="s">
        <v>142</v>
      </c>
      <c r="M38" s="105">
        <v>0.6</v>
      </c>
    </row>
    <row r="39" spans="12:78" ht="13.95" customHeight="1" x14ac:dyDescent="0.3">
      <c r="L39" s="103" t="s">
        <v>143</v>
      </c>
      <c r="M39" s="105">
        <v>0.5</v>
      </c>
    </row>
    <row r="40" spans="12:78" ht="13.95" customHeight="1" x14ac:dyDescent="0.3">
      <c r="L40" s="103" t="s">
        <v>144</v>
      </c>
      <c r="M40" s="105">
        <v>1</v>
      </c>
    </row>
    <row r="41" spans="12:78" ht="13.95" customHeight="1" x14ac:dyDescent="0.3"/>
    <row r="42" spans="12:78" ht="13.95" customHeight="1" x14ac:dyDescent="0.3"/>
    <row r="43" spans="12:78" ht="13.95" customHeight="1" x14ac:dyDescent="0.3"/>
    <row r="44" spans="12:78" ht="13.95" customHeight="1" x14ac:dyDescent="0.3"/>
  </sheetData>
  <mergeCells count="49">
    <mergeCell ref="AW14:AY14"/>
    <mergeCell ref="AZ14:BB14"/>
    <mergeCell ref="S15:T15"/>
    <mergeCell ref="V15:W15"/>
    <mergeCell ref="Y15:Z15"/>
    <mergeCell ref="AB15:AC15"/>
    <mergeCell ref="AH15:AI15"/>
    <mergeCell ref="AK15:AL15"/>
    <mergeCell ref="AN15:AO15"/>
    <mergeCell ref="AT15:AU15"/>
    <mergeCell ref="AW15:AX15"/>
    <mergeCell ref="AZ15:BA15"/>
    <mergeCell ref="AH14:AJ14"/>
    <mergeCell ref="AK14:AM14"/>
    <mergeCell ref="AN14:AP14"/>
    <mergeCell ref="AQ14:AS14"/>
    <mergeCell ref="AT14:AV14"/>
    <mergeCell ref="S14:U14"/>
    <mergeCell ref="V14:X14"/>
    <mergeCell ref="Y14:AA14"/>
    <mergeCell ref="AB14:AD14"/>
    <mergeCell ref="AE14:AG14"/>
    <mergeCell ref="L13:M13"/>
    <mergeCell ref="Q12:BB12"/>
    <mergeCell ref="S13:U13"/>
    <mergeCell ref="V13:X13"/>
    <mergeCell ref="Y13:AA13"/>
    <mergeCell ref="AB13:AD13"/>
    <mergeCell ref="AE13:AG13"/>
    <mergeCell ref="AH13:AJ13"/>
    <mergeCell ref="AK13:AM13"/>
    <mergeCell ref="AN13:AP13"/>
    <mergeCell ref="AQ13:AS13"/>
    <mergeCell ref="AT13:AV13"/>
    <mergeCell ref="AW13:AY13"/>
    <mergeCell ref="AZ13:BB13"/>
    <mergeCell ref="BE1:BJ1"/>
    <mergeCell ref="BE2:BH2"/>
    <mergeCell ref="BE3:BH3"/>
    <mergeCell ref="BE4:BH4"/>
    <mergeCell ref="L12:O12"/>
    <mergeCell ref="BE12:BJ12"/>
    <mergeCell ref="BO24:BX24"/>
    <mergeCell ref="BY24:BZ24"/>
    <mergeCell ref="BN2:BN3"/>
    <mergeCell ref="BR2:BS2"/>
    <mergeCell ref="BN1:BT1"/>
    <mergeCell ref="BO23:BX23"/>
    <mergeCell ref="BY23:BZ23"/>
  </mergeCells>
  <dataValidations disablePrompts="1" count="1">
    <dataValidation type="decimal" operator="greaterThanOrEqual" allowBlank="1" showInputMessage="1" showErrorMessage="1" errorTitle="POZOR" error="zadaj číslo &gt;=0" sqref="O16" xr:uid="{00000000-0002-0000-0000-000000000000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88"/>
  <sheetViews>
    <sheetView topLeftCell="F1" workbookViewId="0">
      <selection activeCell="AZ17" sqref="AZ17"/>
    </sheetView>
  </sheetViews>
  <sheetFormatPr defaultColWidth="9.33203125" defaultRowHeight="10.199999999999999" x14ac:dyDescent="0.2"/>
  <cols>
    <col min="1" max="1" width="5.6640625" style="30" customWidth="1"/>
    <col min="2" max="2" width="15.5546875" style="30" customWidth="1"/>
    <col min="3" max="3" width="8" style="30" customWidth="1"/>
    <col min="4" max="4" width="9.44140625" style="30" customWidth="1"/>
    <col min="5" max="5" width="6.6640625" style="30" customWidth="1"/>
    <col min="6" max="6" width="10" style="30" customWidth="1"/>
    <col min="7" max="24" width="6.33203125" style="30" hidden="1" customWidth="1"/>
    <col min="25" max="25" width="7.5546875" style="30" hidden="1" customWidth="1"/>
    <col min="26" max="26" width="7.44140625" style="30" hidden="1" customWidth="1"/>
    <col min="27" max="36" width="0" style="30" hidden="1" customWidth="1"/>
    <col min="37" max="246" width="9.33203125" style="30"/>
    <col min="247" max="247" width="5.6640625" style="30" customWidth="1"/>
    <col min="248" max="248" width="15.5546875" style="30" customWidth="1"/>
    <col min="249" max="249" width="8" style="30" customWidth="1"/>
    <col min="250" max="250" width="9.44140625" style="30" customWidth="1"/>
    <col min="251" max="251" width="6.6640625" style="30" customWidth="1"/>
    <col min="252" max="252" width="10" style="30" customWidth="1"/>
    <col min="253" max="270" width="6.33203125" style="30" customWidth="1"/>
    <col min="271" max="271" width="7.5546875" style="30" customWidth="1"/>
    <col min="272" max="272" width="7.44140625" style="30" customWidth="1"/>
    <col min="273" max="502" width="9.33203125" style="30"/>
    <col min="503" max="503" width="5.6640625" style="30" customWidth="1"/>
    <col min="504" max="504" width="15.5546875" style="30" customWidth="1"/>
    <col min="505" max="505" width="8" style="30" customWidth="1"/>
    <col min="506" max="506" width="9.44140625" style="30" customWidth="1"/>
    <col min="507" max="507" width="6.6640625" style="30" customWidth="1"/>
    <col min="508" max="508" width="10" style="30" customWidth="1"/>
    <col min="509" max="526" width="6.33203125" style="30" customWidth="1"/>
    <col min="527" max="527" width="7.5546875" style="30" customWidth="1"/>
    <col min="528" max="528" width="7.44140625" style="30" customWidth="1"/>
    <col min="529" max="758" width="9.33203125" style="30"/>
    <col min="759" max="759" width="5.6640625" style="30" customWidth="1"/>
    <col min="760" max="760" width="15.5546875" style="30" customWidth="1"/>
    <col min="761" max="761" width="8" style="30" customWidth="1"/>
    <col min="762" max="762" width="9.44140625" style="30" customWidth="1"/>
    <col min="763" max="763" width="6.6640625" style="30" customWidth="1"/>
    <col min="764" max="764" width="10" style="30" customWidth="1"/>
    <col min="765" max="782" width="6.33203125" style="30" customWidth="1"/>
    <col min="783" max="783" width="7.5546875" style="30" customWidth="1"/>
    <col min="784" max="784" width="7.44140625" style="30" customWidth="1"/>
    <col min="785" max="1014" width="9.33203125" style="30"/>
    <col min="1015" max="1015" width="5.6640625" style="30" customWidth="1"/>
    <col min="1016" max="1016" width="15.5546875" style="30" customWidth="1"/>
    <col min="1017" max="1017" width="8" style="30" customWidth="1"/>
    <col min="1018" max="1018" width="9.44140625" style="30" customWidth="1"/>
    <col min="1019" max="1019" width="6.6640625" style="30" customWidth="1"/>
    <col min="1020" max="1020" width="10" style="30" customWidth="1"/>
    <col min="1021" max="1038" width="6.33203125" style="30" customWidth="1"/>
    <col min="1039" max="1039" width="7.5546875" style="30" customWidth="1"/>
    <col min="1040" max="1040" width="7.44140625" style="30" customWidth="1"/>
    <col min="1041" max="1270" width="9.33203125" style="30"/>
    <col min="1271" max="1271" width="5.6640625" style="30" customWidth="1"/>
    <col min="1272" max="1272" width="15.5546875" style="30" customWidth="1"/>
    <col min="1273" max="1273" width="8" style="30" customWidth="1"/>
    <col min="1274" max="1274" width="9.44140625" style="30" customWidth="1"/>
    <col min="1275" max="1275" width="6.6640625" style="30" customWidth="1"/>
    <col min="1276" max="1276" width="10" style="30" customWidth="1"/>
    <col min="1277" max="1294" width="6.33203125" style="30" customWidth="1"/>
    <col min="1295" max="1295" width="7.5546875" style="30" customWidth="1"/>
    <col min="1296" max="1296" width="7.44140625" style="30" customWidth="1"/>
    <col min="1297" max="1526" width="9.33203125" style="30"/>
    <col min="1527" max="1527" width="5.6640625" style="30" customWidth="1"/>
    <col min="1528" max="1528" width="15.5546875" style="30" customWidth="1"/>
    <col min="1529" max="1529" width="8" style="30" customWidth="1"/>
    <col min="1530" max="1530" width="9.44140625" style="30" customWidth="1"/>
    <col min="1531" max="1531" width="6.6640625" style="30" customWidth="1"/>
    <col min="1532" max="1532" width="10" style="30" customWidth="1"/>
    <col min="1533" max="1550" width="6.33203125" style="30" customWidth="1"/>
    <col min="1551" max="1551" width="7.5546875" style="30" customWidth="1"/>
    <col min="1552" max="1552" width="7.44140625" style="30" customWidth="1"/>
    <col min="1553" max="1782" width="9.33203125" style="30"/>
    <col min="1783" max="1783" width="5.6640625" style="30" customWidth="1"/>
    <col min="1784" max="1784" width="15.5546875" style="30" customWidth="1"/>
    <col min="1785" max="1785" width="8" style="30" customWidth="1"/>
    <col min="1786" max="1786" width="9.44140625" style="30" customWidth="1"/>
    <col min="1787" max="1787" width="6.6640625" style="30" customWidth="1"/>
    <col min="1788" max="1788" width="10" style="30" customWidth="1"/>
    <col min="1789" max="1806" width="6.33203125" style="30" customWidth="1"/>
    <col min="1807" max="1807" width="7.5546875" style="30" customWidth="1"/>
    <col min="1808" max="1808" width="7.44140625" style="30" customWidth="1"/>
    <col min="1809" max="2038" width="9.33203125" style="30"/>
    <col min="2039" max="2039" width="5.6640625" style="30" customWidth="1"/>
    <col min="2040" max="2040" width="15.5546875" style="30" customWidth="1"/>
    <col min="2041" max="2041" width="8" style="30" customWidth="1"/>
    <col min="2042" max="2042" width="9.44140625" style="30" customWidth="1"/>
    <col min="2043" max="2043" width="6.6640625" style="30" customWidth="1"/>
    <col min="2044" max="2044" width="10" style="30" customWidth="1"/>
    <col min="2045" max="2062" width="6.33203125" style="30" customWidth="1"/>
    <col min="2063" max="2063" width="7.5546875" style="30" customWidth="1"/>
    <col min="2064" max="2064" width="7.44140625" style="30" customWidth="1"/>
    <col min="2065" max="2294" width="9.33203125" style="30"/>
    <col min="2295" max="2295" width="5.6640625" style="30" customWidth="1"/>
    <col min="2296" max="2296" width="15.5546875" style="30" customWidth="1"/>
    <col min="2297" max="2297" width="8" style="30" customWidth="1"/>
    <col min="2298" max="2298" width="9.44140625" style="30" customWidth="1"/>
    <col min="2299" max="2299" width="6.6640625" style="30" customWidth="1"/>
    <col min="2300" max="2300" width="10" style="30" customWidth="1"/>
    <col min="2301" max="2318" width="6.33203125" style="30" customWidth="1"/>
    <col min="2319" max="2319" width="7.5546875" style="30" customWidth="1"/>
    <col min="2320" max="2320" width="7.44140625" style="30" customWidth="1"/>
    <col min="2321" max="2550" width="9.33203125" style="30"/>
    <col min="2551" max="2551" width="5.6640625" style="30" customWidth="1"/>
    <col min="2552" max="2552" width="15.5546875" style="30" customWidth="1"/>
    <col min="2553" max="2553" width="8" style="30" customWidth="1"/>
    <col min="2554" max="2554" width="9.44140625" style="30" customWidth="1"/>
    <col min="2555" max="2555" width="6.6640625" style="30" customWidth="1"/>
    <col min="2556" max="2556" width="10" style="30" customWidth="1"/>
    <col min="2557" max="2574" width="6.33203125" style="30" customWidth="1"/>
    <col min="2575" max="2575" width="7.5546875" style="30" customWidth="1"/>
    <col min="2576" max="2576" width="7.44140625" style="30" customWidth="1"/>
    <col min="2577" max="2806" width="9.33203125" style="30"/>
    <col min="2807" max="2807" width="5.6640625" style="30" customWidth="1"/>
    <col min="2808" max="2808" width="15.5546875" style="30" customWidth="1"/>
    <col min="2809" max="2809" width="8" style="30" customWidth="1"/>
    <col min="2810" max="2810" width="9.44140625" style="30" customWidth="1"/>
    <col min="2811" max="2811" width="6.6640625" style="30" customWidth="1"/>
    <col min="2812" max="2812" width="10" style="30" customWidth="1"/>
    <col min="2813" max="2830" width="6.33203125" style="30" customWidth="1"/>
    <col min="2831" max="2831" width="7.5546875" style="30" customWidth="1"/>
    <col min="2832" max="2832" width="7.44140625" style="30" customWidth="1"/>
    <col min="2833" max="3062" width="9.33203125" style="30"/>
    <col min="3063" max="3063" width="5.6640625" style="30" customWidth="1"/>
    <col min="3064" max="3064" width="15.5546875" style="30" customWidth="1"/>
    <col min="3065" max="3065" width="8" style="30" customWidth="1"/>
    <col min="3066" max="3066" width="9.44140625" style="30" customWidth="1"/>
    <col min="3067" max="3067" width="6.6640625" style="30" customWidth="1"/>
    <col min="3068" max="3068" width="10" style="30" customWidth="1"/>
    <col min="3069" max="3086" width="6.33203125" style="30" customWidth="1"/>
    <col min="3087" max="3087" width="7.5546875" style="30" customWidth="1"/>
    <col min="3088" max="3088" width="7.44140625" style="30" customWidth="1"/>
    <col min="3089" max="3318" width="9.33203125" style="30"/>
    <col min="3319" max="3319" width="5.6640625" style="30" customWidth="1"/>
    <col min="3320" max="3320" width="15.5546875" style="30" customWidth="1"/>
    <col min="3321" max="3321" width="8" style="30" customWidth="1"/>
    <col min="3322" max="3322" width="9.44140625" style="30" customWidth="1"/>
    <col min="3323" max="3323" width="6.6640625" style="30" customWidth="1"/>
    <col min="3324" max="3324" width="10" style="30" customWidth="1"/>
    <col min="3325" max="3342" width="6.33203125" style="30" customWidth="1"/>
    <col min="3343" max="3343" width="7.5546875" style="30" customWidth="1"/>
    <col min="3344" max="3344" width="7.44140625" style="30" customWidth="1"/>
    <col min="3345" max="3574" width="9.33203125" style="30"/>
    <col min="3575" max="3575" width="5.6640625" style="30" customWidth="1"/>
    <col min="3576" max="3576" width="15.5546875" style="30" customWidth="1"/>
    <col min="3577" max="3577" width="8" style="30" customWidth="1"/>
    <col min="3578" max="3578" width="9.44140625" style="30" customWidth="1"/>
    <col min="3579" max="3579" width="6.6640625" style="30" customWidth="1"/>
    <col min="3580" max="3580" width="10" style="30" customWidth="1"/>
    <col min="3581" max="3598" width="6.33203125" style="30" customWidth="1"/>
    <col min="3599" max="3599" width="7.5546875" style="30" customWidth="1"/>
    <col min="3600" max="3600" width="7.44140625" style="30" customWidth="1"/>
    <col min="3601" max="3830" width="9.33203125" style="30"/>
    <col min="3831" max="3831" width="5.6640625" style="30" customWidth="1"/>
    <col min="3832" max="3832" width="15.5546875" style="30" customWidth="1"/>
    <col min="3833" max="3833" width="8" style="30" customWidth="1"/>
    <col min="3834" max="3834" width="9.44140625" style="30" customWidth="1"/>
    <col min="3835" max="3835" width="6.6640625" style="30" customWidth="1"/>
    <col min="3836" max="3836" width="10" style="30" customWidth="1"/>
    <col min="3837" max="3854" width="6.33203125" style="30" customWidth="1"/>
    <col min="3855" max="3855" width="7.5546875" style="30" customWidth="1"/>
    <col min="3856" max="3856" width="7.44140625" style="30" customWidth="1"/>
    <col min="3857" max="4086" width="9.33203125" style="30"/>
    <col min="4087" max="4087" width="5.6640625" style="30" customWidth="1"/>
    <col min="4088" max="4088" width="15.5546875" style="30" customWidth="1"/>
    <col min="4089" max="4089" width="8" style="30" customWidth="1"/>
    <col min="4090" max="4090" width="9.44140625" style="30" customWidth="1"/>
    <col min="4091" max="4091" width="6.6640625" style="30" customWidth="1"/>
    <col min="4092" max="4092" width="10" style="30" customWidth="1"/>
    <col min="4093" max="4110" width="6.33203125" style="30" customWidth="1"/>
    <col min="4111" max="4111" width="7.5546875" style="30" customWidth="1"/>
    <col min="4112" max="4112" width="7.44140625" style="30" customWidth="1"/>
    <col min="4113" max="4342" width="9.33203125" style="30"/>
    <col min="4343" max="4343" width="5.6640625" style="30" customWidth="1"/>
    <col min="4344" max="4344" width="15.5546875" style="30" customWidth="1"/>
    <col min="4345" max="4345" width="8" style="30" customWidth="1"/>
    <col min="4346" max="4346" width="9.44140625" style="30" customWidth="1"/>
    <col min="4347" max="4347" width="6.6640625" style="30" customWidth="1"/>
    <col min="4348" max="4348" width="10" style="30" customWidth="1"/>
    <col min="4349" max="4366" width="6.33203125" style="30" customWidth="1"/>
    <col min="4367" max="4367" width="7.5546875" style="30" customWidth="1"/>
    <col min="4368" max="4368" width="7.44140625" style="30" customWidth="1"/>
    <col min="4369" max="4598" width="9.33203125" style="30"/>
    <col min="4599" max="4599" width="5.6640625" style="30" customWidth="1"/>
    <col min="4600" max="4600" width="15.5546875" style="30" customWidth="1"/>
    <col min="4601" max="4601" width="8" style="30" customWidth="1"/>
    <col min="4602" max="4602" width="9.44140625" style="30" customWidth="1"/>
    <col min="4603" max="4603" width="6.6640625" style="30" customWidth="1"/>
    <col min="4604" max="4604" width="10" style="30" customWidth="1"/>
    <col min="4605" max="4622" width="6.33203125" style="30" customWidth="1"/>
    <col min="4623" max="4623" width="7.5546875" style="30" customWidth="1"/>
    <col min="4624" max="4624" width="7.44140625" style="30" customWidth="1"/>
    <col min="4625" max="4854" width="9.33203125" style="30"/>
    <col min="4855" max="4855" width="5.6640625" style="30" customWidth="1"/>
    <col min="4856" max="4856" width="15.5546875" style="30" customWidth="1"/>
    <col min="4857" max="4857" width="8" style="30" customWidth="1"/>
    <col min="4858" max="4858" width="9.44140625" style="30" customWidth="1"/>
    <col min="4859" max="4859" width="6.6640625" style="30" customWidth="1"/>
    <col min="4860" max="4860" width="10" style="30" customWidth="1"/>
    <col min="4861" max="4878" width="6.33203125" style="30" customWidth="1"/>
    <col min="4879" max="4879" width="7.5546875" style="30" customWidth="1"/>
    <col min="4880" max="4880" width="7.44140625" style="30" customWidth="1"/>
    <col min="4881" max="5110" width="9.33203125" style="30"/>
    <col min="5111" max="5111" width="5.6640625" style="30" customWidth="1"/>
    <col min="5112" max="5112" width="15.5546875" style="30" customWidth="1"/>
    <col min="5113" max="5113" width="8" style="30" customWidth="1"/>
    <col min="5114" max="5114" width="9.44140625" style="30" customWidth="1"/>
    <col min="5115" max="5115" width="6.6640625" style="30" customWidth="1"/>
    <col min="5116" max="5116" width="10" style="30" customWidth="1"/>
    <col min="5117" max="5134" width="6.33203125" style="30" customWidth="1"/>
    <col min="5135" max="5135" width="7.5546875" style="30" customWidth="1"/>
    <col min="5136" max="5136" width="7.44140625" style="30" customWidth="1"/>
    <col min="5137" max="5366" width="9.33203125" style="30"/>
    <col min="5367" max="5367" width="5.6640625" style="30" customWidth="1"/>
    <col min="5368" max="5368" width="15.5546875" style="30" customWidth="1"/>
    <col min="5369" max="5369" width="8" style="30" customWidth="1"/>
    <col min="5370" max="5370" width="9.44140625" style="30" customWidth="1"/>
    <col min="5371" max="5371" width="6.6640625" style="30" customWidth="1"/>
    <col min="5372" max="5372" width="10" style="30" customWidth="1"/>
    <col min="5373" max="5390" width="6.33203125" style="30" customWidth="1"/>
    <col min="5391" max="5391" width="7.5546875" style="30" customWidth="1"/>
    <col min="5392" max="5392" width="7.44140625" style="30" customWidth="1"/>
    <col min="5393" max="5622" width="9.33203125" style="30"/>
    <col min="5623" max="5623" width="5.6640625" style="30" customWidth="1"/>
    <col min="5624" max="5624" width="15.5546875" style="30" customWidth="1"/>
    <col min="5625" max="5625" width="8" style="30" customWidth="1"/>
    <col min="5626" max="5626" width="9.44140625" style="30" customWidth="1"/>
    <col min="5627" max="5627" width="6.6640625" style="30" customWidth="1"/>
    <col min="5628" max="5628" width="10" style="30" customWidth="1"/>
    <col min="5629" max="5646" width="6.33203125" style="30" customWidth="1"/>
    <col min="5647" max="5647" width="7.5546875" style="30" customWidth="1"/>
    <col min="5648" max="5648" width="7.44140625" style="30" customWidth="1"/>
    <col min="5649" max="5878" width="9.33203125" style="30"/>
    <col min="5879" max="5879" width="5.6640625" style="30" customWidth="1"/>
    <col min="5880" max="5880" width="15.5546875" style="30" customWidth="1"/>
    <col min="5881" max="5881" width="8" style="30" customWidth="1"/>
    <col min="5882" max="5882" width="9.44140625" style="30" customWidth="1"/>
    <col min="5883" max="5883" width="6.6640625" style="30" customWidth="1"/>
    <col min="5884" max="5884" width="10" style="30" customWidth="1"/>
    <col min="5885" max="5902" width="6.33203125" style="30" customWidth="1"/>
    <col min="5903" max="5903" width="7.5546875" style="30" customWidth="1"/>
    <col min="5904" max="5904" width="7.44140625" style="30" customWidth="1"/>
    <col min="5905" max="6134" width="9.33203125" style="30"/>
    <col min="6135" max="6135" width="5.6640625" style="30" customWidth="1"/>
    <col min="6136" max="6136" width="15.5546875" style="30" customWidth="1"/>
    <col min="6137" max="6137" width="8" style="30" customWidth="1"/>
    <col min="6138" max="6138" width="9.44140625" style="30" customWidth="1"/>
    <col min="6139" max="6139" width="6.6640625" style="30" customWidth="1"/>
    <col min="6140" max="6140" width="10" style="30" customWidth="1"/>
    <col min="6141" max="6158" width="6.33203125" style="30" customWidth="1"/>
    <col min="6159" max="6159" width="7.5546875" style="30" customWidth="1"/>
    <col min="6160" max="6160" width="7.44140625" style="30" customWidth="1"/>
    <col min="6161" max="6390" width="9.33203125" style="30"/>
    <col min="6391" max="6391" width="5.6640625" style="30" customWidth="1"/>
    <col min="6392" max="6392" width="15.5546875" style="30" customWidth="1"/>
    <col min="6393" max="6393" width="8" style="30" customWidth="1"/>
    <col min="6394" max="6394" width="9.44140625" style="30" customWidth="1"/>
    <col min="6395" max="6395" width="6.6640625" style="30" customWidth="1"/>
    <col min="6396" max="6396" width="10" style="30" customWidth="1"/>
    <col min="6397" max="6414" width="6.33203125" style="30" customWidth="1"/>
    <col min="6415" max="6415" width="7.5546875" style="30" customWidth="1"/>
    <col min="6416" max="6416" width="7.44140625" style="30" customWidth="1"/>
    <col min="6417" max="6646" width="9.33203125" style="30"/>
    <col min="6647" max="6647" width="5.6640625" style="30" customWidth="1"/>
    <col min="6648" max="6648" width="15.5546875" style="30" customWidth="1"/>
    <col min="6649" max="6649" width="8" style="30" customWidth="1"/>
    <col min="6650" max="6650" width="9.44140625" style="30" customWidth="1"/>
    <col min="6651" max="6651" width="6.6640625" style="30" customWidth="1"/>
    <col min="6652" max="6652" width="10" style="30" customWidth="1"/>
    <col min="6653" max="6670" width="6.33203125" style="30" customWidth="1"/>
    <col min="6671" max="6671" width="7.5546875" style="30" customWidth="1"/>
    <col min="6672" max="6672" width="7.44140625" style="30" customWidth="1"/>
    <col min="6673" max="6902" width="9.33203125" style="30"/>
    <col min="6903" max="6903" width="5.6640625" style="30" customWidth="1"/>
    <col min="6904" max="6904" width="15.5546875" style="30" customWidth="1"/>
    <col min="6905" max="6905" width="8" style="30" customWidth="1"/>
    <col min="6906" max="6906" width="9.44140625" style="30" customWidth="1"/>
    <col min="6907" max="6907" width="6.6640625" style="30" customWidth="1"/>
    <col min="6908" max="6908" width="10" style="30" customWidth="1"/>
    <col min="6909" max="6926" width="6.33203125" style="30" customWidth="1"/>
    <col min="6927" max="6927" width="7.5546875" style="30" customWidth="1"/>
    <col min="6928" max="6928" width="7.44140625" style="30" customWidth="1"/>
    <col min="6929" max="7158" width="9.33203125" style="30"/>
    <col min="7159" max="7159" width="5.6640625" style="30" customWidth="1"/>
    <col min="7160" max="7160" width="15.5546875" style="30" customWidth="1"/>
    <col min="7161" max="7161" width="8" style="30" customWidth="1"/>
    <col min="7162" max="7162" width="9.44140625" style="30" customWidth="1"/>
    <col min="7163" max="7163" width="6.6640625" style="30" customWidth="1"/>
    <col min="7164" max="7164" width="10" style="30" customWidth="1"/>
    <col min="7165" max="7182" width="6.33203125" style="30" customWidth="1"/>
    <col min="7183" max="7183" width="7.5546875" style="30" customWidth="1"/>
    <col min="7184" max="7184" width="7.44140625" style="30" customWidth="1"/>
    <col min="7185" max="7414" width="9.33203125" style="30"/>
    <col min="7415" max="7415" width="5.6640625" style="30" customWidth="1"/>
    <col min="7416" max="7416" width="15.5546875" style="30" customWidth="1"/>
    <col min="7417" max="7417" width="8" style="30" customWidth="1"/>
    <col min="7418" max="7418" width="9.44140625" style="30" customWidth="1"/>
    <col min="7419" max="7419" width="6.6640625" style="30" customWidth="1"/>
    <col min="7420" max="7420" width="10" style="30" customWidth="1"/>
    <col min="7421" max="7438" width="6.33203125" style="30" customWidth="1"/>
    <col min="7439" max="7439" width="7.5546875" style="30" customWidth="1"/>
    <col min="7440" max="7440" width="7.44140625" style="30" customWidth="1"/>
    <col min="7441" max="7670" width="9.33203125" style="30"/>
    <col min="7671" max="7671" width="5.6640625" style="30" customWidth="1"/>
    <col min="7672" max="7672" width="15.5546875" style="30" customWidth="1"/>
    <col min="7673" max="7673" width="8" style="30" customWidth="1"/>
    <col min="7674" max="7674" width="9.44140625" style="30" customWidth="1"/>
    <col min="7675" max="7675" width="6.6640625" style="30" customWidth="1"/>
    <col min="7676" max="7676" width="10" style="30" customWidth="1"/>
    <col min="7677" max="7694" width="6.33203125" style="30" customWidth="1"/>
    <col min="7695" max="7695" width="7.5546875" style="30" customWidth="1"/>
    <col min="7696" max="7696" width="7.44140625" style="30" customWidth="1"/>
    <col min="7697" max="7926" width="9.33203125" style="30"/>
    <col min="7927" max="7927" width="5.6640625" style="30" customWidth="1"/>
    <col min="7928" max="7928" width="15.5546875" style="30" customWidth="1"/>
    <col min="7929" max="7929" width="8" style="30" customWidth="1"/>
    <col min="7930" max="7930" width="9.44140625" style="30" customWidth="1"/>
    <col min="7931" max="7931" width="6.6640625" style="30" customWidth="1"/>
    <col min="7932" max="7932" width="10" style="30" customWidth="1"/>
    <col min="7933" max="7950" width="6.33203125" style="30" customWidth="1"/>
    <col min="7951" max="7951" width="7.5546875" style="30" customWidth="1"/>
    <col min="7952" max="7952" width="7.44140625" style="30" customWidth="1"/>
    <col min="7953" max="8182" width="9.33203125" style="30"/>
    <col min="8183" max="8183" width="5.6640625" style="30" customWidth="1"/>
    <col min="8184" max="8184" width="15.5546875" style="30" customWidth="1"/>
    <col min="8185" max="8185" width="8" style="30" customWidth="1"/>
    <col min="8186" max="8186" width="9.44140625" style="30" customWidth="1"/>
    <col min="8187" max="8187" width="6.6640625" style="30" customWidth="1"/>
    <col min="8188" max="8188" width="10" style="30" customWidth="1"/>
    <col min="8189" max="8206" width="6.33203125" style="30" customWidth="1"/>
    <col min="8207" max="8207" width="7.5546875" style="30" customWidth="1"/>
    <col min="8208" max="8208" width="7.44140625" style="30" customWidth="1"/>
    <col min="8209" max="8438" width="9.33203125" style="30"/>
    <col min="8439" max="8439" width="5.6640625" style="30" customWidth="1"/>
    <col min="8440" max="8440" width="15.5546875" style="30" customWidth="1"/>
    <col min="8441" max="8441" width="8" style="30" customWidth="1"/>
    <col min="8442" max="8442" width="9.44140625" style="30" customWidth="1"/>
    <col min="8443" max="8443" width="6.6640625" style="30" customWidth="1"/>
    <col min="8444" max="8444" width="10" style="30" customWidth="1"/>
    <col min="8445" max="8462" width="6.33203125" style="30" customWidth="1"/>
    <col min="8463" max="8463" width="7.5546875" style="30" customWidth="1"/>
    <col min="8464" max="8464" width="7.44140625" style="30" customWidth="1"/>
    <col min="8465" max="8694" width="9.33203125" style="30"/>
    <col min="8695" max="8695" width="5.6640625" style="30" customWidth="1"/>
    <col min="8696" max="8696" width="15.5546875" style="30" customWidth="1"/>
    <col min="8697" max="8697" width="8" style="30" customWidth="1"/>
    <col min="8698" max="8698" width="9.44140625" style="30" customWidth="1"/>
    <col min="8699" max="8699" width="6.6640625" style="30" customWidth="1"/>
    <col min="8700" max="8700" width="10" style="30" customWidth="1"/>
    <col min="8701" max="8718" width="6.33203125" style="30" customWidth="1"/>
    <col min="8719" max="8719" width="7.5546875" style="30" customWidth="1"/>
    <col min="8720" max="8720" width="7.44140625" style="30" customWidth="1"/>
    <col min="8721" max="8950" width="9.33203125" style="30"/>
    <col min="8951" max="8951" width="5.6640625" style="30" customWidth="1"/>
    <col min="8952" max="8952" width="15.5546875" style="30" customWidth="1"/>
    <col min="8953" max="8953" width="8" style="30" customWidth="1"/>
    <col min="8954" max="8954" width="9.44140625" style="30" customWidth="1"/>
    <col min="8955" max="8955" width="6.6640625" style="30" customWidth="1"/>
    <col min="8956" max="8956" width="10" style="30" customWidth="1"/>
    <col min="8957" max="8974" width="6.33203125" style="30" customWidth="1"/>
    <col min="8975" max="8975" width="7.5546875" style="30" customWidth="1"/>
    <col min="8976" max="8976" width="7.44140625" style="30" customWidth="1"/>
    <col min="8977" max="9206" width="9.33203125" style="30"/>
    <col min="9207" max="9207" width="5.6640625" style="30" customWidth="1"/>
    <col min="9208" max="9208" width="15.5546875" style="30" customWidth="1"/>
    <col min="9209" max="9209" width="8" style="30" customWidth="1"/>
    <col min="9210" max="9210" width="9.44140625" style="30" customWidth="1"/>
    <col min="9211" max="9211" width="6.6640625" style="30" customWidth="1"/>
    <col min="9212" max="9212" width="10" style="30" customWidth="1"/>
    <col min="9213" max="9230" width="6.33203125" style="30" customWidth="1"/>
    <col min="9231" max="9231" width="7.5546875" style="30" customWidth="1"/>
    <col min="9232" max="9232" width="7.44140625" style="30" customWidth="1"/>
    <col min="9233" max="9462" width="9.33203125" style="30"/>
    <col min="9463" max="9463" width="5.6640625" style="30" customWidth="1"/>
    <col min="9464" max="9464" width="15.5546875" style="30" customWidth="1"/>
    <col min="9465" max="9465" width="8" style="30" customWidth="1"/>
    <col min="9466" max="9466" width="9.44140625" style="30" customWidth="1"/>
    <col min="9467" max="9467" width="6.6640625" style="30" customWidth="1"/>
    <col min="9468" max="9468" width="10" style="30" customWidth="1"/>
    <col min="9469" max="9486" width="6.33203125" style="30" customWidth="1"/>
    <col min="9487" max="9487" width="7.5546875" style="30" customWidth="1"/>
    <col min="9488" max="9488" width="7.44140625" style="30" customWidth="1"/>
    <col min="9489" max="9718" width="9.33203125" style="30"/>
    <col min="9719" max="9719" width="5.6640625" style="30" customWidth="1"/>
    <col min="9720" max="9720" width="15.5546875" style="30" customWidth="1"/>
    <col min="9721" max="9721" width="8" style="30" customWidth="1"/>
    <col min="9722" max="9722" width="9.44140625" style="30" customWidth="1"/>
    <col min="9723" max="9723" width="6.6640625" style="30" customWidth="1"/>
    <col min="9724" max="9724" width="10" style="30" customWidth="1"/>
    <col min="9725" max="9742" width="6.33203125" style="30" customWidth="1"/>
    <col min="9743" max="9743" width="7.5546875" style="30" customWidth="1"/>
    <col min="9744" max="9744" width="7.44140625" style="30" customWidth="1"/>
    <col min="9745" max="9974" width="9.33203125" style="30"/>
    <col min="9975" max="9975" width="5.6640625" style="30" customWidth="1"/>
    <col min="9976" max="9976" width="15.5546875" style="30" customWidth="1"/>
    <col min="9977" max="9977" width="8" style="30" customWidth="1"/>
    <col min="9978" max="9978" width="9.44140625" style="30" customWidth="1"/>
    <col min="9979" max="9979" width="6.6640625" style="30" customWidth="1"/>
    <col min="9980" max="9980" width="10" style="30" customWidth="1"/>
    <col min="9981" max="9998" width="6.33203125" style="30" customWidth="1"/>
    <col min="9999" max="9999" width="7.5546875" style="30" customWidth="1"/>
    <col min="10000" max="10000" width="7.44140625" style="30" customWidth="1"/>
    <col min="10001" max="10230" width="9.33203125" style="30"/>
    <col min="10231" max="10231" width="5.6640625" style="30" customWidth="1"/>
    <col min="10232" max="10232" width="15.5546875" style="30" customWidth="1"/>
    <col min="10233" max="10233" width="8" style="30" customWidth="1"/>
    <col min="10234" max="10234" width="9.44140625" style="30" customWidth="1"/>
    <col min="10235" max="10235" width="6.6640625" style="30" customWidth="1"/>
    <col min="10236" max="10236" width="10" style="30" customWidth="1"/>
    <col min="10237" max="10254" width="6.33203125" style="30" customWidth="1"/>
    <col min="10255" max="10255" width="7.5546875" style="30" customWidth="1"/>
    <col min="10256" max="10256" width="7.44140625" style="30" customWidth="1"/>
    <col min="10257" max="10486" width="9.33203125" style="30"/>
    <col min="10487" max="10487" width="5.6640625" style="30" customWidth="1"/>
    <col min="10488" max="10488" width="15.5546875" style="30" customWidth="1"/>
    <col min="10489" max="10489" width="8" style="30" customWidth="1"/>
    <col min="10490" max="10490" width="9.44140625" style="30" customWidth="1"/>
    <col min="10491" max="10491" width="6.6640625" style="30" customWidth="1"/>
    <col min="10492" max="10492" width="10" style="30" customWidth="1"/>
    <col min="10493" max="10510" width="6.33203125" style="30" customWidth="1"/>
    <col min="10511" max="10511" width="7.5546875" style="30" customWidth="1"/>
    <col min="10512" max="10512" width="7.44140625" style="30" customWidth="1"/>
    <col min="10513" max="10742" width="9.33203125" style="30"/>
    <col min="10743" max="10743" width="5.6640625" style="30" customWidth="1"/>
    <col min="10744" max="10744" width="15.5546875" style="30" customWidth="1"/>
    <col min="10745" max="10745" width="8" style="30" customWidth="1"/>
    <col min="10746" max="10746" width="9.44140625" style="30" customWidth="1"/>
    <col min="10747" max="10747" width="6.6640625" style="30" customWidth="1"/>
    <col min="10748" max="10748" width="10" style="30" customWidth="1"/>
    <col min="10749" max="10766" width="6.33203125" style="30" customWidth="1"/>
    <col min="10767" max="10767" width="7.5546875" style="30" customWidth="1"/>
    <col min="10768" max="10768" width="7.44140625" style="30" customWidth="1"/>
    <col min="10769" max="10998" width="9.33203125" style="30"/>
    <col min="10999" max="10999" width="5.6640625" style="30" customWidth="1"/>
    <col min="11000" max="11000" width="15.5546875" style="30" customWidth="1"/>
    <col min="11001" max="11001" width="8" style="30" customWidth="1"/>
    <col min="11002" max="11002" width="9.44140625" style="30" customWidth="1"/>
    <col min="11003" max="11003" width="6.6640625" style="30" customWidth="1"/>
    <col min="11004" max="11004" width="10" style="30" customWidth="1"/>
    <col min="11005" max="11022" width="6.33203125" style="30" customWidth="1"/>
    <col min="11023" max="11023" width="7.5546875" style="30" customWidth="1"/>
    <col min="11024" max="11024" width="7.44140625" style="30" customWidth="1"/>
    <col min="11025" max="11254" width="9.33203125" style="30"/>
    <col min="11255" max="11255" width="5.6640625" style="30" customWidth="1"/>
    <col min="11256" max="11256" width="15.5546875" style="30" customWidth="1"/>
    <col min="11257" max="11257" width="8" style="30" customWidth="1"/>
    <col min="11258" max="11258" width="9.44140625" style="30" customWidth="1"/>
    <col min="11259" max="11259" width="6.6640625" style="30" customWidth="1"/>
    <col min="11260" max="11260" width="10" style="30" customWidth="1"/>
    <col min="11261" max="11278" width="6.33203125" style="30" customWidth="1"/>
    <col min="11279" max="11279" width="7.5546875" style="30" customWidth="1"/>
    <col min="11280" max="11280" width="7.44140625" style="30" customWidth="1"/>
    <col min="11281" max="11510" width="9.33203125" style="30"/>
    <col min="11511" max="11511" width="5.6640625" style="30" customWidth="1"/>
    <col min="11512" max="11512" width="15.5546875" style="30" customWidth="1"/>
    <col min="11513" max="11513" width="8" style="30" customWidth="1"/>
    <col min="11514" max="11514" width="9.44140625" style="30" customWidth="1"/>
    <col min="11515" max="11515" width="6.6640625" style="30" customWidth="1"/>
    <col min="11516" max="11516" width="10" style="30" customWidth="1"/>
    <col min="11517" max="11534" width="6.33203125" style="30" customWidth="1"/>
    <col min="11535" max="11535" width="7.5546875" style="30" customWidth="1"/>
    <col min="11536" max="11536" width="7.44140625" style="30" customWidth="1"/>
    <col min="11537" max="11766" width="9.33203125" style="30"/>
    <col min="11767" max="11767" width="5.6640625" style="30" customWidth="1"/>
    <col min="11768" max="11768" width="15.5546875" style="30" customWidth="1"/>
    <col min="11769" max="11769" width="8" style="30" customWidth="1"/>
    <col min="11770" max="11770" width="9.44140625" style="30" customWidth="1"/>
    <col min="11771" max="11771" width="6.6640625" style="30" customWidth="1"/>
    <col min="11772" max="11772" width="10" style="30" customWidth="1"/>
    <col min="11773" max="11790" width="6.33203125" style="30" customWidth="1"/>
    <col min="11791" max="11791" width="7.5546875" style="30" customWidth="1"/>
    <col min="11792" max="11792" width="7.44140625" style="30" customWidth="1"/>
    <col min="11793" max="12022" width="9.33203125" style="30"/>
    <col min="12023" max="12023" width="5.6640625" style="30" customWidth="1"/>
    <col min="12024" max="12024" width="15.5546875" style="30" customWidth="1"/>
    <col min="12025" max="12025" width="8" style="30" customWidth="1"/>
    <col min="12026" max="12026" width="9.44140625" style="30" customWidth="1"/>
    <col min="12027" max="12027" width="6.6640625" style="30" customWidth="1"/>
    <col min="12028" max="12028" width="10" style="30" customWidth="1"/>
    <col min="12029" max="12046" width="6.33203125" style="30" customWidth="1"/>
    <col min="12047" max="12047" width="7.5546875" style="30" customWidth="1"/>
    <col min="12048" max="12048" width="7.44140625" style="30" customWidth="1"/>
    <col min="12049" max="12278" width="9.33203125" style="30"/>
    <col min="12279" max="12279" width="5.6640625" style="30" customWidth="1"/>
    <col min="12280" max="12280" width="15.5546875" style="30" customWidth="1"/>
    <col min="12281" max="12281" width="8" style="30" customWidth="1"/>
    <col min="12282" max="12282" width="9.44140625" style="30" customWidth="1"/>
    <col min="12283" max="12283" width="6.6640625" style="30" customWidth="1"/>
    <col min="12284" max="12284" width="10" style="30" customWidth="1"/>
    <col min="12285" max="12302" width="6.33203125" style="30" customWidth="1"/>
    <col min="12303" max="12303" width="7.5546875" style="30" customWidth="1"/>
    <col min="12304" max="12304" width="7.44140625" style="30" customWidth="1"/>
    <col min="12305" max="12534" width="9.33203125" style="30"/>
    <col min="12535" max="12535" width="5.6640625" style="30" customWidth="1"/>
    <col min="12536" max="12536" width="15.5546875" style="30" customWidth="1"/>
    <col min="12537" max="12537" width="8" style="30" customWidth="1"/>
    <col min="12538" max="12538" width="9.44140625" style="30" customWidth="1"/>
    <col min="12539" max="12539" width="6.6640625" style="30" customWidth="1"/>
    <col min="12540" max="12540" width="10" style="30" customWidth="1"/>
    <col min="12541" max="12558" width="6.33203125" style="30" customWidth="1"/>
    <col min="12559" max="12559" width="7.5546875" style="30" customWidth="1"/>
    <col min="12560" max="12560" width="7.44140625" style="30" customWidth="1"/>
    <col min="12561" max="12790" width="9.33203125" style="30"/>
    <col min="12791" max="12791" width="5.6640625" style="30" customWidth="1"/>
    <col min="12792" max="12792" width="15.5546875" style="30" customWidth="1"/>
    <col min="12793" max="12793" width="8" style="30" customWidth="1"/>
    <col min="12794" max="12794" width="9.44140625" style="30" customWidth="1"/>
    <col min="12795" max="12795" width="6.6640625" style="30" customWidth="1"/>
    <col min="12796" max="12796" width="10" style="30" customWidth="1"/>
    <col min="12797" max="12814" width="6.33203125" style="30" customWidth="1"/>
    <col min="12815" max="12815" width="7.5546875" style="30" customWidth="1"/>
    <col min="12816" max="12816" width="7.44140625" style="30" customWidth="1"/>
    <col min="12817" max="13046" width="9.33203125" style="30"/>
    <col min="13047" max="13047" width="5.6640625" style="30" customWidth="1"/>
    <col min="13048" max="13048" width="15.5546875" style="30" customWidth="1"/>
    <col min="13049" max="13049" width="8" style="30" customWidth="1"/>
    <col min="13050" max="13050" width="9.44140625" style="30" customWidth="1"/>
    <col min="13051" max="13051" width="6.6640625" style="30" customWidth="1"/>
    <col min="13052" max="13052" width="10" style="30" customWidth="1"/>
    <col min="13053" max="13070" width="6.33203125" style="30" customWidth="1"/>
    <col min="13071" max="13071" width="7.5546875" style="30" customWidth="1"/>
    <col min="13072" max="13072" width="7.44140625" style="30" customWidth="1"/>
    <col min="13073" max="13302" width="9.33203125" style="30"/>
    <col min="13303" max="13303" width="5.6640625" style="30" customWidth="1"/>
    <col min="13304" max="13304" width="15.5546875" style="30" customWidth="1"/>
    <col min="13305" max="13305" width="8" style="30" customWidth="1"/>
    <col min="13306" max="13306" width="9.44140625" style="30" customWidth="1"/>
    <col min="13307" max="13307" width="6.6640625" style="30" customWidth="1"/>
    <col min="13308" max="13308" width="10" style="30" customWidth="1"/>
    <col min="13309" max="13326" width="6.33203125" style="30" customWidth="1"/>
    <col min="13327" max="13327" width="7.5546875" style="30" customWidth="1"/>
    <col min="13328" max="13328" width="7.44140625" style="30" customWidth="1"/>
    <col min="13329" max="13558" width="9.33203125" style="30"/>
    <col min="13559" max="13559" width="5.6640625" style="30" customWidth="1"/>
    <col min="13560" max="13560" width="15.5546875" style="30" customWidth="1"/>
    <col min="13561" max="13561" width="8" style="30" customWidth="1"/>
    <col min="13562" max="13562" width="9.44140625" style="30" customWidth="1"/>
    <col min="13563" max="13563" width="6.6640625" style="30" customWidth="1"/>
    <col min="13564" max="13564" width="10" style="30" customWidth="1"/>
    <col min="13565" max="13582" width="6.33203125" style="30" customWidth="1"/>
    <col min="13583" max="13583" width="7.5546875" style="30" customWidth="1"/>
    <col min="13584" max="13584" width="7.44140625" style="30" customWidth="1"/>
    <col min="13585" max="13814" width="9.33203125" style="30"/>
    <col min="13815" max="13815" width="5.6640625" style="30" customWidth="1"/>
    <col min="13816" max="13816" width="15.5546875" style="30" customWidth="1"/>
    <col min="13817" max="13817" width="8" style="30" customWidth="1"/>
    <col min="13818" max="13818" width="9.44140625" style="30" customWidth="1"/>
    <col min="13819" max="13819" width="6.6640625" style="30" customWidth="1"/>
    <col min="13820" max="13820" width="10" style="30" customWidth="1"/>
    <col min="13821" max="13838" width="6.33203125" style="30" customWidth="1"/>
    <col min="13839" max="13839" width="7.5546875" style="30" customWidth="1"/>
    <col min="13840" max="13840" width="7.44140625" style="30" customWidth="1"/>
    <col min="13841" max="14070" width="9.33203125" style="30"/>
    <col min="14071" max="14071" width="5.6640625" style="30" customWidth="1"/>
    <col min="14072" max="14072" width="15.5546875" style="30" customWidth="1"/>
    <col min="14073" max="14073" width="8" style="30" customWidth="1"/>
    <col min="14074" max="14074" width="9.44140625" style="30" customWidth="1"/>
    <col min="14075" max="14075" width="6.6640625" style="30" customWidth="1"/>
    <col min="14076" max="14076" width="10" style="30" customWidth="1"/>
    <col min="14077" max="14094" width="6.33203125" style="30" customWidth="1"/>
    <col min="14095" max="14095" width="7.5546875" style="30" customWidth="1"/>
    <col min="14096" max="14096" width="7.44140625" style="30" customWidth="1"/>
    <col min="14097" max="14326" width="9.33203125" style="30"/>
    <col min="14327" max="14327" width="5.6640625" style="30" customWidth="1"/>
    <col min="14328" max="14328" width="15.5546875" style="30" customWidth="1"/>
    <col min="14329" max="14329" width="8" style="30" customWidth="1"/>
    <col min="14330" max="14330" width="9.44140625" style="30" customWidth="1"/>
    <col min="14331" max="14331" width="6.6640625" style="30" customWidth="1"/>
    <col min="14332" max="14332" width="10" style="30" customWidth="1"/>
    <col min="14333" max="14350" width="6.33203125" style="30" customWidth="1"/>
    <col min="14351" max="14351" width="7.5546875" style="30" customWidth="1"/>
    <col min="14352" max="14352" width="7.44140625" style="30" customWidth="1"/>
    <col min="14353" max="14582" width="9.33203125" style="30"/>
    <col min="14583" max="14583" width="5.6640625" style="30" customWidth="1"/>
    <col min="14584" max="14584" width="15.5546875" style="30" customWidth="1"/>
    <col min="14585" max="14585" width="8" style="30" customWidth="1"/>
    <col min="14586" max="14586" width="9.44140625" style="30" customWidth="1"/>
    <col min="14587" max="14587" width="6.6640625" style="30" customWidth="1"/>
    <col min="14588" max="14588" width="10" style="30" customWidth="1"/>
    <col min="14589" max="14606" width="6.33203125" style="30" customWidth="1"/>
    <col min="14607" max="14607" width="7.5546875" style="30" customWidth="1"/>
    <col min="14608" max="14608" width="7.44140625" style="30" customWidth="1"/>
    <col min="14609" max="14838" width="9.33203125" style="30"/>
    <col min="14839" max="14839" width="5.6640625" style="30" customWidth="1"/>
    <col min="14840" max="14840" width="15.5546875" style="30" customWidth="1"/>
    <col min="14841" max="14841" width="8" style="30" customWidth="1"/>
    <col min="14842" max="14842" width="9.44140625" style="30" customWidth="1"/>
    <col min="14843" max="14843" width="6.6640625" style="30" customWidth="1"/>
    <col min="14844" max="14844" width="10" style="30" customWidth="1"/>
    <col min="14845" max="14862" width="6.33203125" style="30" customWidth="1"/>
    <col min="14863" max="14863" width="7.5546875" style="30" customWidth="1"/>
    <col min="14864" max="14864" width="7.44140625" style="30" customWidth="1"/>
    <col min="14865" max="15094" width="9.33203125" style="30"/>
    <col min="15095" max="15095" width="5.6640625" style="30" customWidth="1"/>
    <col min="15096" max="15096" width="15.5546875" style="30" customWidth="1"/>
    <col min="15097" max="15097" width="8" style="30" customWidth="1"/>
    <col min="15098" max="15098" width="9.44140625" style="30" customWidth="1"/>
    <col min="15099" max="15099" width="6.6640625" style="30" customWidth="1"/>
    <col min="15100" max="15100" width="10" style="30" customWidth="1"/>
    <col min="15101" max="15118" width="6.33203125" style="30" customWidth="1"/>
    <col min="15119" max="15119" width="7.5546875" style="30" customWidth="1"/>
    <col min="15120" max="15120" width="7.44140625" style="30" customWidth="1"/>
    <col min="15121" max="15350" width="9.33203125" style="30"/>
    <col min="15351" max="15351" width="5.6640625" style="30" customWidth="1"/>
    <col min="15352" max="15352" width="15.5546875" style="30" customWidth="1"/>
    <col min="15353" max="15353" width="8" style="30" customWidth="1"/>
    <col min="15354" max="15354" width="9.44140625" style="30" customWidth="1"/>
    <col min="15355" max="15355" width="6.6640625" style="30" customWidth="1"/>
    <col min="15356" max="15356" width="10" style="30" customWidth="1"/>
    <col min="15357" max="15374" width="6.33203125" style="30" customWidth="1"/>
    <col min="15375" max="15375" width="7.5546875" style="30" customWidth="1"/>
    <col min="15376" max="15376" width="7.44140625" style="30" customWidth="1"/>
    <col min="15377" max="15606" width="9.33203125" style="30"/>
    <col min="15607" max="15607" width="5.6640625" style="30" customWidth="1"/>
    <col min="15608" max="15608" width="15.5546875" style="30" customWidth="1"/>
    <col min="15609" max="15609" width="8" style="30" customWidth="1"/>
    <col min="15610" max="15610" width="9.44140625" style="30" customWidth="1"/>
    <col min="15611" max="15611" width="6.6640625" style="30" customWidth="1"/>
    <col min="15612" max="15612" width="10" style="30" customWidth="1"/>
    <col min="15613" max="15630" width="6.33203125" style="30" customWidth="1"/>
    <col min="15631" max="15631" width="7.5546875" style="30" customWidth="1"/>
    <col min="15632" max="15632" width="7.44140625" style="30" customWidth="1"/>
    <col min="15633" max="15862" width="9.33203125" style="30"/>
    <col min="15863" max="15863" width="5.6640625" style="30" customWidth="1"/>
    <col min="15864" max="15864" width="15.5546875" style="30" customWidth="1"/>
    <col min="15865" max="15865" width="8" style="30" customWidth="1"/>
    <col min="15866" max="15866" width="9.44140625" style="30" customWidth="1"/>
    <col min="15867" max="15867" width="6.6640625" style="30" customWidth="1"/>
    <col min="15868" max="15868" width="10" style="30" customWidth="1"/>
    <col min="15869" max="15886" width="6.33203125" style="30" customWidth="1"/>
    <col min="15887" max="15887" width="7.5546875" style="30" customWidth="1"/>
    <col min="15888" max="15888" width="7.44140625" style="30" customWidth="1"/>
    <col min="15889" max="16118" width="9.33203125" style="30"/>
    <col min="16119" max="16119" width="5.6640625" style="30" customWidth="1"/>
    <col min="16120" max="16120" width="15.5546875" style="30" customWidth="1"/>
    <col min="16121" max="16121" width="8" style="30" customWidth="1"/>
    <col min="16122" max="16122" width="9.44140625" style="30" customWidth="1"/>
    <col min="16123" max="16123" width="6.6640625" style="30" customWidth="1"/>
    <col min="16124" max="16124" width="10" style="30" customWidth="1"/>
    <col min="16125" max="16142" width="6.33203125" style="30" customWidth="1"/>
    <col min="16143" max="16143" width="7.5546875" style="30" customWidth="1"/>
    <col min="16144" max="16144" width="7.44140625" style="30" customWidth="1"/>
    <col min="16145" max="16384" width="9.33203125" style="30"/>
  </cols>
  <sheetData>
    <row r="1" spans="1:44" x14ac:dyDescent="0.2">
      <c r="A1" s="29"/>
      <c r="B1" s="29"/>
      <c r="C1" s="29"/>
      <c r="D1" s="29"/>
      <c r="E1" s="29"/>
      <c r="F1" s="29"/>
      <c r="G1" s="357">
        <v>2001</v>
      </c>
      <c r="H1" s="357"/>
      <c r="I1" s="357">
        <v>2002</v>
      </c>
      <c r="J1" s="357"/>
      <c r="K1" s="357">
        <v>2003</v>
      </c>
      <c r="L1" s="357"/>
      <c r="M1" s="357">
        <v>2004</v>
      </c>
      <c r="N1" s="357"/>
      <c r="O1" s="357">
        <v>2005</v>
      </c>
      <c r="P1" s="357"/>
      <c r="Q1" s="357">
        <v>2006</v>
      </c>
      <c r="R1" s="357"/>
      <c r="S1" s="357">
        <v>2007</v>
      </c>
      <c r="T1" s="357"/>
      <c r="U1" s="357">
        <v>2008</v>
      </c>
      <c r="V1" s="357"/>
      <c r="W1" s="357">
        <v>2009</v>
      </c>
      <c r="X1" s="357"/>
      <c r="Y1" s="357">
        <v>2010</v>
      </c>
      <c r="Z1" s="357"/>
      <c r="AA1" s="357">
        <v>2011</v>
      </c>
      <c r="AB1" s="357"/>
      <c r="AC1" s="357">
        <v>2012</v>
      </c>
      <c r="AD1" s="357"/>
      <c r="AE1" s="357">
        <v>2013</v>
      </c>
      <c r="AF1" s="357"/>
      <c r="AG1" s="357">
        <v>2014</v>
      </c>
      <c r="AH1" s="357"/>
      <c r="AI1" s="357">
        <v>2015</v>
      </c>
      <c r="AJ1" s="357"/>
      <c r="AK1" s="357">
        <v>2016</v>
      </c>
      <c r="AL1" s="357"/>
      <c r="AM1" s="357">
        <v>2017</v>
      </c>
      <c r="AN1" s="357"/>
      <c r="AO1" s="357">
        <v>2018</v>
      </c>
      <c r="AP1" s="357"/>
      <c r="AQ1" s="357">
        <v>2019</v>
      </c>
      <c r="AR1" s="357"/>
    </row>
    <row r="2" spans="1:44" ht="51.6" thickBot="1" x14ac:dyDescent="0.25">
      <c r="A2" s="31" t="s">
        <v>145</v>
      </c>
      <c r="B2" s="31" t="s">
        <v>146</v>
      </c>
      <c r="C2" s="31" t="s">
        <v>147</v>
      </c>
      <c r="D2" s="31" t="s">
        <v>148</v>
      </c>
      <c r="E2" s="31" t="s">
        <v>149</v>
      </c>
      <c r="F2" s="31" t="s">
        <v>150</v>
      </c>
      <c r="G2" s="31" t="s">
        <v>151</v>
      </c>
      <c r="H2" s="31" t="s">
        <v>152</v>
      </c>
      <c r="I2" s="31" t="s">
        <v>151</v>
      </c>
      <c r="J2" s="31" t="s">
        <v>152</v>
      </c>
      <c r="K2" s="31" t="s">
        <v>151</v>
      </c>
      <c r="L2" s="31" t="s">
        <v>152</v>
      </c>
      <c r="M2" s="31" t="s">
        <v>151</v>
      </c>
      <c r="N2" s="31" t="s">
        <v>152</v>
      </c>
      <c r="O2" s="31" t="s">
        <v>151</v>
      </c>
      <c r="P2" s="31" t="s">
        <v>152</v>
      </c>
      <c r="Q2" s="31" t="s">
        <v>151</v>
      </c>
      <c r="R2" s="31" t="s">
        <v>152</v>
      </c>
      <c r="S2" s="31" t="s">
        <v>151</v>
      </c>
      <c r="T2" s="31" t="s">
        <v>152</v>
      </c>
      <c r="U2" s="31" t="s">
        <v>151</v>
      </c>
      <c r="V2" s="31" t="s">
        <v>152</v>
      </c>
      <c r="W2" s="31" t="s">
        <v>151</v>
      </c>
      <c r="X2" s="31" t="s">
        <v>152</v>
      </c>
      <c r="Y2" s="31" t="s">
        <v>151</v>
      </c>
      <c r="Z2" s="31" t="s">
        <v>152</v>
      </c>
      <c r="AA2" s="31" t="s">
        <v>151</v>
      </c>
      <c r="AB2" s="31" t="s">
        <v>152</v>
      </c>
      <c r="AC2" s="31" t="s">
        <v>151</v>
      </c>
      <c r="AD2" s="31" t="s">
        <v>152</v>
      </c>
      <c r="AE2" s="31" t="s">
        <v>151</v>
      </c>
      <c r="AF2" s="31" t="s">
        <v>152</v>
      </c>
      <c r="AG2" s="31" t="s">
        <v>151</v>
      </c>
      <c r="AH2" s="31" t="s">
        <v>152</v>
      </c>
      <c r="AI2" s="31" t="s">
        <v>151</v>
      </c>
      <c r="AJ2" s="31" t="s">
        <v>152</v>
      </c>
      <c r="AK2" s="31" t="s">
        <v>151</v>
      </c>
      <c r="AL2" s="31" t="s">
        <v>152</v>
      </c>
      <c r="AM2" s="32" t="s">
        <v>151</v>
      </c>
      <c r="AN2" s="32" t="s">
        <v>152</v>
      </c>
      <c r="AO2" s="32" t="s">
        <v>151</v>
      </c>
      <c r="AP2" s="32" t="s">
        <v>152</v>
      </c>
      <c r="AQ2" s="32" t="s">
        <v>151</v>
      </c>
      <c r="AR2" s="32" t="s">
        <v>152</v>
      </c>
    </row>
    <row r="3" spans="1:44" ht="10.5" customHeight="1" thickTop="1" x14ac:dyDescent="0.2">
      <c r="A3" s="33">
        <v>301</v>
      </c>
      <c r="B3" s="33" t="s">
        <v>153</v>
      </c>
      <c r="C3" s="34" t="s">
        <v>154</v>
      </c>
      <c r="D3" s="33" t="s">
        <v>155</v>
      </c>
      <c r="E3" s="33">
        <v>-12</v>
      </c>
      <c r="F3" s="35" t="s">
        <v>156</v>
      </c>
      <c r="G3" s="34">
        <v>210</v>
      </c>
      <c r="H3" s="34">
        <v>3.5</v>
      </c>
      <c r="I3" s="34">
        <v>211</v>
      </c>
      <c r="J3" s="34">
        <v>4.4000000000000004</v>
      </c>
      <c r="K3" s="34">
        <v>209</v>
      </c>
      <c r="L3" s="34">
        <v>3.5</v>
      </c>
      <c r="M3" s="34">
        <v>211</v>
      </c>
      <c r="N3" s="34">
        <v>4.0999999999999996</v>
      </c>
      <c r="O3" s="34">
        <v>209</v>
      </c>
      <c r="P3" s="34">
        <v>3.5</v>
      </c>
      <c r="Q3" s="34">
        <v>208</v>
      </c>
      <c r="R3" s="34">
        <v>4</v>
      </c>
      <c r="S3" s="34">
        <v>202</v>
      </c>
      <c r="T3" s="34">
        <v>5.4</v>
      </c>
      <c r="U3" s="34">
        <v>210</v>
      </c>
      <c r="V3" s="34">
        <v>6.1</v>
      </c>
      <c r="W3" s="34">
        <v>174</v>
      </c>
      <c r="X3" s="34">
        <v>3.3</v>
      </c>
      <c r="Y3" s="34">
        <v>215</v>
      </c>
      <c r="Z3" s="34">
        <v>4.2</v>
      </c>
      <c r="AA3" s="34">
        <v>197</v>
      </c>
      <c r="AB3" s="34">
        <v>4.3</v>
      </c>
      <c r="AC3" s="34">
        <v>205</v>
      </c>
      <c r="AD3" s="34">
        <v>4.7</v>
      </c>
      <c r="AE3" s="36">
        <v>202</v>
      </c>
      <c r="AF3" s="36">
        <v>4.5999999999999996</v>
      </c>
      <c r="AG3" s="36">
        <v>186</v>
      </c>
      <c r="AH3" s="36">
        <v>6.7</v>
      </c>
      <c r="AI3" s="36">
        <v>197</v>
      </c>
      <c r="AJ3" s="36">
        <v>5.7</v>
      </c>
      <c r="AK3" s="36">
        <v>215</v>
      </c>
      <c r="AL3" s="36">
        <v>5.5</v>
      </c>
      <c r="AM3" s="37">
        <v>233</v>
      </c>
      <c r="AN3" s="37">
        <v>3.9</v>
      </c>
      <c r="AO3" s="37">
        <v>187</v>
      </c>
      <c r="AP3" s="37">
        <v>4.8</v>
      </c>
      <c r="AQ3" s="29"/>
      <c r="AR3" s="29"/>
    </row>
    <row r="4" spans="1:44" ht="10.5" customHeight="1" x14ac:dyDescent="0.2">
      <c r="A4" s="38">
        <v>601</v>
      </c>
      <c r="B4" s="38" t="s">
        <v>157</v>
      </c>
      <c r="C4" s="29" t="s">
        <v>158</v>
      </c>
      <c r="D4" s="38" t="s">
        <v>157</v>
      </c>
      <c r="E4" s="38">
        <v>-15</v>
      </c>
      <c r="F4" s="35" t="s">
        <v>159</v>
      </c>
      <c r="G4" s="29">
        <v>226</v>
      </c>
      <c r="H4" s="29">
        <v>3.1</v>
      </c>
      <c r="I4" s="29">
        <v>230</v>
      </c>
      <c r="J4" s="29">
        <v>3.8</v>
      </c>
      <c r="K4" s="29">
        <v>221</v>
      </c>
      <c r="L4" s="29">
        <v>2.5</v>
      </c>
      <c r="M4" s="29">
        <v>239</v>
      </c>
      <c r="N4" s="29">
        <v>3.8</v>
      </c>
      <c r="O4" s="29">
        <v>228</v>
      </c>
      <c r="P4" s="29">
        <v>2.8</v>
      </c>
      <c r="Q4" s="29">
        <v>223</v>
      </c>
      <c r="R4" s="29">
        <v>3.1</v>
      </c>
      <c r="S4" s="29">
        <v>245</v>
      </c>
      <c r="T4" s="29">
        <v>5.5</v>
      </c>
      <c r="U4" s="29">
        <v>242</v>
      </c>
      <c r="V4" s="29">
        <v>5.4</v>
      </c>
      <c r="W4" s="29">
        <v>182</v>
      </c>
      <c r="X4" s="29">
        <v>2</v>
      </c>
      <c r="Y4" s="29">
        <v>239</v>
      </c>
      <c r="Z4" s="29">
        <v>3.8</v>
      </c>
      <c r="AA4" s="29">
        <v>203</v>
      </c>
      <c r="AB4" s="29">
        <v>2.8</v>
      </c>
      <c r="AC4" s="29">
        <v>217</v>
      </c>
      <c r="AD4" s="29">
        <v>3.3</v>
      </c>
      <c r="AE4" s="36">
        <v>214</v>
      </c>
      <c r="AF4" s="36">
        <v>3.5</v>
      </c>
      <c r="AG4" s="37">
        <v>239</v>
      </c>
      <c r="AH4" s="37">
        <v>6.7</v>
      </c>
      <c r="AI4" s="36">
        <v>208</v>
      </c>
      <c r="AJ4" s="36">
        <v>4.9000000000000004</v>
      </c>
      <c r="AK4" s="36">
        <v>232</v>
      </c>
      <c r="AL4" s="36">
        <v>4.4000000000000004</v>
      </c>
      <c r="AM4" s="37">
        <v>237</v>
      </c>
      <c r="AN4" s="37">
        <v>3.9</v>
      </c>
      <c r="AO4" s="37">
        <v>201</v>
      </c>
      <c r="AP4" s="37">
        <v>3.5</v>
      </c>
      <c r="AQ4" s="29"/>
      <c r="AR4" s="29"/>
    </row>
    <row r="5" spans="1:44" ht="10.5" customHeight="1" x14ac:dyDescent="0.2">
      <c r="A5" s="38">
        <v>602</v>
      </c>
      <c r="B5" s="38" t="s">
        <v>160</v>
      </c>
      <c r="C5" s="29" t="s">
        <v>161</v>
      </c>
      <c r="D5" s="38" t="s">
        <v>157</v>
      </c>
      <c r="E5" s="38">
        <v>-16</v>
      </c>
      <c r="F5" s="35" t="s">
        <v>159</v>
      </c>
      <c r="G5" s="29">
        <v>240</v>
      </c>
      <c r="H5" s="29">
        <v>3.3</v>
      </c>
      <c r="I5" s="29">
        <v>234</v>
      </c>
      <c r="J5" s="29">
        <v>3.7</v>
      </c>
      <c r="K5" s="29">
        <v>224</v>
      </c>
      <c r="L5" s="29">
        <v>2.4</v>
      </c>
      <c r="M5" s="29">
        <v>251</v>
      </c>
      <c r="N5" s="29">
        <v>4.2</v>
      </c>
      <c r="O5" s="29">
        <v>242</v>
      </c>
      <c r="P5" s="29">
        <v>3.5</v>
      </c>
      <c r="Q5" s="29">
        <v>237</v>
      </c>
      <c r="R5" s="29">
        <v>3.5</v>
      </c>
      <c r="S5" s="29">
        <v>246</v>
      </c>
      <c r="T5" s="29">
        <v>4.9000000000000004</v>
      </c>
      <c r="U5" s="29">
        <v>244</v>
      </c>
      <c r="V5" s="29">
        <v>4.8</v>
      </c>
      <c r="W5" s="29">
        <v>212</v>
      </c>
      <c r="X5" s="29">
        <v>3</v>
      </c>
      <c r="Y5" s="29">
        <v>246</v>
      </c>
      <c r="Z5" s="29">
        <v>3.4</v>
      </c>
      <c r="AA5" s="29">
        <v>215</v>
      </c>
      <c r="AB5" s="29">
        <v>2.7</v>
      </c>
      <c r="AC5" s="29">
        <v>220</v>
      </c>
      <c r="AD5" s="29">
        <v>3.1</v>
      </c>
      <c r="AE5" s="34">
        <v>216</v>
      </c>
      <c r="AF5" s="39">
        <v>3</v>
      </c>
      <c r="AG5" s="29">
        <v>231</v>
      </c>
      <c r="AH5" s="29">
        <v>5.8</v>
      </c>
      <c r="AI5" s="36">
        <v>214</v>
      </c>
      <c r="AJ5" s="40">
        <v>4.5999999999999996</v>
      </c>
      <c r="AK5" s="36">
        <v>230</v>
      </c>
      <c r="AL5" s="40">
        <v>3.8</v>
      </c>
      <c r="AM5" s="37">
        <v>239</v>
      </c>
      <c r="AN5" s="37">
        <v>4.0999999999999996</v>
      </c>
      <c r="AO5" s="37">
        <v>189</v>
      </c>
      <c r="AP5" s="37">
        <v>2.7</v>
      </c>
      <c r="AQ5" s="29"/>
      <c r="AR5" s="29"/>
    </row>
    <row r="6" spans="1:44" ht="10.5" customHeight="1" x14ac:dyDescent="0.2">
      <c r="A6" s="38">
        <v>701</v>
      </c>
      <c r="B6" s="38" t="s">
        <v>162</v>
      </c>
      <c r="C6" s="29" t="s">
        <v>163</v>
      </c>
      <c r="D6" s="38" t="s">
        <v>164</v>
      </c>
      <c r="E6" s="38">
        <v>-15</v>
      </c>
      <c r="F6" s="35" t="s">
        <v>156</v>
      </c>
      <c r="G6" s="29">
        <v>225</v>
      </c>
      <c r="H6" s="29">
        <v>2.9</v>
      </c>
      <c r="I6" s="29">
        <v>223</v>
      </c>
      <c r="J6" s="29">
        <v>3.3</v>
      </c>
      <c r="K6" s="29">
        <v>228</v>
      </c>
      <c r="L6" s="29">
        <v>2.4</v>
      </c>
      <c r="M6" s="29">
        <v>243</v>
      </c>
      <c r="N6" s="29">
        <v>3.6</v>
      </c>
      <c r="O6" s="29">
        <v>229</v>
      </c>
      <c r="P6" s="29">
        <v>2.5</v>
      </c>
      <c r="Q6" s="29">
        <v>225</v>
      </c>
      <c r="R6" s="29">
        <v>2.7</v>
      </c>
      <c r="S6" s="29">
        <v>250</v>
      </c>
      <c r="T6" s="29">
        <v>4.8</v>
      </c>
      <c r="U6" s="35">
        <v>242</v>
      </c>
      <c r="V6" s="29">
        <v>4.8</v>
      </c>
      <c r="W6" s="35">
        <v>233</v>
      </c>
      <c r="X6" s="29">
        <v>3.9</v>
      </c>
      <c r="Y6" s="35">
        <v>234</v>
      </c>
      <c r="Z6" s="29">
        <v>2.6</v>
      </c>
      <c r="AA6" s="29">
        <v>222</v>
      </c>
      <c r="AB6" s="29">
        <v>2.2999999999999998</v>
      </c>
      <c r="AC6" s="29">
        <v>218</v>
      </c>
      <c r="AD6" s="29">
        <v>2.4</v>
      </c>
      <c r="AE6" s="36">
        <v>223</v>
      </c>
      <c r="AF6" s="36">
        <v>3.2</v>
      </c>
      <c r="AG6" s="37">
        <v>237</v>
      </c>
      <c r="AH6" s="37">
        <v>5.8</v>
      </c>
      <c r="AI6" s="36">
        <v>219</v>
      </c>
      <c r="AJ6" s="36">
        <v>4.4000000000000004</v>
      </c>
      <c r="AK6" s="36">
        <v>244</v>
      </c>
      <c r="AL6" s="36">
        <v>4.2</v>
      </c>
      <c r="AM6" s="37">
        <v>231</v>
      </c>
      <c r="AN6" s="37">
        <v>3.4</v>
      </c>
      <c r="AO6" s="37">
        <v>196</v>
      </c>
      <c r="AP6" s="37">
        <v>2.6</v>
      </c>
      <c r="AQ6" s="29"/>
      <c r="AR6" s="29"/>
    </row>
    <row r="7" spans="1:44" ht="10.5" customHeight="1" x14ac:dyDescent="0.2">
      <c r="A7" s="38">
        <v>101</v>
      </c>
      <c r="B7" s="38" t="s">
        <v>165</v>
      </c>
      <c r="C7" s="38" t="s">
        <v>166</v>
      </c>
      <c r="D7" s="38" t="s">
        <v>167</v>
      </c>
      <c r="E7" s="38">
        <v>-11</v>
      </c>
      <c r="F7" s="35" t="s">
        <v>156</v>
      </c>
      <c r="G7" s="29">
        <v>205</v>
      </c>
      <c r="H7" s="29">
        <v>3.9</v>
      </c>
      <c r="I7" s="29">
        <v>207</v>
      </c>
      <c r="J7" s="29">
        <v>5.0999999999999996</v>
      </c>
      <c r="K7" s="29">
        <v>200</v>
      </c>
      <c r="L7" s="29">
        <v>3.4</v>
      </c>
      <c r="M7" s="29">
        <v>205</v>
      </c>
      <c r="N7" s="29">
        <v>4.0999999999999996</v>
      </c>
      <c r="O7" s="29">
        <v>211</v>
      </c>
      <c r="P7" s="29">
        <v>4.0999999999999996</v>
      </c>
      <c r="Q7" s="29">
        <v>197</v>
      </c>
      <c r="R7" s="29">
        <v>4.3</v>
      </c>
      <c r="S7" s="29">
        <v>192</v>
      </c>
      <c r="T7" s="29">
        <v>5.2</v>
      </c>
      <c r="U7" s="35">
        <v>214</v>
      </c>
      <c r="V7" s="29">
        <v>6.3</v>
      </c>
      <c r="W7" s="35">
        <v>175</v>
      </c>
      <c r="X7" s="29">
        <v>3.3</v>
      </c>
      <c r="Y7" s="29">
        <v>215</v>
      </c>
      <c r="Z7" s="29">
        <v>4</v>
      </c>
      <c r="AA7" s="29">
        <v>190</v>
      </c>
      <c r="AB7" s="29">
        <v>4.5999999999999996</v>
      </c>
      <c r="AC7" s="29">
        <v>201</v>
      </c>
      <c r="AD7" s="29">
        <v>4.7</v>
      </c>
      <c r="AE7" s="34">
        <v>202</v>
      </c>
      <c r="AF7" s="34">
        <v>4.7</v>
      </c>
      <c r="AG7" s="29">
        <v>182</v>
      </c>
      <c r="AH7" s="29">
        <v>6.2</v>
      </c>
      <c r="AI7" s="36">
        <v>183</v>
      </c>
      <c r="AJ7" s="36">
        <v>5.6</v>
      </c>
      <c r="AK7" s="36">
        <v>206</v>
      </c>
      <c r="AL7" s="36">
        <v>5.3</v>
      </c>
      <c r="AM7" s="37">
        <v>207</v>
      </c>
      <c r="AN7" s="37">
        <v>5.5</v>
      </c>
      <c r="AO7" s="37">
        <v>181</v>
      </c>
      <c r="AP7" s="37">
        <v>4.7</v>
      </c>
      <c r="AQ7" s="29"/>
      <c r="AR7" s="29"/>
    </row>
    <row r="8" spans="1:44" ht="10.5" customHeight="1" x14ac:dyDescent="0.2">
      <c r="A8" s="38">
        <v>102</v>
      </c>
      <c r="B8" s="38" t="s">
        <v>168</v>
      </c>
      <c r="C8" s="38" t="s">
        <v>169</v>
      </c>
      <c r="D8" s="38" t="s">
        <v>167</v>
      </c>
      <c r="E8" s="38">
        <v>-11</v>
      </c>
      <c r="F8" s="35" t="s">
        <v>156</v>
      </c>
      <c r="G8" s="29">
        <v>205</v>
      </c>
      <c r="H8" s="29">
        <v>3.9</v>
      </c>
      <c r="I8" s="29">
        <v>207</v>
      </c>
      <c r="J8" s="29">
        <v>5.0999999999999996</v>
      </c>
      <c r="K8" s="29">
        <v>200</v>
      </c>
      <c r="L8" s="29">
        <v>3.4</v>
      </c>
      <c r="M8" s="29">
        <v>205</v>
      </c>
      <c r="N8" s="29">
        <v>4.0999999999999996</v>
      </c>
      <c r="O8" s="29">
        <v>211</v>
      </c>
      <c r="P8" s="29">
        <v>4.0999999999999996</v>
      </c>
      <c r="Q8" s="29">
        <v>197</v>
      </c>
      <c r="R8" s="29">
        <v>4.3</v>
      </c>
      <c r="S8" s="29">
        <v>192</v>
      </c>
      <c r="T8" s="29">
        <v>5.2</v>
      </c>
      <c r="U8" s="29">
        <v>214</v>
      </c>
      <c r="V8" s="29">
        <v>6.3</v>
      </c>
      <c r="W8" s="29">
        <v>175</v>
      </c>
      <c r="X8" s="29">
        <v>3.3</v>
      </c>
      <c r="Y8" s="29">
        <v>215</v>
      </c>
      <c r="Z8" s="29">
        <v>4</v>
      </c>
      <c r="AA8" s="29">
        <v>190</v>
      </c>
      <c r="AB8" s="29">
        <v>4.5999999999999996</v>
      </c>
      <c r="AC8" s="29">
        <v>201</v>
      </c>
      <c r="AD8" s="29">
        <v>4.7</v>
      </c>
      <c r="AE8" s="34">
        <v>202</v>
      </c>
      <c r="AF8" s="34">
        <v>4.7</v>
      </c>
      <c r="AG8" s="29">
        <v>182</v>
      </c>
      <c r="AH8" s="29">
        <v>6.2</v>
      </c>
      <c r="AI8" s="36">
        <v>183</v>
      </c>
      <c r="AJ8" s="36">
        <v>5.6</v>
      </c>
      <c r="AK8" s="36">
        <v>205</v>
      </c>
      <c r="AL8" s="36">
        <v>5.3</v>
      </c>
      <c r="AM8" s="37">
        <v>207</v>
      </c>
      <c r="AN8" s="37">
        <v>5.5</v>
      </c>
      <c r="AO8" s="37">
        <v>181</v>
      </c>
      <c r="AP8" s="37">
        <v>4.7</v>
      </c>
      <c r="AQ8" s="29"/>
      <c r="AR8" s="29"/>
    </row>
    <row r="9" spans="1:44" ht="10.5" customHeight="1" x14ac:dyDescent="0.2">
      <c r="A9" s="38">
        <v>103</v>
      </c>
      <c r="B9" s="38" t="s">
        <v>170</v>
      </c>
      <c r="C9" s="38" t="s">
        <v>171</v>
      </c>
      <c r="D9" s="38" t="s">
        <v>167</v>
      </c>
      <c r="E9" s="38">
        <v>-11</v>
      </c>
      <c r="F9" s="35" t="s">
        <v>156</v>
      </c>
      <c r="G9" s="29">
        <v>205</v>
      </c>
      <c r="H9" s="29">
        <v>3.9</v>
      </c>
      <c r="I9" s="29">
        <v>207</v>
      </c>
      <c r="J9" s="29">
        <v>5.0999999999999996</v>
      </c>
      <c r="K9" s="29">
        <v>200</v>
      </c>
      <c r="L9" s="29">
        <v>3.4</v>
      </c>
      <c r="M9" s="29">
        <v>205</v>
      </c>
      <c r="N9" s="29">
        <v>4.0999999999999996</v>
      </c>
      <c r="O9" s="29">
        <v>211</v>
      </c>
      <c r="P9" s="29">
        <v>4.0999999999999996</v>
      </c>
      <c r="Q9" s="29">
        <v>192</v>
      </c>
      <c r="R9" s="29">
        <v>3.5</v>
      </c>
      <c r="S9" s="29">
        <v>192</v>
      </c>
      <c r="T9" s="29">
        <v>5.2</v>
      </c>
      <c r="U9" s="29">
        <v>215</v>
      </c>
      <c r="V9" s="29">
        <v>6</v>
      </c>
      <c r="W9" s="29">
        <v>175</v>
      </c>
      <c r="X9" s="29">
        <v>2.7</v>
      </c>
      <c r="Y9" s="29">
        <v>214</v>
      </c>
      <c r="Z9" s="29">
        <v>3.7</v>
      </c>
      <c r="AA9" s="29">
        <v>197</v>
      </c>
      <c r="AB9" s="29">
        <v>4.3</v>
      </c>
      <c r="AC9" s="29">
        <v>193</v>
      </c>
      <c r="AD9" s="29">
        <v>3.7</v>
      </c>
      <c r="AE9" s="34">
        <v>206</v>
      </c>
      <c r="AF9" s="34">
        <v>4.2</v>
      </c>
      <c r="AG9" s="29">
        <v>194</v>
      </c>
      <c r="AH9" s="29">
        <v>6.7</v>
      </c>
      <c r="AI9" s="36">
        <v>187</v>
      </c>
      <c r="AJ9" s="36">
        <v>5.5</v>
      </c>
      <c r="AK9" s="36">
        <v>209</v>
      </c>
      <c r="AL9" s="36">
        <v>5</v>
      </c>
      <c r="AM9" s="37">
        <v>207</v>
      </c>
      <c r="AN9" s="37">
        <v>5.5</v>
      </c>
      <c r="AO9" s="37">
        <v>182</v>
      </c>
      <c r="AP9" s="37">
        <v>4.0999999999999996</v>
      </c>
      <c r="AQ9" s="29"/>
      <c r="AR9" s="29"/>
    </row>
    <row r="10" spans="1:44" ht="10.5" customHeight="1" x14ac:dyDescent="0.2">
      <c r="A10" s="38">
        <v>104</v>
      </c>
      <c r="B10" s="38" t="s">
        <v>172</v>
      </c>
      <c r="C10" s="38" t="s">
        <v>173</v>
      </c>
      <c r="D10" s="38" t="s">
        <v>167</v>
      </c>
      <c r="E10" s="38">
        <v>-11</v>
      </c>
      <c r="F10" s="35" t="s">
        <v>156</v>
      </c>
      <c r="G10" s="29">
        <v>205</v>
      </c>
      <c r="H10" s="29">
        <v>3.9</v>
      </c>
      <c r="I10" s="29">
        <v>207</v>
      </c>
      <c r="J10" s="29">
        <v>5.0999999999999996</v>
      </c>
      <c r="K10" s="29">
        <v>200</v>
      </c>
      <c r="L10" s="29">
        <v>3.4</v>
      </c>
      <c r="M10" s="29">
        <v>205</v>
      </c>
      <c r="N10" s="29">
        <v>4.0999999999999996</v>
      </c>
      <c r="O10" s="29">
        <v>211</v>
      </c>
      <c r="P10" s="29">
        <v>4.0999999999999996</v>
      </c>
      <c r="Q10" s="29">
        <v>192</v>
      </c>
      <c r="R10" s="29">
        <v>3.5</v>
      </c>
      <c r="S10" s="29">
        <v>192</v>
      </c>
      <c r="T10" s="29">
        <v>5.2</v>
      </c>
      <c r="U10" s="29">
        <v>215</v>
      </c>
      <c r="V10" s="29">
        <v>6</v>
      </c>
      <c r="W10" s="29">
        <v>175</v>
      </c>
      <c r="X10" s="29">
        <v>3.3</v>
      </c>
      <c r="Y10" s="29">
        <v>215</v>
      </c>
      <c r="Z10" s="29">
        <v>4</v>
      </c>
      <c r="AA10" s="29">
        <v>190</v>
      </c>
      <c r="AB10" s="29">
        <v>4.5999999999999996</v>
      </c>
      <c r="AC10" s="29">
        <v>201</v>
      </c>
      <c r="AD10" s="29">
        <v>4.7</v>
      </c>
      <c r="AE10" s="34">
        <v>202</v>
      </c>
      <c r="AF10" s="34">
        <v>4.5999999999999996</v>
      </c>
      <c r="AG10" s="29">
        <v>182</v>
      </c>
      <c r="AH10" s="29">
        <v>6.2</v>
      </c>
      <c r="AI10" s="36">
        <v>192</v>
      </c>
      <c r="AJ10" s="36">
        <v>6.3</v>
      </c>
      <c r="AK10" s="36">
        <v>209</v>
      </c>
      <c r="AL10" s="36">
        <v>5.3</v>
      </c>
      <c r="AM10" s="37">
        <v>203</v>
      </c>
      <c r="AN10" s="37">
        <v>5.0999999999999996</v>
      </c>
      <c r="AO10" s="37">
        <v>182</v>
      </c>
      <c r="AP10" s="37">
        <v>4.5</v>
      </c>
      <c r="AQ10" s="29"/>
      <c r="AR10" s="29"/>
    </row>
    <row r="11" spans="1:44" ht="10.5" customHeight="1" x14ac:dyDescent="0.2">
      <c r="A11" s="38">
        <v>105</v>
      </c>
      <c r="B11" s="38" t="s">
        <v>174</v>
      </c>
      <c r="C11" s="38" t="s">
        <v>175</v>
      </c>
      <c r="D11" s="38" t="s">
        <v>167</v>
      </c>
      <c r="E11" s="38">
        <v>-11</v>
      </c>
      <c r="F11" s="35" t="s">
        <v>156</v>
      </c>
      <c r="G11" s="29">
        <v>205</v>
      </c>
      <c r="H11" s="29">
        <v>3.9</v>
      </c>
      <c r="I11" s="29">
        <v>207</v>
      </c>
      <c r="J11" s="29">
        <v>5.0999999999999996</v>
      </c>
      <c r="K11" s="29">
        <v>200</v>
      </c>
      <c r="L11" s="29">
        <v>3.4</v>
      </c>
      <c r="M11" s="29">
        <v>205</v>
      </c>
      <c r="N11" s="29">
        <v>4.0999999999999996</v>
      </c>
      <c r="O11" s="29">
        <v>211</v>
      </c>
      <c r="P11" s="29">
        <v>4.0999999999999996</v>
      </c>
      <c r="Q11" s="29">
        <v>192</v>
      </c>
      <c r="R11" s="29">
        <v>3.5</v>
      </c>
      <c r="S11" s="29">
        <v>192</v>
      </c>
      <c r="T11" s="29">
        <v>5.2</v>
      </c>
      <c r="U11" s="29">
        <v>214</v>
      </c>
      <c r="V11" s="29">
        <v>6.3</v>
      </c>
      <c r="W11" s="29">
        <v>175</v>
      </c>
      <c r="X11" s="29">
        <v>3.3</v>
      </c>
      <c r="Y11" s="29">
        <v>215</v>
      </c>
      <c r="Z11" s="29">
        <v>4</v>
      </c>
      <c r="AA11" s="29">
        <v>190</v>
      </c>
      <c r="AB11" s="29">
        <v>4.5999999999999996</v>
      </c>
      <c r="AC11" s="29">
        <v>201</v>
      </c>
      <c r="AD11" s="29">
        <v>4.7</v>
      </c>
      <c r="AE11" s="34">
        <v>202</v>
      </c>
      <c r="AF11" s="34">
        <v>4.7</v>
      </c>
      <c r="AG11" s="29">
        <v>182</v>
      </c>
      <c r="AH11" s="29">
        <v>6.2</v>
      </c>
      <c r="AI11" s="36">
        <v>192</v>
      </c>
      <c r="AJ11" s="36">
        <v>6.3</v>
      </c>
      <c r="AK11" s="36">
        <v>209</v>
      </c>
      <c r="AL11" s="36">
        <v>5</v>
      </c>
      <c r="AM11" s="37">
        <v>203</v>
      </c>
      <c r="AN11" s="37">
        <v>5.0999999999999996</v>
      </c>
      <c r="AO11" s="37">
        <v>181</v>
      </c>
      <c r="AP11" s="37">
        <v>4.7</v>
      </c>
      <c r="AQ11" s="29"/>
      <c r="AR11" s="29"/>
    </row>
    <row r="12" spans="1:44" ht="10.5" customHeight="1" x14ac:dyDescent="0.2">
      <c r="A12" s="38">
        <v>603</v>
      </c>
      <c r="B12" s="38" t="s">
        <v>176</v>
      </c>
      <c r="C12" s="29" t="s">
        <v>177</v>
      </c>
      <c r="D12" s="38" t="s">
        <v>157</v>
      </c>
      <c r="E12" s="38">
        <v>-16</v>
      </c>
      <c r="F12" s="35" t="s">
        <v>159</v>
      </c>
      <c r="G12" s="29">
        <v>237</v>
      </c>
      <c r="H12" s="29">
        <v>2.5</v>
      </c>
      <c r="I12" s="29">
        <v>236</v>
      </c>
      <c r="J12" s="29">
        <v>2.7</v>
      </c>
      <c r="K12" s="29">
        <v>233</v>
      </c>
      <c r="L12" s="29">
        <v>1.4</v>
      </c>
      <c r="M12" s="29">
        <v>252</v>
      </c>
      <c r="N12" s="29">
        <v>3.1</v>
      </c>
      <c r="O12" s="29">
        <v>247</v>
      </c>
      <c r="P12" s="29">
        <v>2</v>
      </c>
      <c r="Q12" s="29">
        <v>248</v>
      </c>
      <c r="R12" s="29">
        <v>2.7</v>
      </c>
      <c r="S12" s="29">
        <v>252</v>
      </c>
      <c r="T12" s="29">
        <v>4.4000000000000004</v>
      </c>
      <c r="U12" s="29">
        <v>246</v>
      </c>
      <c r="V12" s="29">
        <v>4.4000000000000004</v>
      </c>
      <c r="W12" s="29">
        <v>235</v>
      </c>
      <c r="X12" s="29">
        <v>3.5</v>
      </c>
      <c r="Y12" s="29">
        <v>250</v>
      </c>
      <c r="Z12" s="29">
        <v>3.2</v>
      </c>
      <c r="AA12" s="29">
        <v>231</v>
      </c>
      <c r="AB12" s="29">
        <v>2.7</v>
      </c>
      <c r="AC12" s="29">
        <v>222</v>
      </c>
      <c r="AD12" s="29">
        <v>1.9</v>
      </c>
      <c r="AE12" s="34">
        <v>228</v>
      </c>
      <c r="AF12" s="34">
        <v>3.1</v>
      </c>
      <c r="AG12" s="29">
        <v>238</v>
      </c>
      <c r="AH12" s="29">
        <v>5.9</v>
      </c>
      <c r="AI12" s="36">
        <v>221</v>
      </c>
      <c r="AJ12" s="36">
        <v>5.0999999999999996</v>
      </c>
      <c r="AK12" s="36">
        <v>239</v>
      </c>
      <c r="AL12" s="36">
        <v>3.8</v>
      </c>
      <c r="AM12" s="37">
        <v>237</v>
      </c>
      <c r="AN12" s="37">
        <v>2.7</v>
      </c>
      <c r="AO12" s="37">
        <v>209</v>
      </c>
      <c r="AP12" s="37">
        <v>2.5</v>
      </c>
      <c r="AQ12" s="29"/>
      <c r="AR12" s="29"/>
    </row>
    <row r="13" spans="1:44" ht="10.5" customHeight="1" x14ac:dyDescent="0.2">
      <c r="A13" s="38">
        <v>501</v>
      </c>
      <c r="B13" s="38" t="s">
        <v>178</v>
      </c>
      <c r="C13" s="29" t="s">
        <v>179</v>
      </c>
      <c r="D13" s="38" t="s">
        <v>180</v>
      </c>
      <c r="E13" s="38">
        <v>-15</v>
      </c>
      <c r="F13" s="35" t="s">
        <v>159</v>
      </c>
      <c r="G13" s="29">
        <v>236</v>
      </c>
      <c r="H13" s="29">
        <v>3.3</v>
      </c>
      <c r="I13" s="29">
        <v>229</v>
      </c>
      <c r="J13" s="29">
        <v>3.4</v>
      </c>
      <c r="K13" s="29">
        <v>227</v>
      </c>
      <c r="L13" s="29">
        <v>2.6</v>
      </c>
      <c r="M13" s="29">
        <v>241</v>
      </c>
      <c r="N13" s="29">
        <v>3.7</v>
      </c>
      <c r="O13" s="29">
        <v>247</v>
      </c>
      <c r="P13" s="29">
        <v>3.2</v>
      </c>
      <c r="Q13" s="29">
        <v>227</v>
      </c>
      <c r="R13" s="29">
        <v>2.8</v>
      </c>
      <c r="S13" s="29">
        <v>258</v>
      </c>
      <c r="T13" s="29">
        <v>5.7</v>
      </c>
      <c r="U13" s="29">
        <v>242</v>
      </c>
      <c r="V13" s="29">
        <v>5.4</v>
      </c>
      <c r="W13" s="29">
        <v>212</v>
      </c>
      <c r="X13" s="29">
        <v>3.5</v>
      </c>
      <c r="Y13" s="29">
        <v>242</v>
      </c>
      <c r="Z13" s="29">
        <v>3.4</v>
      </c>
      <c r="AA13" s="29">
        <v>217</v>
      </c>
      <c r="AB13" s="29">
        <v>2.8</v>
      </c>
      <c r="AC13" s="29">
        <v>219</v>
      </c>
      <c r="AD13" s="29">
        <v>2.9</v>
      </c>
      <c r="AE13" s="34">
        <v>221</v>
      </c>
      <c r="AF13" s="34">
        <v>3.5</v>
      </c>
      <c r="AG13" s="29">
        <v>215</v>
      </c>
      <c r="AH13" s="29">
        <v>5.0999999999999996</v>
      </c>
      <c r="AI13" s="36">
        <v>216</v>
      </c>
      <c r="AJ13" s="36">
        <v>4.7</v>
      </c>
      <c r="AK13" s="36">
        <v>229</v>
      </c>
      <c r="AL13" s="36">
        <v>4.3</v>
      </c>
      <c r="AM13" s="37">
        <v>233</v>
      </c>
      <c r="AN13" s="37">
        <v>4.0999999999999996</v>
      </c>
      <c r="AO13" s="37">
        <v>202</v>
      </c>
      <c r="AP13" s="37">
        <v>3.6</v>
      </c>
      <c r="AQ13" s="29"/>
      <c r="AR13" s="29"/>
    </row>
    <row r="14" spans="1:44" ht="10.5" customHeight="1" x14ac:dyDescent="0.2">
      <c r="A14" s="38">
        <v>502</v>
      </c>
      <c r="B14" s="38" t="s">
        <v>181</v>
      </c>
      <c r="C14" s="29" t="s">
        <v>182</v>
      </c>
      <c r="D14" s="38" t="s">
        <v>180</v>
      </c>
      <c r="E14" s="38">
        <v>-15</v>
      </c>
      <c r="F14" s="35" t="s">
        <v>159</v>
      </c>
      <c r="G14" s="29">
        <v>243</v>
      </c>
      <c r="H14" s="29">
        <v>2.9</v>
      </c>
      <c r="I14" s="29">
        <v>240</v>
      </c>
      <c r="J14" s="29">
        <v>3.1</v>
      </c>
      <c r="K14" s="29">
        <v>239</v>
      </c>
      <c r="L14" s="29">
        <v>2.1</v>
      </c>
      <c r="M14" s="29">
        <v>264</v>
      </c>
      <c r="N14" s="29">
        <v>3.7</v>
      </c>
      <c r="O14" s="29">
        <v>261</v>
      </c>
      <c r="P14" s="29">
        <v>3</v>
      </c>
      <c r="Q14" s="29">
        <v>249</v>
      </c>
      <c r="R14" s="29">
        <v>3</v>
      </c>
      <c r="S14" s="29">
        <v>265</v>
      </c>
      <c r="T14" s="29">
        <v>4.9000000000000004</v>
      </c>
      <c r="U14" s="29">
        <v>253</v>
      </c>
      <c r="V14" s="29">
        <v>5</v>
      </c>
      <c r="W14" s="29">
        <v>235</v>
      </c>
      <c r="X14" s="29">
        <v>3.3</v>
      </c>
      <c r="Y14" s="29">
        <v>257</v>
      </c>
      <c r="Z14" s="29">
        <v>2.8</v>
      </c>
      <c r="AA14" s="29">
        <v>247</v>
      </c>
      <c r="AB14" s="29">
        <v>3.6</v>
      </c>
      <c r="AC14" s="29">
        <v>242</v>
      </c>
      <c r="AD14" s="29">
        <v>2.7</v>
      </c>
      <c r="AE14" s="36">
        <v>250</v>
      </c>
      <c r="AF14" s="36">
        <v>3.4</v>
      </c>
      <c r="AG14" s="37">
        <v>239</v>
      </c>
      <c r="AH14" s="37">
        <v>5.3</v>
      </c>
      <c r="AI14" s="36">
        <v>242</v>
      </c>
      <c r="AJ14" s="36">
        <v>4.4000000000000004</v>
      </c>
      <c r="AK14" s="36">
        <v>248</v>
      </c>
      <c r="AL14" s="36">
        <v>3.7</v>
      </c>
      <c r="AM14" s="37">
        <v>254</v>
      </c>
      <c r="AN14" s="37">
        <v>3.8</v>
      </c>
      <c r="AO14" s="37">
        <v>202</v>
      </c>
      <c r="AP14" s="37">
        <v>2.7</v>
      </c>
      <c r="AQ14" s="29"/>
      <c r="AR14" s="29"/>
    </row>
    <row r="15" spans="1:44" ht="10.5" customHeight="1" x14ac:dyDescent="0.2">
      <c r="A15" s="38">
        <v>604</v>
      </c>
      <c r="B15" s="38" t="s">
        <v>183</v>
      </c>
      <c r="C15" s="29" t="s">
        <v>184</v>
      </c>
      <c r="D15" s="38" t="s">
        <v>157</v>
      </c>
      <c r="E15" s="38">
        <v>-15</v>
      </c>
      <c r="F15" s="35" t="s">
        <v>159</v>
      </c>
      <c r="G15" s="29">
        <v>234</v>
      </c>
      <c r="H15" s="29">
        <v>2.7</v>
      </c>
      <c r="I15" s="29">
        <v>236</v>
      </c>
      <c r="J15" s="29">
        <v>3.5</v>
      </c>
      <c r="K15" s="29">
        <v>224</v>
      </c>
      <c r="L15" s="29">
        <v>1.7</v>
      </c>
      <c r="M15" s="29">
        <v>240</v>
      </c>
      <c r="N15" s="29">
        <v>3.6</v>
      </c>
      <c r="O15" s="29">
        <v>239</v>
      </c>
      <c r="P15" s="29">
        <v>2.6</v>
      </c>
      <c r="Q15" s="29">
        <v>234</v>
      </c>
      <c r="R15" s="29">
        <v>3.1</v>
      </c>
      <c r="S15" s="29">
        <v>237</v>
      </c>
      <c r="T15" s="29">
        <v>5</v>
      </c>
      <c r="U15" s="29">
        <v>242</v>
      </c>
      <c r="V15" s="29">
        <v>5.2</v>
      </c>
      <c r="W15" s="29">
        <v>219</v>
      </c>
      <c r="X15" s="29">
        <v>3.5</v>
      </c>
      <c r="Y15" s="29">
        <v>233</v>
      </c>
      <c r="Z15" s="29">
        <v>3.1</v>
      </c>
      <c r="AA15" s="29">
        <v>212</v>
      </c>
      <c r="AB15" s="29">
        <v>2.7</v>
      </c>
      <c r="AC15" s="29">
        <v>213</v>
      </c>
      <c r="AD15" s="29">
        <v>2.5</v>
      </c>
      <c r="AE15" s="36">
        <v>214</v>
      </c>
      <c r="AF15" s="36">
        <v>3.1</v>
      </c>
      <c r="AG15" s="37">
        <v>228</v>
      </c>
      <c r="AH15" s="37">
        <v>6</v>
      </c>
      <c r="AI15" s="36">
        <v>212</v>
      </c>
      <c r="AJ15" s="36">
        <v>4.0999999999999996</v>
      </c>
      <c r="AK15" s="36">
        <v>227</v>
      </c>
      <c r="AL15" s="36">
        <v>4</v>
      </c>
      <c r="AM15" s="37">
        <v>228</v>
      </c>
      <c r="AN15" s="37">
        <v>3.2</v>
      </c>
      <c r="AO15" s="37">
        <v>196</v>
      </c>
      <c r="AP15" s="37">
        <v>3</v>
      </c>
      <c r="AQ15" s="29"/>
      <c r="AR15" s="29"/>
    </row>
    <row r="16" spans="1:44" ht="10.5" customHeight="1" x14ac:dyDescent="0.2">
      <c r="A16" s="38">
        <v>503</v>
      </c>
      <c r="B16" s="38" t="s">
        <v>185</v>
      </c>
      <c r="C16" s="29" t="s">
        <v>186</v>
      </c>
      <c r="D16" s="38" t="s">
        <v>180</v>
      </c>
      <c r="E16" s="38">
        <v>-16</v>
      </c>
      <c r="F16" s="35" t="s">
        <v>159</v>
      </c>
      <c r="G16" s="29">
        <v>249</v>
      </c>
      <c r="H16" s="29">
        <v>2.9</v>
      </c>
      <c r="I16" s="29">
        <v>241</v>
      </c>
      <c r="J16" s="29">
        <v>3.1</v>
      </c>
      <c r="K16" s="29">
        <v>245</v>
      </c>
      <c r="L16" s="29">
        <v>2.2999999999999998</v>
      </c>
      <c r="M16" s="29">
        <v>273</v>
      </c>
      <c r="N16" s="29">
        <v>3.7</v>
      </c>
      <c r="O16" s="29">
        <v>247</v>
      </c>
      <c r="P16" s="29">
        <v>2.1</v>
      </c>
      <c r="Q16" s="29">
        <v>257</v>
      </c>
      <c r="R16" s="29">
        <v>2.9</v>
      </c>
      <c r="S16" s="29">
        <v>258</v>
      </c>
      <c r="T16" s="29">
        <v>4.3</v>
      </c>
      <c r="U16" s="29">
        <v>253</v>
      </c>
      <c r="V16" s="29">
        <v>4.8</v>
      </c>
      <c r="W16" s="29">
        <v>221</v>
      </c>
      <c r="X16" s="29">
        <v>2.8</v>
      </c>
      <c r="Y16" s="29">
        <v>255</v>
      </c>
      <c r="Z16" s="29">
        <v>2.8</v>
      </c>
      <c r="AA16" s="29">
        <v>237</v>
      </c>
      <c r="AB16" s="29">
        <v>2.5</v>
      </c>
      <c r="AC16" s="29">
        <v>238</v>
      </c>
      <c r="AD16" s="29">
        <v>2.4</v>
      </c>
      <c r="AE16" s="36">
        <v>249</v>
      </c>
      <c r="AF16" s="36">
        <v>3.6</v>
      </c>
      <c r="AG16" s="37">
        <v>245</v>
      </c>
      <c r="AH16" s="37">
        <v>5.4</v>
      </c>
      <c r="AI16" s="36">
        <v>249</v>
      </c>
      <c r="AJ16" s="36">
        <v>4.5999999999999996</v>
      </c>
      <c r="AK16" s="36">
        <v>246</v>
      </c>
      <c r="AL16" s="36">
        <v>3.4</v>
      </c>
      <c r="AM16" s="37">
        <v>256</v>
      </c>
      <c r="AN16" s="37">
        <v>4.4000000000000004</v>
      </c>
      <c r="AO16" s="37">
        <v>202</v>
      </c>
      <c r="AP16" s="37">
        <v>2.5</v>
      </c>
      <c r="AQ16" s="29"/>
      <c r="AR16" s="29"/>
    </row>
    <row r="17" spans="1:44" ht="9.6" customHeight="1" x14ac:dyDescent="0.2">
      <c r="A17" s="38">
        <v>201</v>
      </c>
      <c r="B17" s="38" t="s">
        <v>187</v>
      </c>
      <c r="C17" s="29" t="s">
        <v>188</v>
      </c>
      <c r="D17" s="38" t="s">
        <v>189</v>
      </c>
      <c r="E17" s="38">
        <v>-11</v>
      </c>
      <c r="F17" s="35" t="s">
        <v>156</v>
      </c>
      <c r="G17" s="29">
        <v>204</v>
      </c>
      <c r="H17" s="29">
        <v>4</v>
      </c>
      <c r="I17" s="29">
        <v>212</v>
      </c>
      <c r="J17" s="29">
        <v>5.0999999999999996</v>
      </c>
      <c r="K17" s="29">
        <v>197</v>
      </c>
      <c r="L17" s="29">
        <v>3.2</v>
      </c>
      <c r="M17" s="29">
        <v>200</v>
      </c>
      <c r="N17" s="29">
        <v>3.9</v>
      </c>
      <c r="O17" s="29">
        <v>207</v>
      </c>
      <c r="P17" s="29">
        <v>4.0999999999999996</v>
      </c>
      <c r="Q17" s="29">
        <v>192</v>
      </c>
      <c r="R17" s="29">
        <v>3.6</v>
      </c>
      <c r="S17" s="29">
        <v>202</v>
      </c>
      <c r="T17" s="29">
        <v>5.4</v>
      </c>
      <c r="U17" s="29">
        <v>210</v>
      </c>
      <c r="V17" s="29">
        <v>5.8</v>
      </c>
      <c r="W17" s="29">
        <v>174</v>
      </c>
      <c r="X17" s="29">
        <v>3.3</v>
      </c>
      <c r="Y17" s="29">
        <v>216</v>
      </c>
      <c r="Z17" s="29">
        <v>3.6</v>
      </c>
      <c r="AA17" s="29">
        <v>199</v>
      </c>
      <c r="AB17" s="29">
        <v>4.4000000000000004</v>
      </c>
      <c r="AC17" s="29">
        <v>211</v>
      </c>
      <c r="AD17" s="29">
        <v>4.8</v>
      </c>
      <c r="AE17" s="36">
        <v>211</v>
      </c>
      <c r="AF17" s="36">
        <v>4.7</v>
      </c>
      <c r="AG17" s="37">
        <v>176</v>
      </c>
      <c r="AH17" s="37">
        <v>6.2</v>
      </c>
      <c r="AI17" s="36">
        <v>186</v>
      </c>
      <c r="AJ17" s="36">
        <v>5.6</v>
      </c>
      <c r="AK17" s="36">
        <v>203</v>
      </c>
      <c r="AL17" s="36">
        <v>5.4</v>
      </c>
      <c r="AM17" s="37">
        <v>210</v>
      </c>
      <c r="AN17" s="37">
        <v>5.3</v>
      </c>
      <c r="AO17" s="37">
        <v>181</v>
      </c>
      <c r="AP17" s="37">
        <v>4.9000000000000004</v>
      </c>
      <c r="AQ17" s="29"/>
      <c r="AR17" s="29"/>
    </row>
    <row r="18" spans="1:44" ht="10.5" customHeight="1" x14ac:dyDescent="0.2">
      <c r="A18" s="38">
        <v>202</v>
      </c>
      <c r="B18" s="38" t="s">
        <v>190</v>
      </c>
      <c r="C18" s="29" t="s">
        <v>191</v>
      </c>
      <c r="D18" s="38" t="s">
        <v>189</v>
      </c>
      <c r="E18" s="38">
        <v>-11</v>
      </c>
      <c r="F18" s="35" t="s">
        <v>156</v>
      </c>
      <c r="G18" s="29">
        <v>201</v>
      </c>
      <c r="H18" s="29">
        <v>3.9</v>
      </c>
      <c r="I18" s="29">
        <v>212</v>
      </c>
      <c r="J18" s="29">
        <v>4.8</v>
      </c>
      <c r="K18" s="29">
        <v>207</v>
      </c>
      <c r="L18" s="29">
        <v>3.2</v>
      </c>
      <c r="M18" s="29">
        <v>206</v>
      </c>
      <c r="N18" s="29">
        <v>4.0999999999999996</v>
      </c>
      <c r="O18" s="29">
        <v>209</v>
      </c>
      <c r="P18" s="29">
        <v>3.8</v>
      </c>
      <c r="Q18" s="29">
        <v>198</v>
      </c>
      <c r="R18" s="29">
        <v>3.9</v>
      </c>
      <c r="S18" s="29">
        <v>208</v>
      </c>
      <c r="T18" s="29">
        <v>5.6</v>
      </c>
      <c r="U18" s="29">
        <v>221</v>
      </c>
      <c r="V18" s="29">
        <v>8.1</v>
      </c>
      <c r="W18" s="29">
        <v>176</v>
      </c>
      <c r="X18" s="29">
        <v>5.2</v>
      </c>
      <c r="Y18" s="29">
        <v>212</v>
      </c>
      <c r="Z18" s="29">
        <v>4.8</v>
      </c>
      <c r="AA18" s="29">
        <v>195</v>
      </c>
      <c r="AB18" s="29">
        <v>4.0999999999999996</v>
      </c>
      <c r="AC18" s="29">
        <v>194</v>
      </c>
      <c r="AD18" s="29">
        <v>4.4000000000000004</v>
      </c>
      <c r="AE18" s="34">
        <v>197</v>
      </c>
      <c r="AF18" s="34">
        <v>4.8</v>
      </c>
      <c r="AG18" s="37">
        <v>176</v>
      </c>
      <c r="AH18" s="37">
        <v>6.2</v>
      </c>
      <c r="AI18" s="34">
        <v>188</v>
      </c>
      <c r="AJ18" s="34">
        <v>5.7</v>
      </c>
      <c r="AK18" s="34">
        <v>214</v>
      </c>
      <c r="AL18" s="34">
        <v>6.1</v>
      </c>
      <c r="AM18" s="37">
        <v>200</v>
      </c>
      <c r="AN18" s="37">
        <v>5</v>
      </c>
      <c r="AO18" s="37">
        <v>180</v>
      </c>
      <c r="AP18" s="37">
        <v>4.9000000000000004</v>
      </c>
      <c r="AQ18" s="29"/>
      <c r="AR18" s="29"/>
    </row>
    <row r="19" spans="1:44" ht="10.5" customHeight="1" x14ac:dyDescent="0.2">
      <c r="A19" s="38">
        <v>801</v>
      </c>
      <c r="B19" s="38" t="s">
        <v>192</v>
      </c>
      <c r="C19" s="29" t="s">
        <v>193</v>
      </c>
      <c r="D19" s="38" t="s">
        <v>194</v>
      </c>
      <c r="E19" s="38">
        <v>-15</v>
      </c>
      <c r="F19" s="35" t="s">
        <v>159</v>
      </c>
      <c r="G19" s="29">
        <v>250</v>
      </c>
      <c r="H19" s="29">
        <v>3.1</v>
      </c>
      <c r="I19" s="29">
        <v>242</v>
      </c>
      <c r="J19" s="29">
        <v>2.9</v>
      </c>
      <c r="K19" s="29">
        <v>245</v>
      </c>
      <c r="L19" s="29">
        <v>1.7</v>
      </c>
      <c r="M19" s="29">
        <v>264</v>
      </c>
      <c r="N19" s="29">
        <v>3.2</v>
      </c>
      <c r="O19" s="29">
        <v>269</v>
      </c>
      <c r="P19" s="29">
        <v>2.8</v>
      </c>
      <c r="Q19" s="29">
        <v>264</v>
      </c>
      <c r="R19" s="29">
        <v>3.1</v>
      </c>
      <c r="S19" s="29">
        <v>253</v>
      </c>
      <c r="T19" s="29">
        <v>3.9</v>
      </c>
      <c r="U19" s="29">
        <v>246</v>
      </c>
      <c r="V19" s="29">
        <v>3.8</v>
      </c>
      <c r="W19" s="29">
        <v>249</v>
      </c>
      <c r="X19" s="29">
        <v>3.5</v>
      </c>
      <c r="Y19" s="29">
        <v>254</v>
      </c>
      <c r="Z19" s="29">
        <v>2.7</v>
      </c>
      <c r="AA19" s="29">
        <v>239</v>
      </c>
      <c r="AB19" s="29">
        <v>2.4</v>
      </c>
      <c r="AC19" s="29">
        <v>239</v>
      </c>
      <c r="AD19" s="29">
        <v>2.7</v>
      </c>
      <c r="AE19" s="36">
        <v>246</v>
      </c>
      <c r="AF19" s="40">
        <v>3</v>
      </c>
      <c r="AG19" s="37">
        <v>254</v>
      </c>
      <c r="AH19" s="37">
        <v>5.2</v>
      </c>
      <c r="AI19" s="36">
        <v>241</v>
      </c>
      <c r="AJ19" s="40">
        <v>3.9</v>
      </c>
      <c r="AK19" s="36">
        <v>245</v>
      </c>
      <c r="AL19" s="36">
        <v>3.2</v>
      </c>
      <c r="AM19" s="37">
        <v>251</v>
      </c>
      <c r="AN19" s="37">
        <v>3</v>
      </c>
      <c r="AO19" s="37">
        <v>225</v>
      </c>
      <c r="AP19" s="37">
        <v>3</v>
      </c>
      <c r="AQ19" s="29"/>
      <c r="AR19" s="29"/>
    </row>
    <row r="20" spans="1:44" ht="10.5" customHeight="1" x14ac:dyDescent="0.2">
      <c r="A20" s="38">
        <v>203</v>
      </c>
      <c r="B20" s="38" t="s">
        <v>195</v>
      </c>
      <c r="C20" s="29" t="s">
        <v>196</v>
      </c>
      <c r="D20" s="38" t="s">
        <v>189</v>
      </c>
      <c r="E20" s="38">
        <v>-11</v>
      </c>
      <c r="F20" s="35" t="s">
        <v>156</v>
      </c>
      <c r="G20" s="29">
        <v>213</v>
      </c>
      <c r="H20" s="29">
        <v>3.7</v>
      </c>
      <c r="I20" s="29">
        <v>216</v>
      </c>
      <c r="J20" s="29">
        <v>4.7</v>
      </c>
      <c r="K20" s="29">
        <v>208</v>
      </c>
      <c r="L20" s="29">
        <v>3.4</v>
      </c>
      <c r="M20" s="29">
        <v>210</v>
      </c>
      <c r="N20" s="29">
        <v>4</v>
      </c>
      <c r="O20" s="29">
        <v>215</v>
      </c>
      <c r="P20" s="29">
        <v>3.9</v>
      </c>
      <c r="Q20" s="29">
        <v>204</v>
      </c>
      <c r="R20" s="29">
        <v>3.9</v>
      </c>
      <c r="S20" s="29">
        <v>195</v>
      </c>
      <c r="T20" s="29">
        <v>5</v>
      </c>
      <c r="U20" s="29">
        <v>229</v>
      </c>
      <c r="V20" s="29">
        <v>6.2</v>
      </c>
      <c r="W20" s="29">
        <v>195</v>
      </c>
      <c r="X20" s="29">
        <v>5.7</v>
      </c>
      <c r="Y20" s="29">
        <v>213</v>
      </c>
      <c r="Z20" s="29">
        <v>4</v>
      </c>
      <c r="AA20" s="29">
        <v>202</v>
      </c>
      <c r="AB20" s="29">
        <v>3.6</v>
      </c>
      <c r="AC20" s="29">
        <v>213</v>
      </c>
      <c r="AD20" s="29">
        <v>4.4000000000000004</v>
      </c>
      <c r="AE20" s="36">
        <v>214</v>
      </c>
      <c r="AF20" s="36">
        <v>4.4000000000000004</v>
      </c>
      <c r="AG20" s="37">
        <v>196</v>
      </c>
      <c r="AH20" s="37">
        <v>6.2</v>
      </c>
      <c r="AI20" s="36">
        <v>197</v>
      </c>
      <c r="AJ20" s="36">
        <v>5.0999999999999996</v>
      </c>
      <c r="AK20" s="36">
        <v>224</v>
      </c>
      <c r="AL20" s="36">
        <v>5.0999999999999996</v>
      </c>
      <c r="AM20" s="37">
        <v>226</v>
      </c>
      <c r="AN20" s="37">
        <v>4.9000000000000004</v>
      </c>
      <c r="AO20" s="37">
        <v>184</v>
      </c>
      <c r="AP20" s="37">
        <v>4.2</v>
      </c>
      <c r="AQ20" s="29"/>
      <c r="AR20" s="29"/>
    </row>
    <row r="21" spans="1:44" ht="10.5" customHeight="1" x14ac:dyDescent="0.2">
      <c r="A21" s="38">
        <v>702</v>
      </c>
      <c r="B21" s="38" t="s">
        <v>197</v>
      </c>
      <c r="C21" s="29" t="s">
        <v>198</v>
      </c>
      <c r="D21" s="38" t="s">
        <v>164</v>
      </c>
      <c r="E21" s="38">
        <v>-15</v>
      </c>
      <c r="F21" s="35" t="s">
        <v>159</v>
      </c>
      <c r="G21" s="29">
        <v>221</v>
      </c>
      <c r="H21" s="29">
        <v>3.7</v>
      </c>
      <c r="I21" s="29">
        <v>223</v>
      </c>
      <c r="J21" s="29">
        <v>4</v>
      </c>
      <c r="K21" s="29">
        <v>222</v>
      </c>
      <c r="L21" s="29">
        <v>2.5</v>
      </c>
      <c r="M21" s="29">
        <v>231</v>
      </c>
      <c r="N21" s="29">
        <v>3.8</v>
      </c>
      <c r="O21" s="29">
        <v>222</v>
      </c>
      <c r="P21" s="29">
        <v>2.9</v>
      </c>
      <c r="Q21" s="29">
        <v>227</v>
      </c>
      <c r="R21" s="29">
        <v>3.7</v>
      </c>
      <c r="S21" s="29">
        <v>242</v>
      </c>
      <c r="T21" s="29">
        <v>5.6</v>
      </c>
      <c r="U21" s="29">
        <v>238</v>
      </c>
      <c r="V21" s="29">
        <v>5.7</v>
      </c>
      <c r="W21" s="29">
        <v>207</v>
      </c>
      <c r="X21" s="29">
        <v>4</v>
      </c>
      <c r="Y21" s="29">
        <v>230</v>
      </c>
      <c r="Z21" s="29">
        <v>3.8</v>
      </c>
      <c r="AA21" s="29">
        <v>217</v>
      </c>
      <c r="AB21" s="29">
        <v>3.3</v>
      </c>
      <c r="AC21" s="29">
        <v>212</v>
      </c>
      <c r="AD21" s="29">
        <v>3.1</v>
      </c>
      <c r="AE21" s="36">
        <v>211</v>
      </c>
      <c r="AF21" s="36">
        <v>3.8</v>
      </c>
      <c r="AG21" s="37">
        <v>211</v>
      </c>
      <c r="AH21" s="37">
        <v>5.9</v>
      </c>
      <c r="AI21" s="36">
        <v>208</v>
      </c>
      <c r="AJ21" s="36">
        <v>4.8</v>
      </c>
      <c r="AK21" s="36">
        <v>214</v>
      </c>
      <c r="AL21" s="36">
        <v>4.0999999999999996</v>
      </c>
      <c r="AM21" s="37">
        <v>230</v>
      </c>
      <c r="AN21" s="37">
        <v>4.3</v>
      </c>
      <c r="AO21" s="37">
        <v>196</v>
      </c>
      <c r="AP21" s="37">
        <v>3.8</v>
      </c>
      <c r="AQ21" s="29"/>
      <c r="AR21" s="29"/>
    </row>
    <row r="22" spans="1:44" ht="10.5" customHeight="1" x14ac:dyDescent="0.2">
      <c r="A22" s="38">
        <v>302</v>
      </c>
      <c r="B22" s="38" t="s">
        <v>199</v>
      </c>
      <c r="C22" s="29" t="s">
        <v>200</v>
      </c>
      <c r="D22" s="38" t="s">
        <v>155</v>
      </c>
      <c r="E22" s="38">
        <v>-13</v>
      </c>
      <c r="F22" s="35" t="s">
        <v>156</v>
      </c>
      <c r="G22" s="29">
        <v>218</v>
      </c>
      <c r="H22" s="29">
        <v>3.5</v>
      </c>
      <c r="I22" s="29">
        <v>223</v>
      </c>
      <c r="J22" s="29">
        <v>4.0999999999999996</v>
      </c>
      <c r="K22" s="29">
        <v>220</v>
      </c>
      <c r="L22" s="29">
        <v>3.2</v>
      </c>
      <c r="M22" s="29">
        <v>229</v>
      </c>
      <c r="N22" s="29">
        <v>3.9</v>
      </c>
      <c r="O22" s="29">
        <v>220</v>
      </c>
      <c r="P22" s="29">
        <v>2.8</v>
      </c>
      <c r="Q22" s="29">
        <v>216</v>
      </c>
      <c r="R22" s="29">
        <v>3.1</v>
      </c>
      <c r="S22" s="29">
        <v>240</v>
      </c>
      <c r="T22" s="29">
        <v>5.8</v>
      </c>
      <c r="U22" s="29">
        <v>242</v>
      </c>
      <c r="V22" s="29">
        <v>6</v>
      </c>
      <c r="W22" s="29">
        <v>218</v>
      </c>
      <c r="X22" s="29">
        <v>5.4</v>
      </c>
      <c r="Y22" s="29">
        <v>225</v>
      </c>
      <c r="Z22" s="29">
        <v>3.4</v>
      </c>
      <c r="AA22" s="29">
        <v>201</v>
      </c>
      <c r="AB22" s="29">
        <v>3.2</v>
      </c>
      <c r="AC22" s="29">
        <v>214</v>
      </c>
      <c r="AD22" s="29">
        <v>3.6</v>
      </c>
      <c r="AE22" s="36">
        <v>220</v>
      </c>
      <c r="AF22" s="36">
        <v>4.2</v>
      </c>
      <c r="AG22" s="41">
        <v>207</v>
      </c>
      <c r="AH22" s="41">
        <v>7.1</v>
      </c>
      <c r="AI22" s="36">
        <v>207</v>
      </c>
      <c r="AJ22" s="36">
        <v>4.5999999999999996</v>
      </c>
      <c r="AK22" s="34">
        <v>214</v>
      </c>
      <c r="AL22" s="34">
        <v>5.5</v>
      </c>
      <c r="AM22" s="37">
        <v>225</v>
      </c>
      <c r="AN22" s="37">
        <v>4.5</v>
      </c>
      <c r="AO22" s="37">
        <v>197</v>
      </c>
      <c r="AP22" s="37">
        <v>4</v>
      </c>
      <c r="AQ22" s="29"/>
      <c r="AR22" s="29"/>
    </row>
    <row r="23" spans="1:44" ht="10.5" customHeight="1" x14ac:dyDescent="0.2">
      <c r="A23" s="38">
        <v>703</v>
      </c>
      <c r="B23" s="38" t="s">
        <v>201</v>
      </c>
      <c r="C23" s="29" t="s">
        <v>202</v>
      </c>
      <c r="D23" s="38" t="s">
        <v>164</v>
      </c>
      <c r="E23" s="38">
        <v>-16</v>
      </c>
      <c r="F23" s="35" t="s">
        <v>159</v>
      </c>
      <c r="G23" s="29">
        <v>275</v>
      </c>
      <c r="H23" s="29">
        <v>2.6</v>
      </c>
      <c r="I23" s="29">
        <v>261</v>
      </c>
      <c r="J23" s="29">
        <v>2.9</v>
      </c>
      <c r="K23" s="29">
        <v>249</v>
      </c>
      <c r="L23" s="29">
        <v>1.6</v>
      </c>
      <c r="M23" s="29">
        <v>273</v>
      </c>
      <c r="N23" s="29">
        <v>3</v>
      </c>
      <c r="O23" s="29">
        <v>262</v>
      </c>
      <c r="P23" s="29">
        <v>2.1</v>
      </c>
      <c r="Q23" s="29">
        <v>280</v>
      </c>
      <c r="R23" s="29">
        <v>3.1</v>
      </c>
      <c r="S23" s="29">
        <v>261</v>
      </c>
      <c r="T23" s="29">
        <v>4</v>
      </c>
      <c r="U23" s="29">
        <v>256</v>
      </c>
      <c r="V23" s="29">
        <v>4</v>
      </c>
      <c r="W23" s="29">
        <v>230</v>
      </c>
      <c r="X23" s="29">
        <v>2.1</v>
      </c>
      <c r="Y23" s="29">
        <v>262</v>
      </c>
      <c r="Z23" s="29">
        <v>2.4</v>
      </c>
      <c r="AA23" s="29">
        <v>231</v>
      </c>
      <c r="AB23" s="29">
        <v>1.9</v>
      </c>
      <c r="AC23" s="29">
        <v>230</v>
      </c>
      <c r="AD23" s="29">
        <v>1.5</v>
      </c>
      <c r="AE23" s="34">
        <v>246</v>
      </c>
      <c r="AF23" s="34">
        <v>2.9</v>
      </c>
      <c r="AG23" s="29">
        <v>265</v>
      </c>
      <c r="AH23" s="29">
        <v>5.3</v>
      </c>
      <c r="AI23" s="36">
        <v>250</v>
      </c>
      <c r="AJ23" s="36">
        <v>3.9</v>
      </c>
      <c r="AK23" s="36">
        <v>246</v>
      </c>
      <c r="AL23" s="36">
        <v>3</v>
      </c>
      <c r="AM23" s="37">
        <v>260</v>
      </c>
      <c r="AN23" s="37">
        <v>3.5</v>
      </c>
      <c r="AO23" s="37">
        <v>215</v>
      </c>
      <c r="AP23" s="37">
        <v>2.2000000000000002</v>
      </c>
      <c r="AQ23" s="29"/>
      <c r="AR23" s="29"/>
    </row>
    <row r="24" spans="1:44" ht="10.5" customHeight="1" x14ac:dyDescent="0.2">
      <c r="A24" s="38">
        <v>401</v>
      </c>
      <c r="B24" s="38" t="s">
        <v>203</v>
      </c>
      <c r="C24" s="29" t="s">
        <v>204</v>
      </c>
      <c r="D24" s="38" t="s">
        <v>205</v>
      </c>
      <c r="E24" s="38">
        <v>-11</v>
      </c>
      <c r="F24" s="35" t="s">
        <v>156</v>
      </c>
      <c r="G24" s="29">
        <v>198</v>
      </c>
      <c r="H24" s="29">
        <v>3.8</v>
      </c>
      <c r="I24" s="29">
        <v>207</v>
      </c>
      <c r="J24" s="29">
        <v>5.3</v>
      </c>
      <c r="K24" s="29">
        <v>196</v>
      </c>
      <c r="L24" s="29">
        <v>3.5</v>
      </c>
      <c r="M24" s="29">
        <v>202</v>
      </c>
      <c r="N24" s="29">
        <v>4.2</v>
      </c>
      <c r="O24" s="29">
        <v>207</v>
      </c>
      <c r="P24" s="29">
        <v>4.0999999999999996</v>
      </c>
      <c r="Q24" s="29">
        <v>192</v>
      </c>
      <c r="R24" s="29">
        <v>3.6</v>
      </c>
      <c r="S24" s="29">
        <v>198</v>
      </c>
      <c r="T24" s="29">
        <v>5.7</v>
      </c>
      <c r="U24" s="29">
        <v>202</v>
      </c>
      <c r="V24" s="29">
        <v>6</v>
      </c>
      <c r="W24" s="29">
        <v>174</v>
      </c>
      <c r="X24" s="29">
        <v>3.5</v>
      </c>
      <c r="Y24" s="29">
        <v>205</v>
      </c>
      <c r="Z24" s="29">
        <v>4.0999999999999996</v>
      </c>
      <c r="AA24" s="29">
        <v>199</v>
      </c>
      <c r="AB24" s="29">
        <v>4.5</v>
      </c>
      <c r="AC24" s="29">
        <v>202</v>
      </c>
      <c r="AD24" s="29">
        <v>4.8</v>
      </c>
      <c r="AE24" s="36">
        <v>201</v>
      </c>
      <c r="AF24" s="36">
        <v>4.8</v>
      </c>
      <c r="AG24" s="37">
        <v>188</v>
      </c>
      <c r="AH24" s="37">
        <v>6.6</v>
      </c>
      <c r="AI24" s="36">
        <v>188</v>
      </c>
      <c r="AJ24" s="36">
        <v>5.5</v>
      </c>
      <c r="AK24" s="36">
        <v>208</v>
      </c>
      <c r="AL24" s="36">
        <v>5.3</v>
      </c>
      <c r="AM24" s="37">
        <v>208</v>
      </c>
      <c r="AN24" s="37">
        <v>4.9000000000000004</v>
      </c>
      <c r="AO24" s="37">
        <v>183</v>
      </c>
      <c r="AP24" s="37">
        <v>4.8</v>
      </c>
      <c r="AQ24" s="29"/>
      <c r="AR24" s="29"/>
    </row>
    <row r="25" spans="1:44" ht="10.5" customHeight="1" x14ac:dyDescent="0.2">
      <c r="A25" s="38">
        <v>806</v>
      </c>
      <c r="B25" s="38" t="s">
        <v>206</v>
      </c>
      <c r="C25" s="29" t="s">
        <v>207</v>
      </c>
      <c r="D25" s="38" t="s">
        <v>194</v>
      </c>
      <c r="E25" s="38">
        <v>-13</v>
      </c>
      <c r="F25" s="35" t="s">
        <v>156</v>
      </c>
      <c r="G25" s="29">
        <v>216</v>
      </c>
      <c r="H25" s="29">
        <v>3.3</v>
      </c>
      <c r="I25" s="29">
        <v>221</v>
      </c>
      <c r="J25" s="29">
        <v>3.8</v>
      </c>
      <c r="K25" s="29">
        <v>216</v>
      </c>
      <c r="L25" s="29">
        <v>2.4</v>
      </c>
      <c r="M25" s="29">
        <v>227</v>
      </c>
      <c r="N25" s="29">
        <v>3.8</v>
      </c>
      <c r="O25" s="29">
        <v>216</v>
      </c>
      <c r="P25" s="29">
        <v>3</v>
      </c>
      <c r="Q25" s="29">
        <v>217</v>
      </c>
      <c r="R25" s="29">
        <v>3.5</v>
      </c>
      <c r="S25" s="29">
        <v>227</v>
      </c>
      <c r="T25" s="29">
        <v>5.0999999999999996</v>
      </c>
      <c r="U25" s="29">
        <v>241</v>
      </c>
      <c r="V25" s="29">
        <v>5.6</v>
      </c>
      <c r="W25" s="29">
        <v>187</v>
      </c>
      <c r="X25" s="29">
        <v>3</v>
      </c>
      <c r="Y25" s="29">
        <v>209</v>
      </c>
      <c r="Z25" s="29">
        <v>3</v>
      </c>
      <c r="AA25" s="29">
        <v>200</v>
      </c>
      <c r="AB25" s="29">
        <v>2.9</v>
      </c>
      <c r="AC25" s="29">
        <v>208</v>
      </c>
      <c r="AD25" s="29">
        <v>2.9</v>
      </c>
      <c r="AE25" s="34">
        <v>208</v>
      </c>
      <c r="AF25" s="34">
        <v>3.6</v>
      </c>
      <c r="AG25" s="29">
        <v>200</v>
      </c>
      <c r="AH25" s="29">
        <v>6.3</v>
      </c>
      <c r="AI25" s="36">
        <v>199</v>
      </c>
      <c r="AJ25" s="36">
        <v>4.4000000000000004</v>
      </c>
      <c r="AK25" s="36">
        <v>208</v>
      </c>
      <c r="AL25" s="36">
        <v>3.7</v>
      </c>
      <c r="AM25" s="37">
        <v>220</v>
      </c>
      <c r="AN25" s="37">
        <v>3.6</v>
      </c>
      <c r="AO25" s="37">
        <v>196</v>
      </c>
      <c r="AP25" s="37">
        <v>3.6</v>
      </c>
      <c r="AQ25" s="29"/>
      <c r="AR25" s="29"/>
    </row>
    <row r="26" spans="1:44" ht="10.5" customHeight="1" x14ac:dyDescent="0.2">
      <c r="A26" s="38">
        <v>802</v>
      </c>
      <c r="B26" s="38" t="s">
        <v>208</v>
      </c>
      <c r="C26" s="38" t="s">
        <v>209</v>
      </c>
      <c r="D26" s="38" t="s">
        <v>194</v>
      </c>
      <c r="E26" s="38">
        <v>-13</v>
      </c>
      <c r="F26" s="35" t="s">
        <v>156</v>
      </c>
      <c r="G26" s="29">
        <v>213</v>
      </c>
      <c r="H26" s="29">
        <v>3.5</v>
      </c>
      <c r="I26" s="29">
        <v>219</v>
      </c>
      <c r="J26" s="29">
        <v>3.9</v>
      </c>
      <c r="K26" s="29">
        <v>214</v>
      </c>
      <c r="L26" s="29">
        <v>2.5</v>
      </c>
      <c r="M26" s="29">
        <v>227</v>
      </c>
      <c r="N26" s="29">
        <v>3.9</v>
      </c>
      <c r="O26" s="29">
        <v>214</v>
      </c>
      <c r="P26" s="29">
        <v>3.2</v>
      </c>
      <c r="Q26" s="29">
        <v>209</v>
      </c>
      <c r="R26" s="29">
        <v>3.3</v>
      </c>
      <c r="S26" s="29">
        <v>204</v>
      </c>
      <c r="T26" s="29">
        <v>4.7</v>
      </c>
      <c r="U26" s="29">
        <v>216</v>
      </c>
      <c r="V26" s="29">
        <v>5.2</v>
      </c>
      <c r="W26" s="29">
        <v>181</v>
      </c>
      <c r="X26" s="29">
        <v>2.9</v>
      </c>
      <c r="Y26" s="29">
        <v>230</v>
      </c>
      <c r="Z26" s="29">
        <v>4</v>
      </c>
      <c r="AA26" s="29">
        <v>202</v>
      </c>
      <c r="AB26" s="29">
        <v>3</v>
      </c>
      <c r="AC26" s="29">
        <v>209</v>
      </c>
      <c r="AD26" s="29">
        <v>3.5</v>
      </c>
      <c r="AE26" s="34">
        <v>198</v>
      </c>
      <c r="AF26" s="34">
        <v>3.7</v>
      </c>
      <c r="AG26" s="29">
        <v>200</v>
      </c>
      <c r="AH26" s="29">
        <v>6.3</v>
      </c>
      <c r="AI26" s="36">
        <v>201</v>
      </c>
      <c r="AJ26" s="36">
        <v>4.7</v>
      </c>
      <c r="AK26" s="36">
        <v>208</v>
      </c>
      <c r="AL26" s="36">
        <v>3.9</v>
      </c>
      <c r="AM26" s="37">
        <v>225</v>
      </c>
      <c r="AN26" s="37">
        <v>4.4000000000000004</v>
      </c>
      <c r="AO26" s="37">
        <v>188</v>
      </c>
      <c r="AP26" s="37">
        <v>3.5</v>
      </c>
      <c r="AQ26" s="29"/>
      <c r="AR26" s="29"/>
    </row>
    <row r="27" spans="1:44" ht="10.5" customHeight="1" x14ac:dyDescent="0.2">
      <c r="A27" s="38">
        <v>803</v>
      </c>
      <c r="B27" s="38" t="s">
        <v>210</v>
      </c>
      <c r="C27" s="38" t="s">
        <v>211</v>
      </c>
      <c r="D27" s="38" t="s">
        <v>194</v>
      </c>
      <c r="E27" s="38">
        <v>-13</v>
      </c>
      <c r="F27" s="35" t="s">
        <v>156</v>
      </c>
      <c r="G27" s="29">
        <v>213</v>
      </c>
      <c r="H27" s="29">
        <v>3.5</v>
      </c>
      <c r="I27" s="29">
        <v>219</v>
      </c>
      <c r="J27" s="29">
        <v>3.9</v>
      </c>
      <c r="K27" s="29">
        <v>214</v>
      </c>
      <c r="L27" s="29">
        <v>2.5</v>
      </c>
      <c r="M27" s="29">
        <v>227</v>
      </c>
      <c r="N27" s="29">
        <v>3.9</v>
      </c>
      <c r="O27" s="29">
        <v>214</v>
      </c>
      <c r="P27" s="29">
        <v>3.2</v>
      </c>
      <c r="Q27" s="29">
        <v>209</v>
      </c>
      <c r="R27" s="29">
        <v>3.3</v>
      </c>
      <c r="S27" s="29">
        <v>204</v>
      </c>
      <c r="T27" s="29">
        <v>4.7</v>
      </c>
      <c r="U27" s="29">
        <v>216</v>
      </c>
      <c r="V27" s="29">
        <v>5.2</v>
      </c>
      <c r="W27" s="29">
        <v>181</v>
      </c>
      <c r="X27" s="29">
        <v>2.9</v>
      </c>
      <c r="Y27" s="29">
        <v>230</v>
      </c>
      <c r="Z27" s="29">
        <v>4</v>
      </c>
      <c r="AA27" s="29">
        <v>202</v>
      </c>
      <c r="AB27" s="29">
        <v>3</v>
      </c>
      <c r="AC27" s="29">
        <v>209</v>
      </c>
      <c r="AD27" s="29">
        <v>3.5</v>
      </c>
      <c r="AE27" s="34">
        <v>198</v>
      </c>
      <c r="AF27" s="34">
        <v>3.7</v>
      </c>
      <c r="AG27" s="29">
        <v>200</v>
      </c>
      <c r="AH27" s="29">
        <v>6.3</v>
      </c>
      <c r="AI27" s="36">
        <v>201</v>
      </c>
      <c r="AJ27" s="36">
        <v>4.7</v>
      </c>
      <c r="AK27" s="36">
        <v>208</v>
      </c>
      <c r="AL27" s="36">
        <v>3.9</v>
      </c>
      <c r="AM27" s="37">
        <v>225</v>
      </c>
      <c r="AN27" s="37">
        <v>4.4000000000000004</v>
      </c>
      <c r="AO27" s="37">
        <v>188</v>
      </c>
      <c r="AP27" s="37">
        <v>3.5</v>
      </c>
      <c r="AQ27" s="37">
        <v>219</v>
      </c>
      <c r="AR27" s="37">
        <v>5.6</v>
      </c>
    </row>
    <row r="28" spans="1:44" ht="10.5" customHeight="1" x14ac:dyDescent="0.2">
      <c r="A28" s="38">
        <v>804</v>
      </c>
      <c r="B28" s="38" t="s">
        <v>212</v>
      </c>
      <c r="C28" s="38" t="s">
        <v>213</v>
      </c>
      <c r="D28" s="38" t="s">
        <v>194</v>
      </c>
      <c r="E28" s="38">
        <v>-13</v>
      </c>
      <c r="F28" s="35" t="s">
        <v>156</v>
      </c>
      <c r="G28" s="29">
        <v>213</v>
      </c>
      <c r="H28" s="29">
        <v>3.5</v>
      </c>
      <c r="I28" s="29">
        <v>219</v>
      </c>
      <c r="J28" s="29">
        <v>3.9</v>
      </c>
      <c r="K28" s="29">
        <v>214</v>
      </c>
      <c r="L28" s="29">
        <v>2.5</v>
      </c>
      <c r="M28" s="29">
        <v>227</v>
      </c>
      <c r="N28" s="29">
        <v>3.9</v>
      </c>
      <c r="O28" s="29">
        <v>214</v>
      </c>
      <c r="P28" s="29">
        <v>3.2</v>
      </c>
      <c r="Q28" s="29">
        <v>209</v>
      </c>
      <c r="R28" s="29">
        <v>3.3</v>
      </c>
      <c r="S28" s="29">
        <v>204</v>
      </c>
      <c r="T28" s="29">
        <v>4.7</v>
      </c>
      <c r="U28" s="29">
        <v>216</v>
      </c>
      <c r="V28" s="29">
        <v>5.2</v>
      </c>
      <c r="W28" s="29">
        <v>181</v>
      </c>
      <c r="X28" s="29">
        <v>2.9</v>
      </c>
      <c r="Y28" s="29">
        <v>230</v>
      </c>
      <c r="Z28" s="29">
        <v>4</v>
      </c>
      <c r="AA28" s="29">
        <v>202</v>
      </c>
      <c r="AB28" s="29">
        <v>3</v>
      </c>
      <c r="AC28" s="29">
        <v>209</v>
      </c>
      <c r="AD28" s="29">
        <v>3.5</v>
      </c>
      <c r="AE28" s="34">
        <v>198</v>
      </c>
      <c r="AF28" s="34">
        <v>3.7</v>
      </c>
      <c r="AG28" s="29">
        <v>200</v>
      </c>
      <c r="AH28" s="29">
        <v>6.3</v>
      </c>
      <c r="AI28" s="36">
        <v>201</v>
      </c>
      <c r="AJ28" s="36">
        <v>4.7</v>
      </c>
      <c r="AK28" s="36">
        <v>208</v>
      </c>
      <c r="AL28" s="36">
        <v>3.9</v>
      </c>
      <c r="AM28" s="37">
        <v>225</v>
      </c>
      <c r="AN28" s="37">
        <v>4.4000000000000004</v>
      </c>
      <c r="AO28" s="37">
        <v>188</v>
      </c>
      <c r="AP28" s="37">
        <v>3.5</v>
      </c>
      <c r="AQ28" s="29"/>
      <c r="AR28" s="29"/>
    </row>
    <row r="29" spans="1:44" ht="10.5" customHeight="1" x14ac:dyDescent="0.2">
      <c r="A29" s="38">
        <v>805</v>
      </c>
      <c r="B29" s="38" t="s">
        <v>214</v>
      </c>
      <c r="C29" s="38" t="s">
        <v>215</v>
      </c>
      <c r="D29" s="38" t="s">
        <v>194</v>
      </c>
      <c r="E29" s="38">
        <v>-13</v>
      </c>
      <c r="F29" s="35" t="s">
        <v>156</v>
      </c>
      <c r="G29" s="29">
        <v>213</v>
      </c>
      <c r="H29" s="29">
        <v>3.5</v>
      </c>
      <c r="I29" s="29">
        <v>219</v>
      </c>
      <c r="J29" s="29">
        <v>3.9</v>
      </c>
      <c r="K29" s="29">
        <v>214</v>
      </c>
      <c r="L29" s="29">
        <v>2.5</v>
      </c>
      <c r="M29" s="29">
        <v>227</v>
      </c>
      <c r="N29" s="29">
        <v>3.9</v>
      </c>
      <c r="O29" s="29">
        <v>214</v>
      </c>
      <c r="P29" s="29">
        <v>3.2</v>
      </c>
      <c r="Q29" s="29">
        <v>209</v>
      </c>
      <c r="R29" s="29">
        <v>3.3</v>
      </c>
      <c r="S29" s="29">
        <v>204</v>
      </c>
      <c r="T29" s="29">
        <v>4.7</v>
      </c>
      <c r="U29" s="29">
        <v>216</v>
      </c>
      <c r="V29" s="29">
        <v>5.2</v>
      </c>
      <c r="W29" s="29">
        <v>181</v>
      </c>
      <c r="X29" s="29">
        <v>2.9</v>
      </c>
      <c r="Y29" s="29">
        <v>230</v>
      </c>
      <c r="Z29" s="29">
        <v>4</v>
      </c>
      <c r="AA29" s="29">
        <v>202</v>
      </c>
      <c r="AB29" s="29">
        <v>3</v>
      </c>
      <c r="AC29" s="29">
        <v>209</v>
      </c>
      <c r="AD29" s="29">
        <v>3.5</v>
      </c>
      <c r="AE29" s="34">
        <v>198</v>
      </c>
      <c r="AF29" s="34">
        <v>3.7</v>
      </c>
      <c r="AG29" s="29">
        <v>203</v>
      </c>
      <c r="AH29" s="29">
        <v>5.9</v>
      </c>
      <c r="AI29" s="36">
        <v>201</v>
      </c>
      <c r="AJ29" s="36">
        <v>4.7</v>
      </c>
      <c r="AK29" s="36">
        <v>208</v>
      </c>
      <c r="AL29" s="36">
        <v>3.9</v>
      </c>
      <c r="AM29" s="37">
        <v>225</v>
      </c>
      <c r="AN29" s="37">
        <v>4.4000000000000004</v>
      </c>
      <c r="AO29" s="37">
        <v>188</v>
      </c>
      <c r="AP29" s="37">
        <v>3.5</v>
      </c>
      <c r="AQ29" s="29"/>
      <c r="AR29" s="29"/>
    </row>
    <row r="30" spans="1:44" ht="10.5" customHeight="1" x14ac:dyDescent="0.2">
      <c r="A30" s="38">
        <v>605</v>
      </c>
      <c r="B30" s="38" t="s">
        <v>216</v>
      </c>
      <c r="C30" s="29" t="s">
        <v>217</v>
      </c>
      <c r="D30" s="38" t="s">
        <v>157</v>
      </c>
      <c r="E30" s="38">
        <v>-13</v>
      </c>
      <c r="F30" s="35" t="s">
        <v>159</v>
      </c>
      <c r="G30" s="29">
        <v>223</v>
      </c>
      <c r="H30" s="29">
        <v>3.2</v>
      </c>
      <c r="I30" s="29">
        <v>225</v>
      </c>
      <c r="J30" s="29">
        <v>4.0999999999999996</v>
      </c>
      <c r="K30" s="29">
        <v>217</v>
      </c>
      <c r="L30" s="29">
        <v>2.6</v>
      </c>
      <c r="M30" s="29">
        <v>224</v>
      </c>
      <c r="N30" s="29">
        <v>3.6</v>
      </c>
      <c r="O30" s="29">
        <v>222</v>
      </c>
      <c r="P30" s="29">
        <v>3.1</v>
      </c>
      <c r="Q30" s="29">
        <v>228</v>
      </c>
      <c r="R30" s="29">
        <v>3.8</v>
      </c>
      <c r="S30" s="29">
        <v>235</v>
      </c>
      <c r="T30" s="29">
        <v>5.2</v>
      </c>
      <c r="U30" s="29">
        <v>238</v>
      </c>
      <c r="V30" s="29">
        <v>5.4</v>
      </c>
      <c r="W30" s="29">
        <v>189</v>
      </c>
      <c r="X30" s="29">
        <v>2.7</v>
      </c>
      <c r="Y30" s="29">
        <v>239</v>
      </c>
      <c r="Z30" s="29">
        <v>3.9</v>
      </c>
      <c r="AA30" s="29">
        <v>202</v>
      </c>
      <c r="AB30" s="29">
        <v>2.9</v>
      </c>
      <c r="AC30" s="29">
        <v>212</v>
      </c>
      <c r="AD30" s="29">
        <v>3.4</v>
      </c>
      <c r="AE30" s="34">
        <v>213</v>
      </c>
      <c r="AF30" s="39">
        <v>4</v>
      </c>
      <c r="AG30" s="29">
        <v>211</v>
      </c>
      <c r="AH30" s="29">
        <v>6.2</v>
      </c>
      <c r="AI30" s="34">
        <v>207</v>
      </c>
      <c r="AJ30" s="39">
        <v>4.5999999999999996</v>
      </c>
      <c r="AK30" s="34">
        <v>217</v>
      </c>
      <c r="AL30" s="34">
        <v>4.8</v>
      </c>
      <c r="AM30" s="37">
        <v>218</v>
      </c>
      <c r="AN30" s="37">
        <v>3.8</v>
      </c>
      <c r="AO30" s="37">
        <v>188</v>
      </c>
      <c r="AP30" s="37">
        <v>3.3</v>
      </c>
      <c r="AQ30" s="29"/>
      <c r="AR30" s="29"/>
    </row>
    <row r="31" spans="1:44" ht="10.5" customHeight="1" x14ac:dyDescent="0.2">
      <c r="A31" s="38">
        <v>504</v>
      </c>
      <c r="B31" s="38" t="s">
        <v>218</v>
      </c>
      <c r="C31" s="29" t="s">
        <v>219</v>
      </c>
      <c r="D31" s="38" t="s">
        <v>180</v>
      </c>
      <c r="E31" s="38">
        <v>-13</v>
      </c>
      <c r="F31" s="35" t="s">
        <v>159</v>
      </c>
      <c r="G31" s="29">
        <v>245</v>
      </c>
      <c r="H31" s="29">
        <v>3.5</v>
      </c>
      <c r="I31" s="29">
        <v>229</v>
      </c>
      <c r="J31" s="29">
        <v>3.5</v>
      </c>
      <c r="K31" s="29">
        <v>228</v>
      </c>
      <c r="L31" s="29">
        <v>2.6</v>
      </c>
      <c r="M31" s="29">
        <v>246</v>
      </c>
      <c r="N31" s="29">
        <v>3.9</v>
      </c>
      <c r="O31" s="29">
        <v>247</v>
      </c>
      <c r="P31" s="29">
        <v>3.2</v>
      </c>
      <c r="Q31" s="29">
        <v>223</v>
      </c>
      <c r="R31" s="29">
        <v>2.7</v>
      </c>
      <c r="S31" s="29">
        <v>239</v>
      </c>
      <c r="T31" s="29">
        <v>5</v>
      </c>
      <c r="U31" s="29">
        <v>245</v>
      </c>
      <c r="V31" s="29">
        <v>5.5</v>
      </c>
      <c r="W31" s="29">
        <v>227</v>
      </c>
      <c r="X31" s="29">
        <v>4</v>
      </c>
      <c r="Y31" s="29">
        <v>253</v>
      </c>
      <c r="Z31" s="29">
        <v>3</v>
      </c>
      <c r="AA31" s="29">
        <v>228</v>
      </c>
      <c r="AB31" s="29">
        <v>3.6</v>
      </c>
      <c r="AC31" s="29">
        <v>217</v>
      </c>
      <c r="AD31" s="29">
        <v>2.9</v>
      </c>
      <c r="AE31" s="34">
        <v>241</v>
      </c>
      <c r="AF31" s="34">
        <v>3.7</v>
      </c>
      <c r="AG31" s="29">
        <v>220</v>
      </c>
      <c r="AH31" s="29">
        <v>5.3</v>
      </c>
      <c r="AI31" s="36">
        <v>214</v>
      </c>
      <c r="AJ31" s="36">
        <v>5</v>
      </c>
      <c r="AK31" s="36">
        <v>238</v>
      </c>
      <c r="AL31" s="36">
        <v>4.5999999999999996</v>
      </c>
      <c r="AM31" s="37">
        <v>233</v>
      </c>
      <c r="AN31" s="37">
        <v>4.0999999999999996</v>
      </c>
      <c r="AO31" s="37">
        <v>200</v>
      </c>
      <c r="AP31" s="37">
        <v>3.2</v>
      </c>
      <c r="AQ31" s="29"/>
      <c r="AR31" s="29"/>
    </row>
    <row r="32" spans="1:44" ht="10.5" customHeight="1" x14ac:dyDescent="0.2">
      <c r="A32" s="38">
        <v>402</v>
      </c>
      <c r="B32" s="38" t="s">
        <v>220</v>
      </c>
      <c r="C32" s="29" t="s">
        <v>221</v>
      </c>
      <c r="D32" s="38" t="s">
        <v>205</v>
      </c>
      <c r="E32" s="38">
        <v>-11</v>
      </c>
      <c r="F32" s="35" t="s">
        <v>159</v>
      </c>
      <c r="G32" s="29">
        <v>207</v>
      </c>
      <c r="H32" s="29">
        <v>3.2</v>
      </c>
      <c r="I32" s="29">
        <v>216</v>
      </c>
      <c r="J32" s="29">
        <v>4.7</v>
      </c>
      <c r="K32" s="29">
        <v>205</v>
      </c>
      <c r="L32" s="29">
        <v>2.9</v>
      </c>
      <c r="M32" s="29">
        <v>215</v>
      </c>
      <c r="N32" s="29">
        <v>3.9</v>
      </c>
      <c r="O32" s="29">
        <v>215</v>
      </c>
      <c r="P32" s="29">
        <v>3.9</v>
      </c>
      <c r="Q32" s="29">
        <v>207</v>
      </c>
      <c r="R32" s="29">
        <v>3.9</v>
      </c>
      <c r="S32" s="29">
        <v>207</v>
      </c>
      <c r="T32" s="29">
        <v>5.4</v>
      </c>
      <c r="U32" s="29">
        <v>208</v>
      </c>
      <c r="V32" s="29">
        <v>5.4</v>
      </c>
      <c r="W32" s="29">
        <v>174</v>
      </c>
      <c r="X32" s="29">
        <v>2.6</v>
      </c>
      <c r="Y32" s="29">
        <v>216</v>
      </c>
      <c r="Z32" s="29">
        <v>3.7</v>
      </c>
      <c r="AA32" s="29">
        <v>202</v>
      </c>
      <c r="AB32" s="29">
        <v>3.8</v>
      </c>
      <c r="AC32" s="29">
        <v>212</v>
      </c>
      <c r="AD32" s="29">
        <v>4.5</v>
      </c>
      <c r="AE32" s="36">
        <v>206</v>
      </c>
      <c r="AF32" s="36">
        <v>4.3</v>
      </c>
      <c r="AG32" s="37">
        <v>196</v>
      </c>
      <c r="AH32" s="37">
        <v>6.4</v>
      </c>
      <c r="AI32" s="36">
        <v>195</v>
      </c>
      <c r="AJ32" s="36">
        <v>5.2</v>
      </c>
      <c r="AK32" s="36">
        <v>214</v>
      </c>
      <c r="AL32" s="36">
        <v>4.7</v>
      </c>
      <c r="AM32" s="37">
        <v>217</v>
      </c>
      <c r="AN32" s="37">
        <v>4.7</v>
      </c>
      <c r="AO32" s="37">
        <v>182</v>
      </c>
      <c r="AP32" s="37">
        <v>4</v>
      </c>
      <c r="AQ32" s="29"/>
      <c r="AR32" s="29"/>
    </row>
    <row r="33" spans="1:44" ht="10.5" customHeight="1" x14ac:dyDescent="0.2">
      <c r="A33" s="38">
        <v>704</v>
      </c>
      <c r="B33" s="38" t="s">
        <v>222</v>
      </c>
      <c r="C33" s="29" t="s">
        <v>223</v>
      </c>
      <c r="D33" s="38" t="s">
        <v>164</v>
      </c>
      <c r="E33" s="38">
        <v>-16</v>
      </c>
      <c r="F33" s="35" t="s">
        <v>159</v>
      </c>
      <c r="G33" s="29">
        <v>237</v>
      </c>
      <c r="H33" s="29">
        <v>2.9</v>
      </c>
      <c r="I33" s="29">
        <v>234</v>
      </c>
      <c r="J33" s="29">
        <v>3</v>
      </c>
      <c r="K33" s="29">
        <v>234</v>
      </c>
      <c r="L33" s="29">
        <v>1.7</v>
      </c>
      <c r="M33" s="29">
        <v>251</v>
      </c>
      <c r="N33" s="29">
        <v>3.4</v>
      </c>
      <c r="O33" s="29">
        <v>255</v>
      </c>
      <c r="P33" s="29">
        <v>2.7</v>
      </c>
      <c r="Q33" s="29">
        <v>254</v>
      </c>
      <c r="R33" s="29">
        <v>3</v>
      </c>
      <c r="S33" s="29">
        <v>245</v>
      </c>
      <c r="T33" s="29">
        <v>4.5</v>
      </c>
      <c r="U33" s="29">
        <v>243</v>
      </c>
      <c r="V33" s="29">
        <v>4.5999999999999996</v>
      </c>
      <c r="W33" s="29">
        <v>232</v>
      </c>
      <c r="X33" s="29">
        <v>3.6</v>
      </c>
      <c r="Y33" s="29">
        <v>245</v>
      </c>
      <c r="Z33" s="29">
        <v>2.9</v>
      </c>
      <c r="AA33" s="29">
        <v>223</v>
      </c>
      <c r="AB33" s="29">
        <v>2.4</v>
      </c>
      <c r="AC33" s="29">
        <v>216</v>
      </c>
      <c r="AD33" s="29">
        <v>2.1</v>
      </c>
      <c r="AE33" s="34">
        <v>232</v>
      </c>
      <c r="AF33" s="39">
        <v>3</v>
      </c>
      <c r="AG33" s="37">
        <v>240</v>
      </c>
      <c r="AH33" s="37">
        <v>5.2</v>
      </c>
      <c r="AI33" s="36">
        <v>227</v>
      </c>
      <c r="AJ33" s="40">
        <v>3.8</v>
      </c>
      <c r="AK33" s="36">
        <v>237</v>
      </c>
      <c r="AL33" s="40">
        <v>3.6</v>
      </c>
      <c r="AM33" s="37">
        <v>239</v>
      </c>
      <c r="AN33" s="37">
        <v>3</v>
      </c>
      <c r="AO33" s="37">
        <v>210</v>
      </c>
      <c r="AP33" s="37">
        <v>2.2000000000000002</v>
      </c>
      <c r="AQ33" s="29"/>
      <c r="AR33" s="29"/>
    </row>
    <row r="34" spans="1:44" ht="10.5" customHeight="1" x14ac:dyDescent="0.2">
      <c r="A34" s="38">
        <v>505</v>
      </c>
      <c r="B34" s="38" t="s">
        <v>224</v>
      </c>
      <c r="C34" s="29" t="s">
        <v>225</v>
      </c>
      <c r="D34" s="38" t="s">
        <v>180</v>
      </c>
      <c r="E34" s="38">
        <v>-16</v>
      </c>
      <c r="F34" s="35" t="s">
        <v>159</v>
      </c>
      <c r="G34" s="29">
        <v>250</v>
      </c>
      <c r="H34" s="29">
        <v>2.7</v>
      </c>
      <c r="I34" s="29">
        <v>237</v>
      </c>
      <c r="J34" s="29">
        <v>2.6</v>
      </c>
      <c r="K34" s="29">
        <v>238</v>
      </c>
      <c r="L34" s="29">
        <v>1.7</v>
      </c>
      <c r="M34" s="29">
        <v>265</v>
      </c>
      <c r="N34" s="29">
        <v>3.2</v>
      </c>
      <c r="O34" s="29">
        <v>247</v>
      </c>
      <c r="P34" s="29">
        <v>1.9</v>
      </c>
      <c r="Q34" s="29">
        <v>249</v>
      </c>
      <c r="R34" s="29">
        <v>2.2999999999999998</v>
      </c>
      <c r="S34" s="29">
        <v>264</v>
      </c>
      <c r="T34" s="29">
        <v>4.5</v>
      </c>
      <c r="U34" s="29">
        <v>246</v>
      </c>
      <c r="V34" s="29">
        <v>4.4000000000000004</v>
      </c>
      <c r="W34" s="29">
        <v>234</v>
      </c>
      <c r="X34" s="29">
        <v>3.1</v>
      </c>
      <c r="Y34" s="29">
        <v>248</v>
      </c>
      <c r="Z34" s="29">
        <v>2.9</v>
      </c>
      <c r="AA34" s="29">
        <v>201</v>
      </c>
      <c r="AB34" s="29">
        <v>2.4</v>
      </c>
      <c r="AC34" s="29">
        <v>225</v>
      </c>
      <c r="AD34" s="29">
        <v>1.9</v>
      </c>
      <c r="AE34" s="36">
        <v>237</v>
      </c>
      <c r="AF34" s="36">
        <v>3.3</v>
      </c>
      <c r="AG34" s="37">
        <v>234</v>
      </c>
      <c r="AH34" s="37">
        <v>5.6</v>
      </c>
      <c r="AI34" s="36">
        <v>228</v>
      </c>
      <c r="AJ34" s="36">
        <v>4.5999999999999996</v>
      </c>
      <c r="AK34" s="36">
        <v>244</v>
      </c>
      <c r="AL34" s="36">
        <v>3.8</v>
      </c>
      <c r="AM34" s="37">
        <v>254</v>
      </c>
      <c r="AN34" s="37">
        <v>3.5</v>
      </c>
      <c r="AO34" s="37">
        <v>209</v>
      </c>
      <c r="AP34" s="37">
        <v>2.8</v>
      </c>
      <c r="AQ34" s="29"/>
      <c r="AR34" s="29"/>
    </row>
    <row r="35" spans="1:44" ht="10.5" customHeight="1" x14ac:dyDescent="0.2">
      <c r="A35" s="38">
        <v>606</v>
      </c>
      <c r="B35" s="38" t="s">
        <v>226</v>
      </c>
      <c r="C35" s="29" t="s">
        <v>227</v>
      </c>
      <c r="D35" s="38" t="s">
        <v>157</v>
      </c>
      <c r="E35" s="38">
        <v>-13</v>
      </c>
      <c r="F35" s="35" t="s">
        <v>159</v>
      </c>
      <c r="G35" s="29">
        <v>215</v>
      </c>
      <c r="H35" s="29">
        <v>3</v>
      </c>
      <c r="I35" s="29">
        <v>220</v>
      </c>
      <c r="J35" s="29">
        <v>3.9</v>
      </c>
      <c r="K35" s="29">
        <v>214</v>
      </c>
      <c r="L35" s="29">
        <v>2.1</v>
      </c>
      <c r="M35" s="29">
        <v>228</v>
      </c>
      <c r="N35" s="29">
        <v>4</v>
      </c>
      <c r="O35" s="29">
        <v>211</v>
      </c>
      <c r="P35" s="29">
        <v>2.7</v>
      </c>
      <c r="Q35" s="29">
        <v>219</v>
      </c>
      <c r="R35" s="29">
        <v>3.7</v>
      </c>
      <c r="S35" s="29">
        <v>226</v>
      </c>
      <c r="T35" s="29">
        <v>5.4</v>
      </c>
      <c r="U35" s="29">
        <v>237</v>
      </c>
      <c r="V35" s="29">
        <v>5.8</v>
      </c>
      <c r="W35" s="29">
        <v>180</v>
      </c>
      <c r="X35" s="29">
        <v>2.7</v>
      </c>
      <c r="Y35" s="29">
        <v>209</v>
      </c>
      <c r="Z35" s="29">
        <v>3.1</v>
      </c>
      <c r="AA35" s="29">
        <v>203</v>
      </c>
      <c r="AB35" s="29">
        <v>3.2</v>
      </c>
      <c r="AC35" s="29">
        <v>211</v>
      </c>
      <c r="AD35" s="29">
        <v>3.6</v>
      </c>
      <c r="AE35" s="36">
        <v>208</v>
      </c>
      <c r="AF35" s="40">
        <v>4</v>
      </c>
      <c r="AG35" s="37">
        <v>208</v>
      </c>
      <c r="AH35" s="37">
        <v>6.3</v>
      </c>
      <c r="AI35" s="36">
        <v>200</v>
      </c>
      <c r="AJ35" s="40">
        <v>5.3</v>
      </c>
      <c r="AK35" s="36">
        <v>210</v>
      </c>
      <c r="AL35" s="36">
        <v>4.0999999999999996</v>
      </c>
      <c r="AM35" s="37">
        <v>225</v>
      </c>
      <c r="AN35" s="37">
        <v>4.0999999999999996</v>
      </c>
      <c r="AO35" s="37">
        <v>191</v>
      </c>
      <c r="AP35" s="37">
        <v>3.5</v>
      </c>
      <c r="AQ35" s="29"/>
      <c r="AR35" s="29"/>
    </row>
    <row r="36" spans="1:44" ht="10.5" customHeight="1" x14ac:dyDescent="0.2">
      <c r="A36" s="38">
        <v>106</v>
      </c>
      <c r="B36" s="38" t="s">
        <v>228</v>
      </c>
      <c r="C36" s="29" t="s">
        <v>229</v>
      </c>
      <c r="D36" s="38" t="s">
        <v>167</v>
      </c>
      <c r="E36" s="38">
        <v>-11</v>
      </c>
      <c r="F36" s="35" t="s">
        <v>156</v>
      </c>
      <c r="G36" s="29">
        <v>208</v>
      </c>
      <c r="H36" s="29">
        <v>4.2</v>
      </c>
      <c r="I36" s="29">
        <v>208</v>
      </c>
      <c r="J36" s="29">
        <v>5.3</v>
      </c>
      <c r="K36" s="29">
        <v>209</v>
      </c>
      <c r="L36" s="29">
        <v>3.7</v>
      </c>
      <c r="M36" s="29">
        <v>217</v>
      </c>
      <c r="N36" s="29">
        <v>4.4000000000000004</v>
      </c>
      <c r="O36" s="29">
        <v>208</v>
      </c>
      <c r="P36" s="29">
        <v>3.5</v>
      </c>
      <c r="Q36" s="29">
        <v>192</v>
      </c>
      <c r="R36" s="29">
        <v>3.5</v>
      </c>
      <c r="S36" s="29">
        <v>196</v>
      </c>
      <c r="T36" s="29">
        <v>5.0999999999999996</v>
      </c>
      <c r="U36" s="29">
        <v>228</v>
      </c>
      <c r="V36" s="29">
        <v>6.1</v>
      </c>
      <c r="W36" s="29">
        <v>176</v>
      </c>
      <c r="X36" s="29">
        <v>2.9</v>
      </c>
      <c r="Y36" s="29">
        <v>218</v>
      </c>
      <c r="Z36" s="29">
        <v>3.7</v>
      </c>
      <c r="AA36" s="29">
        <v>207</v>
      </c>
      <c r="AB36" s="29">
        <v>4.2</v>
      </c>
      <c r="AC36" s="29">
        <v>213</v>
      </c>
      <c r="AD36" s="29">
        <v>4.5</v>
      </c>
      <c r="AE36" s="36">
        <v>203</v>
      </c>
      <c r="AF36" s="36">
        <v>4.0999999999999996</v>
      </c>
      <c r="AG36" s="37">
        <v>193</v>
      </c>
      <c r="AH36" s="37">
        <v>6.1</v>
      </c>
      <c r="AI36" s="36">
        <v>197</v>
      </c>
      <c r="AJ36" s="36">
        <v>5.9</v>
      </c>
      <c r="AK36" s="36">
        <v>211</v>
      </c>
      <c r="AL36" s="36">
        <v>4.9000000000000004</v>
      </c>
      <c r="AM36" s="37">
        <v>223</v>
      </c>
      <c r="AN36" s="37">
        <v>5</v>
      </c>
      <c r="AO36" s="37">
        <v>182</v>
      </c>
      <c r="AP36" s="37">
        <v>4.2</v>
      </c>
      <c r="AQ36" s="29"/>
      <c r="AR36" s="29"/>
    </row>
    <row r="37" spans="1:44" ht="10.5" customHeight="1" x14ac:dyDescent="0.2">
      <c r="A37" s="38">
        <v>506</v>
      </c>
      <c r="B37" s="38" t="s">
        <v>230</v>
      </c>
      <c r="C37" s="29" t="s">
        <v>231</v>
      </c>
      <c r="D37" s="38" t="s">
        <v>180</v>
      </c>
      <c r="E37" s="38">
        <v>-15</v>
      </c>
      <c r="F37" s="35" t="s">
        <v>159</v>
      </c>
      <c r="G37" s="29">
        <v>244</v>
      </c>
      <c r="H37" s="29">
        <v>3.6</v>
      </c>
      <c r="I37" s="29">
        <v>228</v>
      </c>
      <c r="J37" s="29">
        <v>3.4</v>
      </c>
      <c r="K37" s="29">
        <v>226</v>
      </c>
      <c r="L37" s="29">
        <v>2.2999999999999998</v>
      </c>
      <c r="M37" s="29">
        <v>259</v>
      </c>
      <c r="N37" s="29">
        <v>3.7</v>
      </c>
      <c r="O37" s="29">
        <v>264</v>
      </c>
      <c r="P37" s="29">
        <v>3.2</v>
      </c>
      <c r="Q37" s="29">
        <v>244</v>
      </c>
      <c r="R37" s="29">
        <v>2.8</v>
      </c>
      <c r="S37" s="29">
        <v>258</v>
      </c>
      <c r="T37" s="29">
        <v>5.0999999999999996</v>
      </c>
      <c r="U37" s="29">
        <v>253</v>
      </c>
      <c r="V37" s="29">
        <v>5.2</v>
      </c>
      <c r="W37" s="29">
        <v>227</v>
      </c>
      <c r="X37" s="29">
        <v>3.3</v>
      </c>
      <c r="Y37" s="29">
        <v>256</v>
      </c>
      <c r="Z37" s="29">
        <v>3</v>
      </c>
      <c r="AA37" s="29">
        <v>222</v>
      </c>
      <c r="AB37" s="29">
        <v>2.9</v>
      </c>
      <c r="AC37" s="29">
        <v>218</v>
      </c>
      <c r="AD37" s="29">
        <v>2.7</v>
      </c>
      <c r="AE37" s="36">
        <v>222</v>
      </c>
      <c r="AF37" s="36">
        <v>3.6</v>
      </c>
      <c r="AG37" s="37">
        <v>221</v>
      </c>
      <c r="AH37" s="37">
        <v>6.1</v>
      </c>
      <c r="AI37" s="36">
        <v>214</v>
      </c>
      <c r="AJ37" s="36">
        <v>5.2</v>
      </c>
      <c r="AK37" s="36">
        <v>243</v>
      </c>
      <c r="AL37" s="36">
        <v>4.8</v>
      </c>
      <c r="AM37" s="37">
        <v>257</v>
      </c>
      <c r="AN37" s="37">
        <v>4</v>
      </c>
      <c r="AO37" s="37">
        <v>202</v>
      </c>
      <c r="AP37" s="37">
        <v>3.5</v>
      </c>
      <c r="AQ37" s="37">
        <v>241</v>
      </c>
      <c r="AR37" s="37">
        <v>5.2</v>
      </c>
    </row>
    <row r="38" spans="1:44" ht="10.5" customHeight="1" x14ac:dyDescent="0.2">
      <c r="A38" s="38">
        <v>705</v>
      </c>
      <c r="B38" s="38" t="s">
        <v>232</v>
      </c>
      <c r="C38" s="29" t="s">
        <v>233</v>
      </c>
      <c r="D38" s="38" t="s">
        <v>164</v>
      </c>
      <c r="E38" s="38">
        <v>-15</v>
      </c>
      <c r="F38" s="35" t="s">
        <v>156</v>
      </c>
      <c r="G38" s="29">
        <v>245</v>
      </c>
      <c r="H38" s="29">
        <v>3.1</v>
      </c>
      <c r="I38" s="29">
        <v>228</v>
      </c>
      <c r="J38" s="29">
        <v>2.8</v>
      </c>
      <c r="K38" s="29">
        <v>237</v>
      </c>
      <c r="L38" s="29">
        <v>2</v>
      </c>
      <c r="M38" s="29">
        <v>252</v>
      </c>
      <c r="N38" s="29">
        <v>3.4</v>
      </c>
      <c r="O38" s="29">
        <v>238</v>
      </c>
      <c r="P38" s="29">
        <v>2.5</v>
      </c>
      <c r="Q38" s="29">
        <v>240</v>
      </c>
      <c r="R38" s="29">
        <v>3</v>
      </c>
      <c r="S38" s="29">
        <v>257</v>
      </c>
      <c r="T38" s="29">
        <v>4.7</v>
      </c>
      <c r="U38" s="29">
        <v>242</v>
      </c>
      <c r="V38" s="29">
        <v>4.4000000000000004</v>
      </c>
      <c r="W38" s="29">
        <v>242</v>
      </c>
      <c r="X38" s="29">
        <v>4.2</v>
      </c>
      <c r="Y38" s="29">
        <v>239</v>
      </c>
      <c r="Z38" s="29">
        <v>2.8</v>
      </c>
      <c r="AA38" s="29">
        <v>235</v>
      </c>
      <c r="AB38" s="29">
        <v>2.9</v>
      </c>
      <c r="AC38" s="29">
        <v>230</v>
      </c>
      <c r="AD38" s="29">
        <v>2.8</v>
      </c>
      <c r="AE38" s="36">
        <v>228</v>
      </c>
      <c r="AF38" s="36">
        <v>3.3</v>
      </c>
      <c r="AG38" s="37">
        <v>234</v>
      </c>
      <c r="AH38" s="37">
        <v>5.5</v>
      </c>
      <c r="AI38" s="36">
        <v>224</v>
      </c>
      <c r="AJ38" s="36">
        <v>4.2</v>
      </c>
      <c r="AK38" s="36">
        <v>240</v>
      </c>
      <c r="AL38" s="36">
        <v>3.8</v>
      </c>
      <c r="AM38" s="37">
        <v>235</v>
      </c>
      <c r="AN38" s="37">
        <v>3.4</v>
      </c>
      <c r="AO38" s="37">
        <v>201</v>
      </c>
      <c r="AP38" s="37">
        <v>2.7</v>
      </c>
      <c r="AQ38" s="29"/>
      <c r="AR38" s="29"/>
    </row>
    <row r="39" spans="1:44" ht="10.5" customHeight="1" x14ac:dyDescent="0.2">
      <c r="A39" s="38">
        <v>807</v>
      </c>
      <c r="B39" s="38" t="s">
        <v>234</v>
      </c>
      <c r="C39" s="29" t="s">
        <v>235</v>
      </c>
      <c r="D39" s="38" t="s">
        <v>194</v>
      </c>
      <c r="E39" s="38">
        <v>-13</v>
      </c>
      <c r="F39" s="35" t="s">
        <v>156</v>
      </c>
      <c r="G39" s="29">
        <v>205</v>
      </c>
      <c r="H39" s="29">
        <v>3.5</v>
      </c>
      <c r="I39" s="29">
        <v>213</v>
      </c>
      <c r="J39" s="29">
        <v>4.2</v>
      </c>
      <c r="K39" s="29">
        <v>209</v>
      </c>
      <c r="L39" s="29">
        <v>2.6</v>
      </c>
      <c r="M39" s="29">
        <v>218</v>
      </c>
      <c r="N39" s="29">
        <v>4</v>
      </c>
      <c r="O39" s="29">
        <v>210</v>
      </c>
      <c r="P39" s="29">
        <v>3.1</v>
      </c>
      <c r="Q39" s="29">
        <v>202</v>
      </c>
      <c r="R39" s="29">
        <v>3.3</v>
      </c>
      <c r="S39" s="29">
        <v>207</v>
      </c>
      <c r="T39" s="29">
        <v>5.2</v>
      </c>
      <c r="U39" s="29">
        <v>216</v>
      </c>
      <c r="V39" s="29">
        <v>5.4</v>
      </c>
      <c r="W39" s="29">
        <v>181</v>
      </c>
      <c r="X39" s="29">
        <v>3.3</v>
      </c>
      <c r="Y39" s="29">
        <v>209</v>
      </c>
      <c r="Z39" s="29">
        <v>3.5</v>
      </c>
      <c r="AA39" s="29">
        <v>197</v>
      </c>
      <c r="AB39" s="29">
        <v>3</v>
      </c>
      <c r="AC39" s="29">
        <v>207</v>
      </c>
      <c r="AD39" s="29">
        <v>3.6</v>
      </c>
      <c r="AE39" s="36">
        <v>213</v>
      </c>
      <c r="AF39" s="36">
        <v>4.5999999999999996</v>
      </c>
      <c r="AG39" s="37">
        <v>199</v>
      </c>
      <c r="AH39" s="37">
        <v>6.2</v>
      </c>
      <c r="AI39" s="36">
        <v>189</v>
      </c>
      <c r="AJ39" s="36">
        <v>4.7</v>
      </c>
      <c r="AK39" s="36">
        <v>207</v>
      </c>
      <c r="AL39" s="36">
        <v>4.5</v>
      </c>
      <c r="AM39" s="37">
        <v>219</v>
      </c>
      <c r="AN39" s="37">
        <v>4.3</v>
      </c>
      <c r="AO39" s="37">
        <v>196</v>
      </c>
      <c r="AP39" s="37">
        <v>4.4000000000000004</v>
      </c>
      <c r="AQ39" s="29"/>
      <c r="AR39" s="29"/>
    </row>
    <row r="40" spans="1:44" ht="10.5" customHeight="1" x14ac:dyDescent="0.2">
      <c r="A40" s="38">
        <v>303</v>
      </c>
      <c r="B40" s="38" t="s">
        <v>236</v>
      </c>
      <c r="C40" s="29" t="s">
        <v>237</v>
      </c>
      <c r="D40" s="38" t="s">
        <v>155</v>
      </c>
      <c r="E40" s="38">
        <v>-13</v>
      </c>
      <c r="F40" s="35" t="s">
        <v>156</v>
      </c>
      <c r="G40" s="29">
        <v>236</v>
      </c>
      <c r="H40" s="29">
        <v>3.5</v>
      </c>
      <c r="I40" s="29">
        <v>226</v>
      </c>
      <c r="J40" s="29">
        <v>3.9</v>
      </c>
      <c r="K40" s="29">
        <v>226</v>
      </c>
      <c r="L40" s="29">
        <v>2.7</v>
      </c>
      <c r="M40" s="29">
        <v>234</v>
      </c>
      <c r="N40" s="29">
        <v>3.5</v>
      </c>
      <c r="O40" s="29">
        <v>226</v>
      </c>
      <c r="P40" s="29">
        <v>3.1</v>
      </c>
      <c r="Q40" s="29">
        <v>224</v>
      </c>
      <c r="R40" s="29">
        <v>3.6</v>
      </c>
      <c r="S40" s="29">
        <v>245</v>
      </c>
      <c r="T40" s="29">
        <v>5.6</v>
      </c>
      <c r="U40" s="29">
        <v>233</v>
      </c>
      <c r="V40" s="29">
        <v>5.3</v>
      </c>
      <c r="W40" s="29">
        <v>177</v>
      </c>
      <c r="X40" s="29">
        <v>2</v>
      </c>
      <c r="Y40" s="29">
        <v>214</v>
      </c>
      <c r="Z40" s="29">
        <v>2.9</v>
      </c>
      <c r="AA40" s="29">
        <v>203</v>
      </c>
      <c r="AB40" s="29">
        <v>3.5</v>
      </c>
      <c r="AC40" s="29">
        <v>213</v>
      </c>
      <c r="AD40" s="29">
        <v>3.5</v>
      </c>
      <c r="AE40" s="36">
        <v>223</v>
      </c>
      <c r="AF40" s="36">
        <v>4.4000000000000004</v>
      </c>
      <c r="AG40" s="37">
        <v>231</v>
      </c>
      <c r="AH40" s="37">
        <v>4.8</v>
      </c>
      <c r="AI40" s="36">
        <v>216</v>
      </c>
      <c r="AJ40" s="36">
        <v>4.7</v>
      </c>
      <c r="AK40" s="36">
        <v>223</v>
      </c>
      <c r="AL40" s="36">
        <v>5.0999999999999996</v>
      </c>
      <c r="AM40" s="37">
        <v>230</v>
      </c>
      <c r="AN40" s="37">
        <v>3.9</v>
      </c>
      <c r="AO40" s="37">
        <v>188</v>
      </c>
      <c r="AP40" s="37">
        <v>3.4</v>
      </c>
      <c r="AQ40" s="29"/>
      <c r="AR40" s="29"/>
    </row>
    <row r="41" spans="1:44" ht="10.5" customHeight="1" x14ac:dyDescent="0.2">
      <c r="A41" s="38">
        <v>507</v>
      </c>
      <c r="B41" s="38" t="s">
        <v>238</v>
      </c>
      <c r="C41" s="29" t="s">
        <v>239</v>
      </c>
      <c r="D41" s="38" t="s">
        <v>180</v>
      </c>
      <c r="E41" s="38">
        <v>-18</v>
      </c>
      <c r="F41" s="35" t="s">
        <v>159</v>
      </c>
      <c r="G41" s="29">
        <v>271</v>
      </c>
      <c r="H41" s="29">
        <v>2.5</v>
      </c>
      <c r="I41" s="29">
        <v>256</v>
      </c>
      <c r="J41" s="29">
        <v>2.6</v>
      </c>
      <c r="K41" s="29">
        <v>250</v>
      </c>
      <c r="L41" s="29">
        <v>1.4</v>
      </c>
      <c r="M41" s="29">
        <v>285</v>
      </c>
      <c r="N41" s="29">
        <v>3.5</v>
      </c>
      <c r="O41" s="29">
        <v>263</v>
      </c>
      <c r="P41" s="29">
        <v>2</v>
      </c>
      <c r="Q41" s="29">
        <v>266</v>
      </c>
      <c r="R41" s="29">
        <v>2.9</v>
      </c>
      <c r="S41" s="29">
        <v>265</v>
      </c>
      <c r="T41" s="29">
        <v>3.8</v>
      </c>
      <c r="U41" s="29">
        <v>254</v>
      </c>
      <c r="V41" s="29">
        <v>3.9</v>
      </c>
      <c r="W41" s="29">
        <v>250</v>
      </c>
      <c r="X41" s="29">
        <v>2.8</v>
      </c>
      <c r="Y41" s="29">
        <v>279</v>
      </c>
      <c r="Z41" s="29">
        <v>2.6</v>
      </c>
      <c r="AA41" s="29">
        <v>246</v>
      </c>
      <c r="AB41" s="29">
        <v>2.5</v>
      </c>
      <c r="AC41" s="29">
        <v>247</v>
      </c>
      <c r="AD41" s="29">
        <v>2</v>
      </c>
      <c r="AE41" s="36">
        <v>261</v>
      </c>
      <c r="AF41" s="36">
        <v>3.1</v>
      </c>
      <c r="AG41" s="37">
        <v>258</v>
      </c>
      <c r="AH41" s="37">
        <v>4.9000000000000004</v>
      </c>
      <c r="AI41" s="36">
        <v>245</v>
      </c>
      <c r="AJ41" s="36">
        <v>3.7</v>
      </c>
      <c r="AK41" s="36">
        <v>246</v>
      </c>
      <c r="AL41" s="36">
        <v>2.9</v>
      </c>
      <c r="AM41" s="37">
        <v>268</v>
      </c>
      <c r="AN41" s="37">
        <v>3.4</v>
      </c>
      <c r="AO41" s="37">
        <v>218</v>
      </c>
      <c r="AP41" s="37">
        <v>2.2999999999999998</v>
      </c>
      <c r="AQ41" s="29"/>
      <c r="AR41" s="29"/>
    </row>
    <row r="42" spans="1:44" ht="10.5" customHeight="1" x14ac:dyDescent="0.2">
      <c r="A42" s="38">
        <v>403</v>
      </c>
      <c r="B42" s="38" t="s">
        <v>205</v>
      </c>
      <c r="C42" s="29" t="s">
        <v>240</v>
      </c>
      <c r="D42" s="38" t="s">
        <v>205</v>
      </c>
      <c r="E42" s="38">
        <v>-11</v>
      </c>
      <c r="F42" s="35" t="s">
        <v>156</v>
      </c>
      <c r="G42" s="29">
        <v>213</v>
      </c>
      <c r="H42" s="29">
        <v>3.8</v>
      </c>
      <c r="I42" s="29">
        <v>209</v>
      </c>
      <c r="J42" s="29">
        <v>4.7</v>
      </c>
      <c r="K42" s="29">
        <v>204</v>
      </c>
      <c r="L42" s="29">
        <v>3.2</v>
      </c>
      <c r="M42" s="29">
        <v>209</v>
      </c>
      <c r="N42" s="29">
        <v>4.0999999999999996</v>
      </c>
      <c r="O42" s="29">
        <v>209</v>
      </c>
      <c r="P42" s="29">
        <v>3.8</v>
      </c>
      <c r="Q42" s="29">
        <v>198</v>
      </c>
      <c r="R42" s="29">
        <v>3.9</v>
      </c>
      <c r="S42" s="29">
        <v>208</v>
      </c>
      <c r="T42" s="29">
        <v>5.6</v>
      </c>
      <c r="U42" s="29">
        <v>216</v>
      </c>
      <c r="V42" s="29">
        <v>6</v>
      </c>
      <c r="W42" s="29">
        <v>175</v>
      </c>
      <c r="X42" s="29">
        <v>3.1</v>
      </c>
      <c r="Y42" s="29">
        <v>216</v>
      </c>
      <c r="Z42" s="29">
        <v>3.9</v>
      </c>
      <c r="AA42" s="29">
        <v>203</v>
      </c>
      <c r="AB42" s="29">
        <v>4.0999999999999996</v>
      </c>
      <c r="AC42" s="29">
        <v>208</v>
      </c>
      <c r="AD42" s="29">
        <v>4.7</v>
      </c>
      <c r="AE42" s="36">
        <v>201</v>
      </c>
      <c r="AF42" s="36">
        <v>4.5</v>
      </c>
      <c r="AG42" s="37">
        <v>189</v>
      </c>
      <c r="AH42" s="37">
        <v>6.5</v>
      </c>
      <c r="AI42" s="36">
        <v>189</v>
      </c>
      <c r="AJ42" s="36">
        <v>5.0999999999999996</v>
      </c>
      <c r="AK42" s="36">
        <v>214</v>
      </c>
      <c r="AL42" s="36">
        <v>5.3</v>
      </c>
      <c r="AM42" s="37">
        <v>217</v>
      </c>
      <c r="AN42" s="37">
        <v>4.7</v>
      </c>
      <c r="AO42" s="37">
        <v>189</v>
      </c>
      <c r="AP42" s="37">
        <v>4.8</v>
      </c>
      <c r="AQ42" s="29"/>
      <c r="AR42" s="29"/>
    </row>
    <row r="43" spans="1:44" ht="10.5" customHeight="1" x14ac:dyDescent="0.2">
      <c r="A43" s="38">
        <v>304</v>
      </c>
      <c r="B43" s="38" t="s">
        <v>241</v>
      </c>
      <c r="C43" s="29" t="s">
        <v>242</v>
      </c>
      <c r="D43" s="38" t="s">
        <v>155</v>
      </c>
      <c r="E43" s="38">
        <v>-11</v>
      </c>
      <c r="F43" s="35" t="s">
        <v>156</v>
      </c>
      <c r="G43" s="29">
        <v>214</v>
      </c>
      <c r="H43" s="29">
        <v>3.9</v>
      </c>
      <c r="I43" s="29">
        <v>225</v>
      </c>
      <c r="J43" s="29">
        <v>4.4000000000000004</v>
      </c>
      <c r="K43" s="29">
        <v>218</v>
      </c>
      <c r="L43" s="29">
        <v>3.2</v>
      </c>
      <c r="M43" s="29">
        <v>223</v>
      </c>
      <c r="N43" s="29">
        <v>3.9</v>
      </c>
      <c r="O43" s="29">
        <v>228</v>
      </c>
      <c r="P43" s="29">
        <v>3.9</v>
      </c>
      <c r="Q43" s="29">
        <v>207</v>
      </c>
      <c r="R43" s="29">
        <v>4.5</v>
      </c>
      <c r="S43" s="29">
        <v>226</v>
      </c>
      <c r="T43" s="29">
        <v>6.6</v>
      </c>
      <c r="U43" s="29">
        <v>233</v>
      </c>
      <c r="V43" s="29">
        <v>5.3</v>
      </c>
      <c r="W43" s="29">
        <v>176</v>
      </c>
      <c r="X43" s="29">
        <v>2.6</v>
      </c>
      <c r="Y43" s="29">
        <v>216</v>
      </c>
      <c r="Z43" s="29">
        <v>3.7</v>
      </c>
      <c r="AA43" s="29">
        <v>202</v>
      </c>
      <c r="AB43" s="29">
        <v>3.8</v>
      </c>
      <c r="AC43" s="29">
        <v>213</v>
      </c>
      <c r="AD43" s="29">
        <v>4.5</v>
      </c>
      <c r="AE43" s="34">
        <v>216</v>
      </c>
      <c r="AF43" s="34">
        <v>4.3</v>
      </c>
      <c r="AG43" s="37">
        <v>231</v>
      </c>
      <c r="AH43" s="37">
        <v>4.8</v>
      </c>
      <c r="AI43" s="36">
        <v>216</v>
      </c>
      <c r="AJ43" s="36">
        <v>4.7</v>
      </c>
      <c r="AK43" s="34">
        <v>193</v>
      </c>
      <c r="AL43" s="34">
        <v>4</v>
      </c>
      <c r="AM43" s="37">
        <v>230</v>
      </c>
      <c r="AN43" s="37">
        <v>3.9</v>
      </c>
      <c r="AO43" s="37">
        <v>187</v>
      </c>
      <c r="AP43" s="37">
        <v>4.3</v>
      </c>
      <c r="AQ43" s="29"/>
      <c r="AR43" s="29"/>
    </row>
    <row r="44" spans="1:44" ht="10.5" customHeight="1" x14ac:dyDescent="0.2">
      <c r="A44" s="38">
        <v>404</v>
      </c>
      <c r="B44" s="38" t="s">
        <v>243</v>
      </c>
      <c r="C44" s="29" t="s">
        <v>244</v>
      </c>
      <c r="D44" s="38" t="s">
        <v>205</v>
      </c>
      <c r="E44" s="38">
        <v>-11</v>
      </c>
      <c r="F44" s="35" t="s">
        <v>156</v>
      </c>
      <c r="G44" s="29">
        <v>200</v>
      </c>
      <c r="H44" s="29">
        <v>3.8</v>
      </c>
      <c r="I44" s="29">
        <v>209</v>
      </c>
      <c r="J44" s="29">
        <v>5.4</v>
      </c>
      <c r="K44" s="29">
        <v>199</v>
      </c>
      <c r="L44" s="29">
        <v>3.3</v>
      </c>
      <c r="M44" s="29">
        <v>202</v>
      </c>
      <c r="N44" s="29">
        <v>4.2</v>
      </c>
      <c r="O44" s="29">
        <v>203</v>
      </c>
      <c r="P44" s="29">
        <v>3.6</v>
      </c>
      <c r="Q44" s="29">
        <v>187</v>
      </c>
      <c r="R44" s="29">
        <v>3.6</v>
      </c>
      <c r="S44" s="29">
        <v>207</v>
      </c>
      <c r="T44" s="29">
        <v>5.2</v>
      </c>
      <c r="U44" s="29">
        <v>200</v>
      </c>
      <c r="V44" s="29">
        <v>5.7</v>
      </c>
      <c r="W44" s="29">
        <v>183</v>
      </c>
      <c r="X44" s="29">
        <v>3.9</v>
      </c>
      <c r="Y44" s="29">
        <v>211</v>
      </c>
      <c r="Z44" s="29">
        <v>4.0999999999999996</v>
      </c>
      <c r="AA44" s="29">
        <v>199</v>
      </c>
      <c r="AB44" s="29">
        <v>4.5</v>
      </c>
      <c r="AC44" s="29">
        <v>202</v>
      </c>
      <c r="AD44" s="29">
        <v>4.8</v>
      </c>
      <c r="AE44" s="34">
        <v>197</v>
      </c>
      <c r="AF44" s="34">
        <v>4.8</v>
      </c>
      <c r="AG44" s="37">
        <v>193</v>
      </c>
      <c r="AH44" s="37">
        <v>6.5</v>
      </c>
      <c r="AI44" s="36">
        <v>188</v>
      </c>
      <c r="AJ44" s="36">
        <v>5</v>
      </c>
      <c r="AK44" s="36">
        <v>216</v>
      </c>
      <c r="AL44" s="36">
        <v>5.0999999999999996</v>
      </c>
      <c r="AM44" s="37">
        <v>210</v>
      </c>
      <c r="AN44" s="37">
        <v>5.3</v>
      </c>
      <c r="AO44" s="37">
        <v>180</v>
      </c>
      <c r="AP44" s="37">
        <v>4.9000000000000004</v>
      </c>
      <c r="AQ44" s="29"/>
      <c r="AR44" s="29"/>
    </row>
    <row r="45" spans="1:44" ht="10.5" customHeight="1" x14ac:dyDescent="0.2">
      <c r="A45" s="38">
        <v>305</v>
      </c>
      <c r="B45" s="38" t="s">
        <v>245</v>
      </c>
      <c r="C45" s="29" t="s">
        <v>246</v>
      </c>
      <c r="D45" s="38" t="s">
        <v>155</v>
      </c>
      <c r="E45" s="38">
        <v>-13</v>
      </c>
      <c r="F45" s="35" t="s">
        <v>156</v>
      </c>
      <c r="G45" s="29">
        <v>210</v>
      </c>
      <c r="H45" s="29">
        <v>3.5</v>
      </c>
      <c r="I45" s="29">
        <v>211</v>
      </c>
      <c r="J45" s="29">
        <v>4.4000000000000004</v>
      </c>
      <c r="K45" s="29">
        <v>209</v>
      </c>
      <c r="L45" s="29">
        <v>3.5</v>
      </c>
      <c r="M45" s="29">
        <v>211</v>
      </c>
      <c r="N45" s="29">
        <v>4.0999999999999996</v>
      </c>
      <c r="O45" s="29">
        <v>209</v>
      </c>
      <c r="P45" s="29">
        <v>3.5</v>
      </c>
      <c r="Q45" s="29">
        <v>208</v>
      </c>
      <c r="R45" s="29">
        <v>4</v>
      </c>
      <c r="S45" s="29">
        <v>202</v>
      </c>
      <c r="T45" s="29">
        <v>5.4</v>
      </c>
      <c r="U45" s="29">
        <v>210</v>
      </c>
      <c r="V45" s="29">
        <v>6.1</v>
      </c>
      <c r="W45" s="29">
        <v>174</v>
      </c>
      <c r="X45" s="29">
        <v>3.3</v>
      </c>
      <c r="Y45" s="29">
        <v>215</v>
      </c>
      <c r="Z45" s="29">
        <v>4.2</v>
      </c>
      <c r="AA45" s="29">
        <v>197</v>
      </c>
      <c r="AB45" s="29">
        <v>4.3</v>
      </c>
      <c r="AC45" s="29">
        <v>205</v>
      </c>
      <c r="AD45" s="29">
        <v>4.7</v>
      </c>
      <c r="AE45" s="36">
        <v>202</v>
      </c>
      <c r="AF45" s="36">
        <v>4.5999999999999996</v>
      </c>
      <c r="AG45" s="37">
        <v>186</v>
      </c>
      <c r="AH45" s="37">
        <v>6.7</v>
      </c>
      <c r="AI45" s="36">
        <v>197</v>
      </c>
      <c r="AJ45" s="36">
        <v>5.7</v>
      </c>
      <c r="AK45" s="34">
        <v>224</v>
      </c>
      <c r="AL45" s="34">
        <v>7.8</v>
      </c>
      <c r="AM45" s="37">
        <v>233</v>
      </c>
      <c r="AN45" s="37">
        <v>3.9</v>
      </c>
      <c r="AO45" s="37">
        <v>187</v>
      </c>
      <c r="AP45" s="37">
        <v>4.8</v>
      </c>
      <c r="AQ45" s="29"/>
      <c r="AR45" s="29"/>
    </row>
    <row r="46" spans="1:44" ht="10.5" customHeight="1" x14ac:dyDescent="0.2">
      <c r="A46" s="38">
        <v>107</v>
      </c>
      <c r="B46" s="38" t="s">
        <v>247</v>
      </c>
      <c r="C46" s="29" t="s">
        <v>248</v>
      </c>
      <c r="D46" s="38" t="s">
        <v>167</v>
      </c>
      <c r="E46" s="38">
        <v>-11</v>
      </c>
      <c r="F46" s="35" t="s">
        <v>156</v>
      </c>
      <c r="G46" s="29">
        <v>203</v>
      </c>
      <c r="H46" s="29">
        <v>4</v>
      </c>
      <c r="I46" s="29">
        <v>206</v>
      </c>
      <c r="J46" s="29">
        <v>5</v>
      </c>
      <c r="K46" s="29">
        <v>200</v>
      </c>
      <c r="L46" s="29">
        <v>3.6</v>
      </c>
      <c r="M46" s="29">
        <v>205</v>
      </c>
      <c r="N46" s="29">
        <v>4.4000000000000004</v>
      </c>
      <c r="O46" s="29">
        <v>213</v>
      </c>
      <c r="P46" s="29">
        <v>4.3</v>
      </c>
      <c r="Q46" s="29">
        <v>226</v>
      </c>
      <c r="R46" s="29">
        <v>3.8</v>
      </c>
      <c r="S46" s="29">
        <v>200</v>
      </c>
      <c r="T46" s="29">
        <v>5.6</v>
      </c>
      <c r="U46" s="29">
        <v>205</v>
      </c>
      <c r="V46" s="29">
        <v>6</v>
      </c>
      <c r="W46" s="29">
        <v>175</v>
      </c>
      <c r="X46" s="29">
        <v>3.1</v>
      </c>
      <c r="Y46" s="29">
        <v>217</v>
      </c>
      <c r="Z46" s="29">
        <v>4</v>
      </c>
      <c r="AA46" s="29">
        <v>201</v>
      </c>
      <c r="AB46" s="29">
        <v>4.3</v>
      </c>
      <c r="AC46" s="29">
        <v>207</v>
      </c>
      <c r="AD46" s="29">
        <v>4.8</v>
      </c>
      <c r="AE46" s="34">
        <v>203</v>
      </c>
      <c r="AF46" s="34">
        <v>4.7</v>
      </c>
      <c r="AG46" s="29">
        <v>189</v>
      </c>
      <c r="AH46" s="29">
        <v>6.5</v>
      </c>
      <c r="AI46" s="36">
        <v>214</v>
      </c>
      <c r="AJ46" s="36">
        <v>4.8</v>
      </c>
      <c r="AK46" s="36">
        <v>231</v>
      </c>
      <c r="AL46" s="36">
        <v>4</v>
      </c>
      <c r="AM46" s="37">
        <v>208</v>
      </c>
      <c r="AN46" s="37">
        <v>5.2</v>
      </c>
      <c r="AO46" s="37">
        <v>188</v>
      </c>
      <c r="AP46" s="37">
        <v>4.8</v>
      </c>
      <c r="AQ46" s="29"/>
      <c r="AR46" s="29"/>
    </row>
    <row r="47" spans="1:44" ht="10.5" customHeight="1" x14ac:dyDescent="0.2">
      <c r="A47" s="38">
        <v>204</v>
      </c>
      <c r="B47" s="38" t="s">
        <v>249</v>
      </c>
      <c r="C47" s="29" t="s">
        <v>250</v>
      </c>
      <c r="D47" s="38" t="s">
        <v>189</v>
      </c>
      <c r="E47" s="38">
        <v>-11</v>
      </c>
      <c r="F47" s="35" t="s">
        <v>156</v>
      </c>
      <c r="G47" s="29">
        <v>215</v>
      </c>
      <c r="H47" s="29">
        <v>3.8</v>
      </c>
      <c r="I47" s="29">
        <v>218</v>
      </c>
      <c r="J47" s="29">
        <v>4.7</v>
      </c>
      <c r="K47" s="29">
        <v>209</v>
      </c>
      <c r="L47" s="29">
        <v>3.2</v>
      </c>
      <c r="M47" s="29">
        <v>208</v>
      </c>
      <c r="N47" s="29">
        <v>3.8</v>
      </c>
      <c r="O47" s="29">
        <v>210</v>
      </c>
      <c r="P47" s="29">
        <v>3.6</v>
      </c>
      <c r="Q47" s="29">
        <v>212</v>
      </c>
      <c r="R47" s="29">
        <v>4.0999999999999996</v>
      </c>
      <c r="S47" s="29">
        <v>213</v>
      </c>
      <c r="T47" s="29">
        <v>5.4</v>
      </c>
      <c r="U47" s="29">
        <v>225</v>
      </c>
      <c r="V47" s="29">
        <v>6</v>
      </c>
      <c r="W47" s="29">
        <v>177</v>
      </c>
      <c r="X47" s="29">
        <v>2.9</v>
      </c>
      <c r="Y47" s="29">
        <v>217</v>
      </c>
      <c r="Z47" s="29">
        <v>3.7</v>
      </c>
      <c r="AA47" s="29">
        <v>202</v>
      </c>
      <c r="AB47" s="29">
        <v>3.8</v>
      </c>
      <c r="AC47" s="29">
        <v>213</v>
      </c>
      <c r="AD47" s="29">
        <v>4.5</v>
      </c>
      <c r="AE47" s="36">
        <v>214</v>
      </c>
      <c r="AF47" s="36">
        <v>4.5</v>
      </c>
      <c r="AG47" s="37">
        <v>196</v>
      </c>
      <c r="AH47" s="37">
        <v>6.5</v>
      </c>
      <c r="AI47" s="36">
        <v>196</v>
      </c>
      <c r="AJ47" s="36">
        <v>5.2</v>
      </c>
      <c r="AK47" s="36">
        <v>220</v>
      </c>
      <c r="AL47" s="36">
        <v>5</v>
      </c>
      <c r="AM47" s="37">
        <v>225</v>
      </c>
      <c r="AN47" s="37">
        <v>4.7</v>
      </c>
      <c r="AO47" s="37">
        <v>182</v>
      </c>
      <c r="AP47" s="37">
        <v>4.2</v>
      </c>
      <c r="AQ47" s="29"/>
      <c r="AR47" s="29"/>
    </row>
    <row r="48" spans="1:44" ht="10.5" customHeight="1" x14ac:dyDescent="0.2">
      <c r="A48" s="38">
        <v>607</v>
      </c>
      <c r="B48" s="38" t="s">
        <v>251</v>
      </c>
      <c r="C48" s="29" t="s">
        <v>252</v>
      </c>
      <c r="D48" s="38" t="s">
        <v>157</v>
      </c>
      <c r="E48" s="38">
        <v>-13</v>
      </c>
      <c r="F48" s="35" t="s">
        <v>159</v>
      </c>
      <c r="G48" s="29">
        <v>219</v>
      </c>
      <c r="H48" s="29">
        <v>3.2</v>
      </c>
      <c r="I48" s="29">
        <v>225</v>
      </c>
      <c r="J48" s="29">
        <v>4.0999999999999996</v>
      </c>
      <c r="K48" s="29">
        <v>216</v>
      </c>
      <c r="L48" s="29">
        <v>2.4</v>
      </c>
      <c r="M48" s="29">
        <v>232</v>
      </c>
      <c r="N48" s="29">
        <v>3.9</v>
      </c>
      <c r="O48" s="29">
        <v>218</v>
      </c>
      <c r="P48" s="29">
        <v>3</v>
      </c>
      <c r="Q48" s="29">
        <v>182</v>
      </c>
      <c r="R48" s="29">
        <v>2.8</v>
      </c>
      <c r="S48" s="29">
        <v>226</v>
      </c>
      <c r="T48" s="29">
        <v>4.9000000000000004</v>
      </c>
      <c r="U48" s="29">
        <v>233</v>
      </c>
      <c r="V48" s="29">
        <v>5.3</v>
      </c>
      <c r="W48" s="29">
        <v>188</v>
      </c>
      <c r="X48" s="29">
        <v>2.7</v>
      </c>
      <c r="Y48" s="29">
        <v>219</v>
      </c>
      <c r="Z48" s="29">
        <v>3.2</v>
      </c>
      <c r="AA48" s="29">
        <v>204</v>
      </c>
      <c r="AB48" s="29">
        <v>2.8</v>
      </c>
      <c r="AC48" s="29">
        <v>212</v>
      </c>
      <c r="AD48" s="29">
        <v>3.3</v>
      </c>
      <c r="AE48" s="36">
        <v>213</v>
      </c>
      <c r="AF48" s="36">
        <v>3.6</v>
      </c>
      <c r="AG48" s="37">
        <v>226</v>
      </c>
      <c r="AH48" s="37">
        <v>6.5</v>
      </c>
      <c r="AI48" s="36">
        <v>215</v>
      </c>
      <c r="AJ48" s="36">
        <v>4.5</v>
      </c>
      <c r="AK48" s="34">
        <v>245</v>
      </c>
      <c r="AL48" s="34">
        <v>2.2999999999999998</v>
      </c>
      <c r="AM48" s="37">
        <v>225</v>
      </c>
      <c r="AN48" s="37">
        <v>4.0999999999999996</v>
      </c>
      <c r="AO48" s="37">
        <v>194</v>
      </c>
      <c r="AP48" s="37">
        <v>3.5</v>
      </c>
      <c r="AQ48" s="29"/>
      <c r="AR48" s="29"/>
    </row>
    <row r="49" spans="1:44" ht="10.5" customHeight="1" x14ac:dyDescent="0.2">
      <c r="A49" s="38">
        <v>706</v>
      </c>
      <c r="B49" s="38" t="s">
        <v>253</v>
      </c>
      <c r="C49" s="29" t="s">
        <v>254</v>
      </c>
      <c r="D49" s="38" t="s">
        <v>164</v>
      </c>
      <c r="E49" s="38">
        <v>-16</v>
      </c>
      <c r="F49" s="35" t="s">
        <v>156</v>
      </c>
      <c r="G49" s="29">
        <v>259</v>
      </c>
      <c r="H49" s="29">
        <v>2.5</v>
      </c>
      <c r="I49" s="29">
        <v>248</v>
      </c>
      <c r="J49" s="29">
        <v>2.6</v>
      </c>
      <c r="K49" s="29">
        <v>249</v>
      </c>
      <c r="L49" s="29">
        <v>1.6</v>
      </c>
      <c r="M49" s="29">
        <v>273</v>
      </c>
      <c r="N49" s="29">
        <v>3</v>
      </c>
      <c r="O49" s="29">
        <v>262</v>
      </c>
      <c r="P49" s="29">
        <v>2.1</v>
      </c>
      <c r="Q49" s="29">
        <v>280</v>
      </c>
      <c r="R49" s="29">
        <v>3.1</v>
      </c>
      <c r="S49" s="29">
        <v>261</v>
      </c>
      <c r="T49" s="29">
        <v>4</v>
      </c>
      <c r="U49" s="29">
        <v>256</v>
      </c>
      <c r="V49" s="29">
        <v>4</v>
      </c>
      <c r="W49" s="29">
        <v>230</v>
      </c>
      <c r="X49" s="29">
        <v>2.1</v>
      </c>
      <c r="Y49" s="29">
        <v>262</v>
      </c>
      <c r="Z49" s="29">
        <v>2.4</v>
      </c>
      <c r="AA49" s="29">
        <v>231</v>
      </c>
      <c r="AB49" s="29">
        <v>1.9</v>
      </c>
      <c r="AC49" s="29">
        <v>230</v>
      </c>
      <c r="AD49" s="29">
        <v>1.5</v>
      </c>
      <c r="AE49" s="36">
        <v>247</v>
      </c>
      <c r="AF49" s="36">
        <v>2.7</v>
      </c>
      <c r="AG49" s="37">
        <v>260</v>
      </c>
      <c r="AH49" s="37">
        <v>5.0999999999999996</v>
      </c>
      <c r="AI49" s="36">
        <v>244</v>
      </c>
      <c r="AJ49" s="36">
        <v>4.3</v>
      </c>
      <c r="AK49" s="34">
        <v>245</v>
      </c>
      <c r="AL49" s="34">
        <v>3</v>
      </c>
      <c r="AM49" s="37">
        <v>251</v>
      </c>
      <c r="AN49" s="37">
        <v>2.9</v>
      </c>
      <c r="AO49" s="37">
        <v>218</v>
      </c>
      <c r="AP49" s="37">
        <v>2.2000000000000002</v>
      </c>
      <c r="AQ49" s="29"/>
      <c r="AR49" s="29"/>
    </row>
    <row r="50" spans="1:44" ht="10.5" customHeight="1" x14ac:dyDescent="0.2">
      <c r="A50" s="38">
        <v>306</v>
      </c>
      <c r="B50" s="38" t="s">
        <v>255</v>
      </c>
      <c r="C50" s="29" t="s">
        <v>256</v>
      </c>
      <c r="D50" s="38" t="s">
        <v>155</v>
      </c>
      <c r="E50" s="38">
        <v>-15</v>
      </c>
      <c r="F50" s="35" t="s">
        <v>159</v>
      </c>
      <c r="G50" s="29">
        <v>218</v>
      </c>
      <c r="H50" s="29">
        <v>3.5</v>
      </c>
      <c r="I50" s="29">
        <v>223</v>
      </c>
      <c r="J50" s="29">
        <v>4.0999999999999996</v>
      </c>
      <c r="K50" s="29">
        <v>220</v>
      </c>
      <c r="L50" s="29">
        <v>3.2</v>
      </c>
      <c r="M50" s="29">
        <v>229</v>
      </c>
      <c r="N50" s="29">
        <v>3.9</v>
      </c>
      <c r="O50" s="29">
        <v>220</v>
      </c>
      <c r="P50" s="29">
        <v>2.8</v>
      </c>
      <c r="Q50" s="29">
        <v>216</v>
      </c>
      <c r="R50" s="29">
        <v>3.1</v>
      </c>
      <c r="S50" s="29">
        <v>240</v>
      </c>
      <c r="T50" s="29">
        <v>5.8</v>
      </c>
      <c r="U50" s="29">
        <v>242</v>
      </c>
      <c r="V50" s="29">
        <v>6</v>
      </c>
      <c r="W50" s="29">
        <v>187</v>
      </c>
      <c r="X50" s="29">
        <v>2.8</v>
      </c>
      <c r="Y50" s="29">
        <v>225</v>
      </c>
      <c r="Z50" s="29">
        <v>3.4</v>
      </c>
      <c r="AA50" s="29">
        <v>201</v>
      </c>
      <c r="AB50" s="29">
        <v>3.2</v>
      </c>
      <c r="AC50" s="29">
        <v>214</v>
      </c>
      <c r="AD50" s="29">
        <v>3.6</v>
      </c>
      <c r="AE50" s="36">
        <v>220</v>
      </c>
      <c r="AF50" s="36">
        <v>4.2</v>
      </c>
      <c r="AG50" s="41">
        <v>226</v>
      </c>
      <c r="AH50" s="41">
        <v>6.9</v>
      </c>
      <c r="AI50" s="36">
        <v>207</v>
      </c>
      <c r="AJ50" s="36">
        <v>4.5999999999999996</v>
      </c>
      <c r="AK50" s="34">
        <v>236</v>
      </c>
      <c r="AL50" s="34">
        <v>4.5</v>
      </c>
      <c r="AM50" s="37">
        <v>233</v>
      </c>
      <c r="AN50" s="37">
        <v>4.0999999999999996</v>
      </c>
      <c r="AO50" s="37">
        <v>197</v>
      </c>
      <c r="AP50" s="37">
        <v>4</v>
      </c>
      <c r="AQ50" s="29"/>
      <c r="AR50" s="29"/>
    </row>
    <row r="51" spans="1:44" ht="10.5" customHeight="1" x14ac:dyDescent="0.2">
      <c r="A51" s="38">
        <v>707</v>
      </c>
      <c r="B51" s="38" t="s">
        <v>164</v>
      </c>
      <c r="C51" s="29" t="s">
        <v>257</v>
      </c>
      <c r="D51" s="38" t="s">
        <v>164</v>
      </c>
      <c r="E51" s="38">
        <v>-15</v>
      </c>
      <c r="F51" s="35" t="s">
        <v>156</v>
      </c>
      <c r="G51" s="29">
        <v>210</v>
      </c>
      <c r="H51" s="29">
        <v>2.2999999999999998</v>
      </c>
      <c r="I51" s="29">
        <v>225</v>
      </c>
      <c r="J51" s="29">
        <v>3.2</v>
      </c>
      <c r="K51" s="29">
        <v>230</v>
      </c>
      <c r="L51" s="29">
        <v>2.2000000000000002</v>
      </c>
      <c r="M51" s="29">
        <v>240</v>
      </c>
      <c r="N51" s="29">
        <v>3.4</v>
      </c>
      <c r="O51" s="29">
        <v>235</v>
      </c>
      <c r="P51" s="29">
        <v>3</v>
      </c>
      <c r="Q51" s="29">
        <v>223</v>
      </c>
      <c r="R51" s="29">
        <v>2.8</v>
      </c>
      <c r="S51" s="29">
        <v>245</v>
      </c>
      <c r="T51" s="29">
        <v>5.0999999999999996</v>
      </c>
      <c r="U51" s="29">
        <v>246</v>
      </c>
      <c r="V51" s="29">
        <v>5.2</v>
      </c>
      <c r="W51" s="29">
        <v>220</v>
      </c>
      <c r="X51" s="29">
        <v>3.7</v>
      </c>
      <c r="Y51" s="29">
        <v>235</v>
      </c>
      <c r="Z51" s="29">
        <v>3.2</v>
      </c>
      <c r="AA51" s="29">
        <v>207</v>
      </c>
      <c r="AB51" s="29">
        <v>2.2999999999999998</v>
      </c>
      <c r="AC51" s="29">
        <v>213</v>
      </c>
      <c r="AD51" s="29">
        <v>2.6</v>
      </c>
      <c r="AE51" s="36">
        <v>217</v>
      </c>
      <c r="AF51" s="36">
        <v>3.3</v>
      </c>
      <c r="AG51" s="37">
        <v>239</v>
      </c>
      <c r="AH51" s="37">
        <v>6</v>
      </c>
      <c r="AI51" s="36">
        <v>210</v>
      </c>
      <c r="AJ51" s="36">
        <v>4.5</v>
      </c>
      <c r="AK51" s="36">
        <v>226</v>
      </c>
      <c r="AL51" s="36">
        <v>4</v>
      </c>
      <c r="AM51" s="37">
        <v>251</v>
      </c>
      <c r="AN51" s="37">
        <v>3</v>
      </c>
      <c r="AO51" s="37">
        <v>199</v>
      </c>
      <c r="AP51" s="37">
        <v>3</v>
      </c>
      <c r="AQ51" s="29"/>
      <c r="AR51" s="29"/>
    </row>
    <row r="52" spans="1:44" ht="10.5" customHeight="1" x14ac:dyDescent="0.2">
      <c r="A52" s="38">
        <v>307</v>
      </c>
      <c r="B52" s="38" t="s">
        <v>258</v>
      </c>
      <c r="C52" s="29" t="s">
        <v>259</v>
      </c>
      <c r="D52" s="38" t="s">
        <v>155</v>
      </c>
      <c r="E52" s="38">
        <v>-14</v>
      </c>
      <c r="F52" s="35" t="s">
        <v>159</v>
      </c>
      <c r="G52" s="29">
        <v>219</v>
      </c>
      <c r="H52" s="29">
        <v>3.6</v>
      </c>
      <c r="I52" s="29">
        <v>222</v>
      </c>
      <c r="J52" s="29">
        <v>4.3</v>
      </c>
      <c r="K52" s="29">
        <v>217</v>
      </c>
      <c r="L52" s="29">
        <v>3.3</v>
      </c>
      <c r="M52" s="29">
        <v>217</v>
      </c>
      <c r="N52" s="29">
        <v>3.7</v>
      </c>
      <c r="O52" s="29">
        <v>211</v>
      </c>
      <c r="P52" s="29">
        <v>2.9</v>
      </c>
      <c r="Q52" s="29">
        <v>213</v>
      </c>
      <c r="R52" s="29">
        <v>3.4</v>
      </c>
      <c r="S52" s="29">
        <v>232</v>
      </c>
      <c r="T52" s="29">
        <v>5.8</v>
      </c>
      <c r="U52" s="29">
        <v>226</v>
      </c>
      <c r="V52" s="29">
        <v>5.9</v>
      </c>
      <c r="W52" s="29">
        <v>179</v>
      </c>
      <c r="X52" s="29">
        <v>2.6</v>
      </c>
      <c r="Y52" s="29">
        <v>216</v>
      </c>
      <c r="Z52" s="29">
        <v>3.7</v>
      </c>
      <c r="AA52" s="29">
        <v>202</v>
      </c>
      <c r="AB52" s="29">
        <v>3.5</v>
      </c>
      <c r="AC52" s="29">
        <v>212</v>
      </c>
      <c r="AD52" s="29">
        <v>3.9</v>
      </c>
      <c r="AE52" s="36">
        <v>208</v>
      </c>
      <c r="AF52" s="36">
        <v>4.0999999999999996</v>
      </c>
      <c r="AG52" s="37">
        <v>211</v>
      </c>
      <c r="AH52" s="37">
        <v>6.9</v>
      </c>
      <c r="AI52" s="36">
        <v>197</v>
      </c>
      <c r="AJ52" s="36">
        <v>5.0999999999999996</v>
      </c>
      <c r="AK52" s="36">
        <v>221</v>
      </c>
      <c r="AL52" s="36">
        <v>5</v>
      </c>
      <c r="AM52" s="37">
        <v>227</v>
      </c>
      <c r="AN52" s="37">
        <v>4.3</v>
      </c>
      <c r="AO52" s="37">
        <v>179</v>
      </c>
      <c r="AP52" s="37">
        <v>3.8</v>
      </c>
      <c r="AQ52" s="29"/>
      <c r="AR52" s="29"/>
    </row>
    <row r="53" spans="1:44" ht="10.5" customHeight="1" x14ac:dyDescent="0.2">
      <c r="A53" s="38">
        <v>308</v>
      </c>
      <c r="B53" s="38" t="s">
        <v>260</v>
      </c>
      <c r="C53" s="29" t="s">
        <v>261</v>
      </c>
      <c r="D53" s="38" t="s">
        <v>155</v>
      </c>
      <c r="E53" s="38">
        <v>-13</v>
      </c>
      <c r="F53" s="35" t="s">
        <v>156</v>
      </c>
      <c r="G53" s="29">
        <v>218</v>
      </c>
      <c r="H53" s="29">
        <v>3.5</v>
      </c>
      <c r="I53" s="29">
        <v>223</v>
      </c>
      <c r="J53" s="29">
        <v>4.0999999999999996</v>
      </c>
      <c r="K53" s="29">
        <v>220</v>
      </c>
      <c r="L53" s="29">
        <v>3.2</v>
      </c>
      <c r="M53" s="29">
        <v>229</v>
      </c>
      <c r="N53" s="29">
        <v>3.9</v>
      </c>
      <c r="O53" s="29">
        <v>220</v>
      </c>
      <c r="P53" s="29">
        <v>2.8</v>
      </c>
      <c r="Q53" s="29">
        <v>216</v>
      </c>
      <c r="R53" s="29">
        <v>3.1</v>
      </c>
      <c r="S53" s="29">
        <v>240</v>
      </c>
      <c r="T53" s="29">
        <v>5.8</v>
      </c>
      <c r="U53" s="29">
        <v>242</v>
      </c>
      <c r="V53" s="29">
        <v>6</v>
      </c>
      <c r="W53" s="29">
        <v>187</v>
      </c>
      <c r="X53" s="29">
        <v>2.8</v>
      </c>
      <c r="Y53" s="29">
        <v>225</v>
      </c>
      <c r="Z53" s="29">
        <v>3.4</v>
      </c>
      <c r="AA53" s="29">
        <v>201</v>
      </c>
      <c r="AB53" s="29">
        <v>3.2</v>
      </c>
      <c r="AC53" s="29">
        <v>214</v>
      </c>
      <c r="AD53" s="29">
        <v>3.6</v>
      </c>
      <c r="AE53" s="36">
        <v>220</v>
      </c>
      <c r="AF53" s="36">
        <v>4.2</v>
      </c>
      <c r="AG53" s="37">
        <v>239</v>
      </c>
      <c r="AH53" s="37">
        <v>7.2</v>
      </c>
      <c r="AI53" s="36">
        <v>207</v>
      </c>
      <c r="AJ53" s="36">
        <v>4.5999999999999996</v>
      </c>
      <c r="AK53" s="36">
        <v>224</v>
      </c>
      <c r="AL53" s="36">
        <v>5</v>
      </c>
      <c r="AM53" s="37">
        <v>233</v>
      </c>
      <c r="AN53" s="37">
        <v>4.0999999999999996</v>
      </c>
      <c r="AO53" s="37">
        <v>197</v>
      </c>
      <c r="AP53" s="37">
        <v>4</v>
      </c>
      <c r="AQ53" s="29"/>
      <c r="AR53" s="29"/>
    </row>
    <row r="54" spans="1:44" ht="10.5" customHeight="1" x14ac:dyDescent="0.2">
      <c r="A54" s="38">
        <v>608</v>
      </c>
      <c r="B54" s="38" t="s">
        <v>262</v>
      </c>
      <c r="C54" s="29" t="s">
        <v>263</v>
      </c>
      <c r="D54" s="38" t="s">
        <v>157</v>
      </c>
      <c r="E54" s="38">
        <v>-15</v>
      </c>
      <c r="F54" s="35" t="s">
        <v>159</v>
      </c>
      <c r="G54" s="29">
        <v>228</v>
      </c>
      <c r="H54" s="29">
        <v>3.2</v>
      </c>
      <c r="I54" s="29">
        <v>231</v>
      </c>
      <c r="J54" s="29">
        <v>3.6</v>
      </c>
      <c r="K54" s="29">
        <v>224</v>
      </c>
      <c r="L54" s="29">
        <v>2</v>
      </c>
      <c r="M54" s="29">
        <v>240</v>
      </c>
      <c r="N54" s="29">
        <v>3.4</v>
      </c>
      <c r="O54" s="29">
        <v>230</v>
      </c>
      <c r="P54" s="29">
        <v>2.7</v>
      </c>
      <c r="Q54" s="29">
        <v>237</v>
      </c>
      <c r="R54" s="29">
        <v>3.5</v>
      </c>
      <c r="S54" s="29">
        <v>245</v>
      </c>
      <c r="T54" s="29">
        <v>4.9000000000000004</v>
      </c>
      <c r="U54" s="29">
        <v>243</v>
      </c>
      <c r="V54" s="29">
        <v>5</v>
      </c>
      <c r="W54" s="29">
        <v>199</v>
      </c>
      <c r="X54" s="29">
        <v>3</v>
      </c>
      <c r="Y54" s="29">
        <v>226</v>
      </c>
      <c r="Z54" s="29">
        <v>3.4</v>
      </c>
      <c r="AA54" s="29">
        <v>204</v>
      </c>
      <c r="AB54" s="29">
        <v>2.5</v>
      </c>
      <c r="AC54" s="29">
        <v>215</v>
      </c>
      <c r="AD54" s="29">
        <v>3</v>
      </c>
      <c r="AE54" s="36">
        <v>219</v>
      </c>
      <c r="AF54" s="40">
        <v>3</v>
      </c>
      <c r="AG54" s="37">
        <v>239</v>
      </c>
      <c r="AH54" s="37">
        <v>6.7</v>
      </c>
      <c r="AI54" s="36">
        <v>210</v>
      </c>
      <c r="AJ54" s="40">
        <v>4.5999999999999996</v>
      </c>
      <c r="AK54" s="36">
        <v>222</v>
      </c>
      <c r="AL54" s="36">
        <v>3.7</v>
      </c>
      <c r="AM54" s="37">
        <v>236</v>
      </c>
      <c r="AN54" s="37">
        <v>3.7</v>
      </c>
      <c r="AO54" s="37">
        <v>202</v>
      </c>
      <c r="AP54" s="37">
        <v>3.2</v>
      </c>
      <c r="AQ54" s="29"/>
      <c r="AR54" s="29"/>
    </row>
    <row r="55" spans="1:44" ht="10.5" customHeight="1" x14ac:dyDescent="0.2">
      <c r="A55" s="38">
        <v>609</v>
      </c>
      <c r="B55" s="38" t="s">
        <v>264</v>
      </c>
      <c r="C55" s="29" t="s">
        <v>265</v>
      </c>
      <c r="D55" s="38" t="s">
        <v>157</v>
      </c>
      <c r="E55" s="38">
        <v>-13</v>
      </c>
      <c r="F55" s="35" t="s">
        <v>159</v>
      </c>
      <c r="G55" s="29">
        <v>215</v>
      </c>
      <c r="H55" s="29">
        <v>3.1</v>
      </c>
      <c r="I55" s="29">
        <v>221</v>
      </c>
      <c r="J55" s="29">
        <v>3.9</v>
      </c>
      <c r="K55" s="29">
        <v>208</v>
      </c>
      <c r="L55" s="29">
        <v>1.6</v>
      </c>
      <c r="M55" s="29">
        <v>227</v>
      </c>
      <c r="N55" s="29">
        <v>3.8</v>
      </c>
      <c r="O55" s="29">
        <v>212</v>
      </c>
      <c r="P55" s="29">
        <v>2.6</v>
      </c>
      <c r="Q55" s="29">
        <v>208</v>
      </c>
      <c r="R55" s="29">
        <v>2.8</v>
      </c>
      <c r="S55" s="29">
        <v>228</v>
      </c>
      <c r="T55" s="29">
        <v>5.4</v>
      </c>
      <c r="U55" s="29">
        <v>227</v>
      </c>
      <c r="V55" s="29">
        <v>5.2</v>
      </c>
      <c r="W55" s="29">
        <v>181</v>
      </c>
      <c r="X55" s="29">
        <v>2.8</v>
      </c>
      <c r="Y55" s="29">
        <v>216</v>
      </c>
      <c r="Z55" s="29">
        <v>3.1</v>
      </c>
      <c r="AA55" s="29">
        <v>203</v>
      </c>
      <c r="AB55" s="29">
        <v>2.9</v>
      </c>
      <c r="AC55" s="29">
        <v>212</v>
      </c>
      <c r="AD55" s="29">
        <v>3.2</v>
      </c>
      <c r="AE55" s="36">
        <v>210</v>
      </c>
      <c r="AF55" s="36">
        <v>3.8</v>
      </c>
      <c r="AG55" s="37">
        <v>211</v>
      </c>
      <c r="AH55" s="37">
        <v>6.2</v>
      </c>
      <c r="AI55" s="36">
        <v>199</v>
      </c>
      <c r="AJ55" s="36">
        <v>5</v>
      </c>
      <c r="AK55" s="36">
        <v>206</v>
      </c>
      <c r="AL55" s="36">
        <v>3.8</v>
      </c>
      <c r="AM55" s="37">
        <v>226</v>
      </c>
      <c r="AN55" s="37">
        <v>4</v>
      </c>
      <c r="AO55" s="37">
        <v>196</v>
      </c>
      <c r="AP55" s="37">
        <v>3.7</v>
      </c>
      <c r="AQ55" s="29"/>
      <c r="AR55" s="29"/>
    </row>
    <row r="56" spans="1:44" ht="10.5" customHeight="1" x14ac:dyDescent="0.2">
      <c r="A56" s="38">
        <v>808</v>
      </c>
      <c r="B56" s="38" t="s">
        <v>266</v>
      </c>
      <c r="C56" s="29" t="s">
        <v>267</v>
      </c>
      <c r="D56" s="38" t="s">
        <v>194</v>
      </c>
      <c r="E56" s="38">
        <v>-15</v>
      </c>
      <c r="F56" s="35" t="s">
        <v>159</v>
      </c>
      <c r="G56" s="29">
        <v>218</v>
      </c>
      <c r="H56" s="29">
        <v>3.2</v>
      </c>
      <c r="I56" s="29">
        <v>224</v>
      </c>
      <c r="J56" s="29">
        <v>3.7</v>
      </c>
      <c r="K56" s="29">
        <v>213</v>
      </c>
      <c r="L56" s="29">
        <v>2.2000000000000002</v>
      </c>
      <c r="M56" s="29">
        <v>232</v>
      </c>
      <c r="N56" s="29">
        <v>3.8</v>
      </c>
      <c r="O56" s="29">
        <v>211</v>
      </c>
      <c r="P56" s="29">
        <v>2.5</v>
      </c>
      <c r="Q56" s="29">
        <v>212</v>
      </c>
      <c r="R56" s="29">
        <v>3.3</v>
      </c>
      <c r="S56" s="29">
        <v>229</v>
      </c>
      <c r="T56" s="29">
        <v>5.2</v>
      </c>
      <c r="U56" s="29">
        <v>220</v>
      </c>
      <c r="V56" s="29">
        <v>5</v>
      </c>
      <c r="W56" s="29">
        <v>181</v>
      </c>
      <c r="X56" s="29">
        <v>2.7</v>
      </c>
      <c r="Y56" s="29">
        <v>219</v>
      </c>
      <c r="Z56" s="29">
        <v>3.4</v>
      </c>
      <c r="AA56" s="29">
        <v>203</v>
      </c>
      <c r="AB56" s="29">
        <v>2.9</v>
      </c>
      <c r="AC56" s="29">
        <v>213</v>
      </c>
      <c r="AD56" s="29">
        <v>3.3</v>
      </c>
      <c r="AE56" s="36">
        <v>218</v>
      </c>
      <c r="AF56" s="36">
        <v>3.5</v>
      </c>
      <c r="AG56" s="37">
        <v>219</v>
      </c>
      <c r="AH56" s="37">
        <v>6.3</v>
      </c>
      <c r="AI56" s="36">
        <v>203</v>
      </c>
      <c r="AJ56" s="36">
        <v>4.5</v>
      </c>
      <c r="AK56" s="36">
        <v>213</v>
      </c>
      <c r="AL56" s="36">
        <v>3.8</v>
      </c>
      <c r="AM56" s="37">
        <v>227</v>
      </c>
      <c r="AN56" s="37">
        <v>3.8</v>
      </c>
      <c r="AO56" s="37">
        <v>196</v>
      </c>
      <c r="AP56" s="37">
        <v>2.8</v>
      </c>
      <c r="AQ56" s="29"/>
      <c r="AR56" s="29"/>
    </row>
    <row r="57" spans="1:44" ht="10.5" customHeight="1" x14ac:dyDescent="0.2">
      <c r="A57" s="38">
        <v>508</v>
      </c>
      <c r="B57" s="38" t="s">
        <v>268</v>
      </c>
      <c r="C57" s="29" t="s">
        <v>269</v>
      </c>
      <c r="D57" s="38" t="s">
        <v>180</v>
      </c>
      <c r="E57" s="38">
        <v>-16</v>
      </c>
      <c r="F57" s="35" t="s">
        <v>159</v>
      </c>
      <c r="G57" s="29">
        <v>250</v>
      </c>
      <c r="H57" s="29">
        <v>2.7</v>
      </c>
      <c r="I57" s="29">
        <v>234</v>
      </c>
      <c r="J57" s="29">
        <v>3.6</v>
      </c>
      <c r="K57" s="29">
        <v>228</v>
      </c>
      <c r="L57" s="29">
        <v>2.4</v>
      </c>
      <c r="M57" s="29">
        <v>241</v>
      </c>
      <c r="N57" s="29">
        <v>3.8</v>
      </c>
      <c r="O57" s="29">
        <v>230</v>
      </c>
      <c r="P57" s="29">
        <v>2.7</v>
      </c>
      <c r="Q57" s="29">
        <v>237</v>
      </c>
      <c r="R57" s="29">
        <v>2.8</v>
      </c>
      <c r="S57" s="29">
        <v>246</v>
      </c>
      <c r="T57" s="29">
        <v>5.2</v>
      </c>
      <c r="U57" s="29">
        <v>241</v>
      </c>
      <c r="V57" s="29">
        <v>5.2</v>
      </c>
      <c r="W57" s="29">
        <v>230</v>
      </c>
      <c r="X57" s="29">
        <v>3.4</v>
      </c>
      <c r="Y57" s="29">
        <v>247</v>
      </c>
      <c r="Z57" s="29">
        <v>3.2</v>
      </c>
      <c r="AA57" s="29">
        <v>205</v>
      </c>
      <c r="AB57" s="29">
        <v>3</v>
      </c>
      <c r="AC57" s="29">
        <v>219</v>
      </c>
      <c r="AD57" s="29">
        <v>2.6</v>
      </c>
      <c r="AE57" s="36">
        <v>238</v>
      </c>
      <c r="AF57" s="36">
        <v>3.3</v>
      </c>
      <c r="AG57" s="37">
        <v>246</v>
      </c>
      <c r="AH57" s="37">
        <v>5.8</v>
      </c>
      <c r="AI57" s="36">
        <v>235</v>
      </c>
      <c r="AJ57" s="36">
        <v>4.4000000000000004</v>
      </c>
      <c r="AK57" s="36">
        <v>244</v>
      </c>
      <c r="AL57" s="36">
        <v>4</v>
      </c>
      <c r="AM57" s="37">
        <v>257</v>
      </c>
      <c r="AN57" s="37">
        <v>4</v>
      </c>
      <c r="AO57" s="37">
        <v>202</v>
      </c>
      <c r="AP57" s="37">
        <v>2.6</v>
      </c>
      <c r="AQ57" s="29"/>
      <c r="AR57" s="29"/>
    </row>
    <row r="58" spans="1:44" ht="10.5" customHeight="1" x14ac:dyDescent="0.2">
      <c r="A58" s="38">
        <v>708</v>
      </c>
      <c r="B58" s="38" t="s">
        <v>270</v>
      </c>
      <c r="C58" s="29" t="s">
        <v>271</v>
      </c>
      <c r="D58" s="38" t="s">
        <v>164</v>
      </c>
      <c r="E58" s="38">
        <v>-15</v>
      </c>
      <c r="F58" s="35" t="s">
        <v>159</v>
      </c>
      <c r="G58" s="29">
        <v>229</v>
      </c>
      <c r="H58" s="29">
        <v>2.9</v>
      </c>
      <c r="I58" s="29">
        <v>227</v>
      </c>
      <c r="J58" s="29">
        <v>3.3</v>
      </c>
      <c r="K58" s="29">
        <v>229</v>
      </c>
      <c r="L58" s="29">
        <v>2.2999999999999998</v>
      </c>
      <c r="M58" s="29">
        <v>239</v>
      </c>
      <c r="N58" s="29">
        <v>3.3</v>
      </c>
      <c r="O58" s="29">
        <v>242</v>
      </c>
      <c r="P58" s="29">
        <v>3.3</v>
      </c>
      <c r="Q58" s="29">
        <v>225</v>
      </c>
      <c r="R58" s="29">
        <v>2.9</v>
      </c>
      <c r="S58" s="29">
        <v>245</v>
      </c>
      <c r="T58" s="29">
        <v>4.9000000000000004</v>
      </c>
      <c r="U58" s="29">
        <v>246</v>
      </c>
      <c r="V58" s="29">
        <v>5.0999999999999996</v>
      </c>
      <c r="W58" s="29">
        <v>220</v>
      </c>
      <c r="X58" s="29">
        <v>3.5</v>
      </c>
      <c r="Y58" s="29">
        <v>236</v>
      </c>
      <c r="Z58" s="29">
        <v>3</v>
      </c>
      <c r="AA58" s="29">
        <v>206</v>
      </c>
      <c r="AB58" s="29">
        <v>2.2000000000000002</v>
      </c>
      <c r="AC58" s="29">
        <v>217</v>
      </c>
      <c r="AD58" s="29">
        <v>2.4</v>
      </c>
      <c r="AE58" s="36">
        <v>225</v>
      </c>
      <c r="AF58" s="36">
        <v>3.3</v>
      </c>
      <c r="AG58" s="29">
        <v>239</v>
      </c>
      <c r="AH58" s="29">
        <v>5.9</v>
      </c>
      <c r="AI58" s="36">
        <v>220</v>
      </c>
      <c r="AJ58" s="36">
        <v>4.5999999999999996</v>
      </c>
      <c r="AK58" s="36">
        <v>244</v>
      </c>
      <c r="AL58" s="36">
        <v>4.0999999999999996</v>
      </c>
      <c r="AM58" s="37">
        <v>251</v>
      </c>
      <c r="AN58" s="37">
        <v>3</v>
      </c>
      <c r="AO58" s="37">
        <v>196</v>
      </c>
      <c r="AP58" s="37">
        <v>2.9</v>
      </c>
      <c r="AQ58" s="37">
        <v>233</v>
      </c>
      <c r="AR58" s="37">
        <v>5.3</v>
      </c>
    </row>
    <row r="59" spans="1:44" ht="10.5" customHeight="1" x14ac:dyDescent="0.2">
      <c r="A59" s="38">
        <v>108</v>
      </c>
      <c r="B59" s="38" t="s">
        <v>272</v>
      </c>
      <c r="C59" s="29" t="s">
        <v>273</v>
      </c>
      <c r="D59" s="38" t="s">
        <v>167</v>
      </c>
      <c r="E59" s="38">
        <v>-11</v>
      </c>
      <c r="F59" s="35" t="s">
        <v>156</v>
      </c>
      <c r="G59" s="29">
        <v>201</v>
      </c>
      <c r="H59" s="29">
        <v>3.9</v>
      </c>
      <c r="I59" s="29">
        <v>208</v>
      </c>
      <c r="J59" s="29">
        <v>5.0999999999999996</v>
      </c>
      <c r="K59" s="29">
        <v>204</v>
      </c>
      <c r="L59" s="29">
        <v>3.6</v>
      </c>
      <c r="M59" s="29">
        <v>202</v>
      </c>
      <c r="N59" s="29">
        <v>4.2</v>
      </c>
      <c r="O59" s="29">
        <v>208</v>
      </c>
      <c r="P59" s="29">
        <v>4.2</v>
      </c>
      <c r="Q59" s="29">
        <v>197</v>
      </c>
      <c r="R59" s="29">
        <v>4.0999999999999996</v>
      </c>
      <c r="S59" s="29">
        <v>198</v>
      </c>
      <c r="T59" s="29">
        <v>5.7</v>
      </c>
      <c r="U59" s="29">
        <v>210</v>
      </c>
      <c r="V59" s="29">
        <v>6</v>
      </c>
      <c r="W59" s="29">
        <v>176</v>
      </c>
      <c r="X59" s="29">
        <v>3.3</v>
      </c>
      <c r="Y59" s="29">
        <v>218</v>
      </c>
      <c r="Z59" s="29">
        <v>4</v>
      </c>
      <c r="AA59" s="29">
        <v>195</v>
      </c>
      <c r="AB59" s="29">
        <v>4.3</v>
      </c>
      <c r="AC59" s="29">
        <v>196</v>
      </c>
      <c r="AD59" s="29">
        <v>4.8</v>
      </c>
      <c r="AE59" s="36">
        <v>199</v>
      </c>
      <c r="AF59" s="36">
        <v>4.4000000000000004</v>
      </c>
      <c r="AG59" s="29">
        <v>185</v>
      </c>
      <c r="AH59" s="29">
        <v>6.2</v>
      </c>
      <c r="AI59" s="36">
        <v>191</v>
      </c>
      <c r="AJ59" s="36">
        <v>5.6</v>
      </c>
      <c r="AK59" s="36">
        <v>204</v>
      </c>
      <c r="AL59" s="36">
        <v>5.0999999999999996</v>
      </c>
      <c r="AM59" s="37">
        <v>208</v>
      </c>
      <c r="AN59" s="37">
        <v>5</v>
      </c>
      <c r="AO59" s="37">
        <v>184</v>
      </c>
      <c r="AP59" s="37">
        <v>4.5</v>
      </c>
      <c r="AQ59" s="29"/>
      <c r="AR59" s="29"/>
    </row>
    <row r="60" spans="1:44" ht="10.5" customHeight="1" x14ac:dyDescent="0.2">
      <c r="A60" s="38">
        <v>205</v>
      </c>
      <c r="B60" s="38" t="s">
        <v>274</v>
      </c>
      <c r="C60" s="29" t="s">
        <v>275</v>
      </c>
      <c r="D60" s="38" t="s">
        <v>189</v>
      </c>
      <c r="E60" s="38">
        <v>-12</v>
      </c>
      <c r="F60" s="35" t="s">
        <v>156</v>
      </c>
      <c r="G60" s="29">
        <v>213</v>
      </c>
      <c r="H60" s="29">
        <v>3.9</v>
      </c>
      <c r="I60" s="29">
        <v>217</v>
      </c>
      <c r="J60" s="29">
        <v>5.0999999999999996</v>
      </c>
      <c r="K60" s="29">
        <v>210</v>
      </c>
      <c r="L60" s="29">
        <v>3.3</v>
      </c>
      <c r="M60" s="29">
        <v>215</v>
      </c>
      <c r="N60" s="29">
        <v>4.0999999999999996</v>
      </c>
      <c r="O60" s="29">
        <v>207</v>
      </c>
      <c r="P60" s="29">
        <v>3.4</v>
      </c>
      <c r="Q60" s="29">
        <v>194</v>
      </c>
      <c r="R60" s="42">
        <v>3.8</v>
      </c>
      <c r="S60" s="29">
        <v>203</v>
      </c>
      <c r="T60" s="29">
        <v>5.3</v>
      </c>
      <c r="U60" s="29">
        <v>226</v>
      </c>
      <c r="V60" s="29">
        <v>6.1</v>
      </c>
      <c r="W60" s="29">
        <v>177</v>
      </c>
      <c r="X60" s="29">
        <v>2.9</v>
      </c>
      <c r="Y60" s="29">
        <v>213</v>
      </c>
      <c r="Z60" s="29">
        <v>3.3</v>
      </c>
      <c r="AA60" s="29">
        <v>203</v>
      </c>
      <c r="AB60" s="29">
        <v>4.5999999999999996</v>
      </c>
      <c r="AC60" s="29">
        <v>205</v>
      </c>
      <c r="AD60" s="29">
        <v>4.8</v>
      </c>
      <c r="AE60" s="36">
        <v>223</v>
      </c>
      <c r="AF60" s="36">
        <v>4.4000000000000004</v>
      </c>
      <c r="AG60" s="37">
        <v>231</v>
      </c>
      <c r="AH60" s="37">
        <v>4.8</v>
      </c>
      <c r="AI60" s="36">
        <v>194</v>
      </c>
      <c r="AJ60" s="36">
        <v>6</v>
      </c>
      <c r="AK60" s="36">
        <v>210</v>
      </c>
      <c r="AL60" s="36">
        <v>4.9000000000000004</v>
      </c>
      <c r="AM60" s="37">
        <v>220</v>
      </c>
      <c r="AN60" s="37">
        <v>4.5</v>
      </c>
      <c r="AO60" s="37">
        <v>183</v>
      </c>
      <c r="AP60" s="37">
        <v>3.9</v>
      </c>
      <c r="AQ60" s="29"/>
      <c r="AR60" s="29"/>
    </row>
    <row r="61" spans="1:44" ht="10.5" customHeight="1" x14ac:dyDescent="0.2">
      <c r="A61" s="38">
        <v>206</v>
      </c>
      <c r="B61" s="38" t="s">
        <v>276</v>
      </c>
      <c r="C61" s="29" t="s">
        <v>277</v>
      </c>
      <c r="D61" s="38" t="s">
        <v>189</v>
      </c>
      <c r="E61" s="38">
        <v>-11</v>
      </c>
      <c r="F61" s="35" t="s">
        <v>156</v>
      </c>
      <c r="G61" s="29">
        <v>196</v>
      </c>
      <c r="H61" s="29">
        <v>3.9</v>
      </c>
      <c r="I61" s="29">
        <v>209</v>
      </c>
      <c r="J61" s="29">
        <v>5.0999999999999996</v>
      </c>
      <c r="K61" s="29">
        <v>203</v>
      </c>
      <c r="L61" s="29">
        <v>3.3</v>
      </c>
      <c r="M61" s="29">
        <v>207</v>
      </c>
      <c r="N61" s="29">
        <v>4.3</v>
      </c>
      <c r="O61" s="29">
        <v>209</v>
      </c>
      <c r="P61" s="29">
        <v>4.4000000000000004</v>
      </c>
      <c r="Q61" s="29">
        <v>195</v>
      </c>
      <c r="R61" s="29">
        <v>3.8</v>
      </c>
      <c r="S61" s="29">
        <v>193</v>
      </c>
      <c r="T61" s="29">
        <v>5.5</v>
      </c>
      <c r="U61" s="29">
        <v>217</v>
      </c>
      <c r="V61" s="29">
        <v>6.2</v>
      </c>
      <c r="W61" s="29">
        <v>177</v>
      </c>
      <c r="X61" s="29">
        <v>3.1</v>
      </c>
      <c r="Y61" s="29">
        <v>212</v>
      </c>
      <c r="Z61" s="29">
        <v>3.7</v>
      </c>
      <c r="AA61" s="29">
        <v>203</v>
      </c>
      <c r="AB61" s="29">
        <v>4.5999999999999996</v>
      </c>
      <c r="AC61" s="29">
        <v>205</v>
      </c>
      <c r="AD61" s="29">
        <v>4.8</v>
      </c>
      <c r="AE61" s="36">
        <v>200</v>
      </c>
      <c r="AF61" s="36">
        <v>4.5</v>
      </c>
      <c r="AG61" s="37">
        <v>191</v>
      </c>
      <c r="AH61" s="37">
        <v>6.6</v>
      </c>
      <c r="AI61" s="36">
        <v>189</v>
      </c>
      <c r="AJ61" s="36">
        <v>5.7</v>
      </c>
      <c r="AK61" s="36">
        <v>209</v>
      </c>
      <c r="AL61" s="36">
        <v>5.2</v>
      </c>
      <c r="AM61" s="37">
        <v>214</v>
      </c>
      <c r="AN61" s="37">
        <v>5.0999999999999996</v>
      </c>
      <c r="AO61" s="37">
        <v>182</v>
      </c>
      <c r="AP61" s="37">
        <v>4.4000000000000004</v>
      </c>
      <c r="AQ61" s="29"/>
      <c r="AR61" s="29"/>
    </row>
    <row r="62" spans="1:44" ht="10.5" customHeight="1" x14ac:dyDescent="0.2">
      <c r="A62" s="38">
        <v>709</v>
      </c>
      <c r="B62" s="38" t="s">
        <v>278</v>
      </c>
      <c r="C62" s="29" t="s">
        <v>279</v>
      </c>
      <c r="D62" s="38" t="s">
        <v>164</v>
      </c>
      <c r="E62" s="38">
        <v>-15</v>
      </c>
      <c r="F62" s="35" t="s">
        <v>159</v>
      </c>
      <c r="G62" s="29">
        <v>247</v>
      </c>
      <c r="H62" s="29">
        <v>3.2</v>
      </c>
      <c r="I62" s="29">
        <v>237</v>
      </c>
      <c r="J62" s="29">
        <v>3.1</v>
      </c>
      <c r="K62" s="29">
        <v>233</v>
      </c>
      <c r="L62" s="29">
        <v>2.2000000000000002</v>
      </c>
      <c r="M62" s="29">
        <v>249</v>
      </c>
      <c r="N62" s="29">
        <v>3.5</v>
      </c>
      <c r="O62" s="29">
        <v>247</v>
      </c>
      <c r="P62" s="29">
        <v>3.2</v>
      </c>
      <c r="Q62" s="29">
        <v>240</v>
      </c>
      <c r="R62" s="29">
        <v>3.2</v>
      </c>
      <c r="S62" s="29">
        <v>253</v>
      </c>
      <c r="T62" s="29">
        <v>4.4000000000000004</v>
      </c>
      <c r="U62" s="29">
        <v>246</v>
      </c>
      <c r="V62" s="29">
        <v>4.5999999999999996</v>
      </c>
      <c r="W62" s="29">
        <v>242</v>
      </c>
      <c r="X62" s="29">
        <v>3.9</v>
      </c>
      <c r="Y62" s="29">
        <v>241</v>
      </c>
      <c r="Z62" s="29">
        <v>2.8</v>
      </c>
      <c r="AA62" s="29">
        <v>230</v>
      </c>
      <c r="AB62" s="29">
        <v>2.7</v>
      </c>
      <c r="AC62" s="29">
        <v>226</v>
      </c>
      <c r="AD62" s="29">
        <v>2.2999999999999998</v>
      </c>
      <c r="AE62" s="36">
        <v>226</v>
      </c>
      <c r="AF62" s="36">
        <v>2.9</v>
      </c>
      <c r="AG62" s="37">
        <v>240</v>
      </c>
      <c r="AH62" s="37">
        <v>5.9</v>
      </c>
      <c r="AI62" s="36">
        <v>225</v>
      </c>
      <c r="AJ62" s="36">
        <v>4.5</v>
      </c>
      <c r="AK62" s="36">
        <v>237</v>
      </c>
      <c r="AL62" s="36">
        <v>3.5</v>
      </c>
      <c r="AM62" s="37">
        <v>247</v>
      </c>
      <c r="AN62" s="37">
        <v>3.7</v>
      </c>
      <c r="AO62" s="37">
        <v>196</v>
      </c>
      <c r="AP62" s="37">
        <v>3.8</v>
      </c>
      <c r="AQ62" s="29"/>
      <c r="AR62" s="29"/>
    </row>
    <row r="63" spans="1:44" ht="10.5" customHeight="1" x14ac:dyDescent="0.2">
      <c r="A63" s="38">
        <v>809</v>
      </c>
      <c r="B63" s="38" t="s">
        <v>280</v>
      </c>
      <c r="C63" s="29" t="s">
        <v>281</v>
      </c>
      <c r="D63" s="38" t="s">
        <v>194</v>
      </c>
      <c r="E63" s="38">
        <v>-13</v>
      </c>
      <c r="F63" s="35" t="s">
        <v>156</v>
      </c>
      <c r="G63" s="29">
        <v>205</v>
      </c>
      <c r="H63" s="29">
        <v>3.5</v>
      </c>
      <c r="I63" s="29">
        <v>213</v>
      </c>
      <c r="J63" s="29">
        <v>4.2</v>
      </c>
      <c r="K63" s="29">
        <v>209</v>
      </c>
      <c r="L63" s="29">
        <v>2.6</v>
      </c>
      <c r="M63" s="29">
        <v>218</v>
      </c>
      <c r="N63" s="29">
        <v>4</v>
      </c>
      <c r="O63" s="29">
        <v>211</v>
      </c>
      <c r="P63" s="29">
        <v>3.1</v>
      </c>
      <c r="Q63" s="29">
        <v>206</v>
      </c>
      <c r="R63" s="29">
        <v>3.6</v>
      </c>
      <c r="S63" s="29">
        <v>225</v>
      </c>
      <c r="T63" s="29">
        <v>5.9</v>
      </c>
      <c r="U63" s="29">
        <v>232</v>
      </c>
      <c r="V63" s="29">
        <v>6.1</v>
      </c>
      <c r="W63" s="29">
        <v>186</v>
      </c>
      <c r="X63" s="29">
        <v>3.9</v>
      </c>
      <c r="Y63" s="29">
        <v>208</v>
      </c>
      <c r="Z63" s="29">
        <v>3.9</v>
      </c>
      <c r="AA63" s="29">
        <v>200</v>
      </c>
      <c r="AB63" s="29">
        <v>3.1</v>
      </c>
      <c r="AC63" s="29">
        <v>206</v>
      </c>
      <c r="AD63" s="29">
        <v>3.5</v>
      </c>
      <c r="AE63" s="36">
        <v>207</v>
      </c>
      <c r="AF63" s="36">
        <v>4.7</v>
      </c>
      <c r="AG63" s="37">
        <v>193</v>
      </c>
      <c r="AH63" s="37">
        <v>6</v>
      </c>
      <c r="AI63" s="36">
        <v>188</v>
      </c>
      <c r="AJ63" s="36">
        <v>4.7</v>
      </c>
      <c r="AK63" s="36">
        <v>203</v>
      </c>
      <c r="AL63" s="36">
        <v>4.5999999999999996</v>
      </c>
      <c r="AM63" s="37">
        <v>210</v>
      </c>
      <c r="AN63" s="37">
        <v>4.2</v>
      </c>
      <c r="AO63" s="37">
        <v>196</v>
      </c>
      <c r="AP63" s="37">
        <v>4.8</v>
      </c>
      <c r="AQ63" s="29"/>
      <c r="AR63" s="29"/>
    </row>
    <row r="64" spans="1:44" ht="10.5" customHeight="1" x14ac:dyDescent="0.2">
      <c r="A64" s="38">
        <v>810</v>
      </c>
      <c r="B64" s="38" t="s">
        <v>282</v>
      </c>
      <c r="C64" s="29" t="s">
        <v>283</v>
      </c>
      <c r="D64" s="38" t="s">
        <v>194</v>
      </c>
      <c r="E64" s="38">
        <v>-16</v>
      </c>
      <c r="F64" s="35" t="s">
        <v>159</v>
      </c>
      <c r="G64" s="29">
        <v>237</v>
      </c>
      <c r="H64" s="29">
        <v>2.9</v>
      </c>
      <c r="I64" s="29">
        <v>234</v>
      </c>
      <c r="J64" s="29">
        <v>3</v>
      </c>
      <c r="K64" s="29">
        <v>234</v>
      </c>
      <c r="L64" s="29">
        <v>1.7</v>
      </c>
      <c r="M64" s="29">
        <v>251</v>
      </c>
      <c r="N64" s="29">
        <v>3.4</v>
      </c>
      <c r="O64" s="29">
        <v>255</v>
      </c>
      <c r="P64" s="29">
        <v>2.7</v>
      </c>
      <c r="Q64" s="29">
        <v>254</v>
      </c>
      <c r="R64" s="29">
        <v>3</v>
      </c>
      <c r="S64" s="29">
        <v>245</v>
      </c>
      <c r="T64" s="29">
        <v>4.5</v>
      </c>
      <c r="U64" s="29">
        <v>243</v>
      </c>
      <c r="V64" s="29">
        <v>4.5999999999999996</v>
      </c>
      <c r="W64" s="29">
        <v>232</v>
      </c>
      <c r="X64" s="29">
        <v>3.6</v>
      </c>
      <c r="Y64" s="29">
        <v>245</v>
      </c>
      <c r="Z64" s="29">
        <v>2.9</v>
      </c>
      <c r="AA64" s="29">
        <v>223</v>
      </c>
      <c r="AB64" s="29">
        <v>2.4</v>
      </c>
      <c r="AC64" s="29">
        <v>216</v>
      </c>
      <c r="AD64" s="29">
        <v>2.1</v>
      </c>
      <c r="AE64" s="36">
        <v>234</v>
      </c>
      <c r="AF64" s="40">
        <v>3</v>
      </c>
      <c r="AG64" s="37">
        <v>240</v>
      </c>
      <c r="AH64" s="37">
        <v>5.2</v>
      </c>
      <c r="AI64" s="36">
        <v>227</v>
      </c>
      <c r="AJ64" s="40">
        <v>3.8</v>
      </c>
      <c r="AK64" s="36">
        <v>237</v>
      </c>
      <c r="AL64" s="36">
        <v>3.6</v>
      </c>
      <c r="AM64" s="37">
        <v>239</v>
      </c>
      <c r="AN64" s="37">
        <v>3</v>
      </c>
      <c r="AO64" s="37">
        <v>202</v>
      </c>
      <c r="AP64" s="37">
        <v>2.2000000000000002</v>
      </c>
      <c r="AQ64" s="29"/>
      <c r="AR64" s="29"/>
    </row>
    <row r="65" spans="1:44" ht="10.5" customHeight="1" x14ac:dyDescent="0.2">
      <c r="A65" s="38">
        <v>710</v>
      </c>
      <c r="B65" s="38" t="s">
        <v>284</v>
      </c>
      <c r="C65" s="29" t="s">
        <v>285</v>
      </c>
      <c r="D65" s="38" t="s">
        <v>164</v>
      </c>
      <c r="E65" s="38">
        <v>-17</v>
      </c>
      <c r="F65" s="35" t="s">
        <v>159</v>
      </c>
      <c r="G65" s="29">
        <v>262</v>
      </c>
      <c r="H65" s="29">
        <v>2.6</v>
      </c>
      <c r="I65" s="29">
        <v>251</v>
      </c>
      <c r="J65" s="29">
        <v>2.5</v>
      </c>
      <c r="K65" s="29">
        <v>250</v>
      </c>
      <c r="L65" s="29">
        <v>1.3</v>
      </c>
      <c r="M65" s="29">
        <v>280</v>
      </c>
      <c r="N65" s="29">
        <v>3.3</v>
      </c>
      <c r="O65" s="29">
        <v>261</v>
      </c>
      <c r="P65" s="29">
        <v>2.2000000000000002</v>
      </c>
      <c r="Q65" s="29">
        <v>266</v>
      </c>
      <c r="R65" s="29">
        <v>2.6</v>
      </c>
      <c r="S65" s="29">
        <v>253</v>
      </c>
      <c r="T65" s="29">
        <v>3.7</v>
      </c>
      <c r="U65" s="29">
        <v>257</v>
      </c>
      <c r="V65" s="29">
        <v>4.5</v>
      </c>
      <c r="W65" s="29">
        <v>236</v>
      </c>
      <c r="X65" s="29">
        <v>2.7</v>
      </c>
      <c r="Y65" s="29">
        <v>252</v>
      </c>
      <c r="Z65" s="29">
        <v>2.6</v>
      </c>
      <c r="AA65" s="29">
        <v>236</v>
      </c>
      <c r="AB65" s="29">
        <v>2.5</v>
      </c>
      <c r="AC65" s="29">
        <v>239</v>
      </c>
      <c r="AD65" s="29">
        <v>2.2000000000000002</v>
      </c>
      <c r="AE65" s="36">
        <v>244</v>
      </c>
      <c r="AF65" s="40">
        <v>3</v>
      </c>
      <c r="AG65" s="29">
        <v>250</v>
      </c>
      <c r="AH65" s="29">
        <v>5.4</v>
      </c>
      <c r="AI65" s="36">
        <v>244</v>
      </c>
      <c r="AJ65" s="40">
        <v>3.9</v>
      </c>
      <c r="AK65" s="36">
        <v>245</v>
      </c>
      <c r="AL65" s="36">
        <v>2.9</v>
      </c>
      <c r="AM65" s="37">
        <v>246</v>
      </c>
      <c r="AN65" s="37">
        <v>3.1</v>
      </c>
      <c r="AO65" s="37">
        <v>211</v>
      </c>
      <c r="AP65" s="37">
        <v>2.1</v>
      </c>
      <c r="AQ65" s="29"/>
      <c r="AR65" s="29"/>
    </row>
    <row r="66" spans="1:44" ht="10.5" customHeight="1" x14ac:dyDescent="0.2">
      <c r="A66" s="38">
        <v>711</v>
      </c>
      <c r="B66" s="38" t="s">
        <v>286</v>
      </c>
      <c r="C66" s="29" t="s">
        <v>287</v>
      </c>
      <c r="D66" s="38" t="s">
        <v>164</v>
      </c>
      <c r="E66" s="38">
        <v>-15</v>
      </c>
      <c r="F66" s="35" t="s">
        <v>156</v>
      </c>
      <c r="G66" s="29">
        <v>230</v>
      </c>
      <c r="H66" s="29">
        <v>3.4</v>
      </c>
      <c r="I66" s="29">
        <v>224</v>
      </c>
      <c r="J66" s="29">
        <v>3.5</v>
      </c>
      <c r="K66" s="29">
        <v>230</v>
      </c>
      <c r="L66" s="29">
        <v>2.5</v>
      </c>
      <c r="M66" s="29">
        <v>239</v>
      </c>
      <c r="N66" s="29">
        <v>3.6</v>
      </c>
      <c r="O66" s="29">
        <v>236</v>
      </c>
      <c r="P66" s="29">
        <v>3.1</v>
      </c>
      <c r="Q66" s="29">
        <v>225</v>
      </c>
      <c r="R66" s="29">
        <v>3</v>
      </c>
      <c r="S66" s="29">
        <v>245</v>
      </c>
      <c r="T66" s="29">
        <v>5.0999999999999996</v>
      </c>
      <c r="U66" s="29">
        <v>241</v>
      </c>
      <c r="V66" s="29">
        <v>5.3</v>
      </c>
      <c r="W66" s="29">
        <v>229</v>
      </c>
      <c r="X66" s="29">
        <v>4.4000000000000004</v>
      </c>
      <c r="Y66" s="29">
        <v>235</v>
      </c>
      <c r="Z66" s="29">
        <v>3.4</v>
      </c>
      <c r="AA66" s="29">
        <v>215</v>
      </c>
      <c r="AB66" s="29">
        <v>2.5</v>
      </c>
      <c r="AC66" s="29">
        <v>214</v>
      </c>
      <c r="AD66" s="29">
        <v>2.8</v>
      </c>
      <c r="AE66" s="36">
        <v>215</v>
      </c>
      <c r="AF66" s="36">
        <v>3.3</v>
      </c>
      <c r="AG66" s="37">
        <v>226</v>
      </c>
      <c r="AH66" s="37">
        <v>5.9</v>
      </c>
      <c r="AI66" s="36">
        <v>210</v>
      </c>
      <c r="AJ66" s="36">
        <v>4.5</v>
      </c>
      <c r="AK66" s="36">
        <v>235</v>
      </c>
      <c r="AL66" s="36">
        <v>4.4000000000000004</v>
      </c>
      <c r="AM66" s="37">
        <v>221</v>
      </c>
      <c r="AN66" s="37">
        <v>3.6</v>
      </c>
      <c r="AO66" s="37">
        <v>196</v>
      </c>
      <c r="AP66" s="37">
        <v>3.3</v>
      </c>
      <c r="AQ66" s="29"/>
      <c r="AR66" s="29"/>
    </row>
    <row r="67" spans="1:44" ht="10.5" customHeight="1" x14ac:dyDescent="0.2">
      <c r="A67" s="38">
        <v>712</v>
      </c>
      <c r="B67" s="38" t="s">
        <v>288</v>
      </c>
      <c r="C67" s="29" t="s">
        <v>289</v>
      </c>
      <c r="D67" s="38" t="s">
        <v>164</v>
      </c>
      <c r="E67" s="38">
        <v>-15</v>
      </c>
      <c r="F67" s="35" t="s">
        <v>156</v>
      </c>
      <c r="G67" s="29">
        <v>230</v>
      </c>
      <c r="H67" s="29">
        <v>3.4</v>
      </c>
      <c r="I67" s="29">
        <v>224</v>
      </c>
      <c r="J67" s="29">
        <v>3.5</v>
      </c>
      <c r="K67" s="29">
        <v>230</v>
      </c>
      <c r="L67" s="29">
        <v>2.5</v>
      </c>
      <c r="M67" s="29">
        <v>239</v>
      </c>
      <c r="N67" s="29">
        <v>3.6</v>
      </c>
      <c r="O67" s="29">
        <v>236</v>
      </c>
      <c r="P67" s="29">
        <v>3.1</v>
      </c>
      <c r="Q67" s="29">
        <v>225</v>
      </c>
      <c r="R67" s="29">
        <v>3</v>
      </c>
      <c r="S67" s="29">
        <v>245</v>
      </c>
      <c r="T67" s="29">
        <v>5.0999999999999996</v>
      </c>
      <c r="U67" s="29">
        <v>241</v>
      </c>
      <c r="V67" s="29">
        <v>5.3</v>
      </c>
      <c r="W67" s="29">
        <v>229</v>
      </c>
      <c r="X67" s="29">
        <v>4.4000000000000004</v>
      </c>
      <c r="Y67" s="29">
        <v>235</v>
      </c>
      <c r="Z67" s="29">
        <v>3.4</v>
      </c>
      <c r="AA67" s="29">
        <v>215</v>
      </c>
      <c r="AB67" s="29">
        <v>2.5</v>
      </c>
      <c r="AC67" s="29">
        <v>214</v>
      </c>
      <c r="AD67" s="29">
        <v>2.8</v>
      </c>
      <c r="AE67" s="36">
        <v>215</v>
      </c>
      <c r="AF67" s="36">
        <v>3.3</v>
      </c>
      <c r="AG67" s="29">
        <v>226</v>
      </c>
      <c r="AH67" s="29">
        <v>5.9</v>
      </c>
      <c r="AI67" s="36">
        <v>210</v>
      </c>
      <c r="AJ67" s="36">
        <v>4.5</v>
      </c>
      <c r="AK67" s="36">
        <v>235</v>
      </c>
      <c r="AL67" s="36">
        <v>4.4000000000000004</v>
      </c>
      <c r="AM67" s="37">
        <v>221</v>
      </c>
      <c r="AN67" s="37">
        <v>3.6</v>
      </c>
      <c r="AO67" s="37">
        <v>196</v>
      </c>
      <c r="AP67" s="37">
        <v>3.3</v>
      </c>
      <c r="AQ67" s="29"/>
      <c r="AR67" s="29"/>
    </row>
    <row r="68" spans="1:44" ht="10.5" customHeight="1" x14ac:dyDescent="0.2">
      <c r="A68" s="38">
        <v>405</v>
      </c>
      <c r="B68" s="38" t="s">
        <v>290</v>
      </c>
      <c r="C68" s="29" t="s">
        <v>291</v>
      </c>
      <c r="D68" s="38" t="s">
        <v>205</v>
      </c>
      <c r="E68" s="38">
        <v>-11</v>
      </c>
      <c r="F68" s="35" t="s">
        <v>156</v>
      </c>
      <c r="G68" s="29">
        <v>202</v>
      </c>
      <c r="H68" s="29">
        <v>3.4</v>
      </c>
      <c r="I68" s="29">
        <v>212</v>
      </c>
      <c r="J68" s="29">
        <v>4.8</v>
      </c>
      <c r="K68" s="29">
        <v>207</v>
      </c>
      <c r="L68" s="29">
        <v>3.2</v>
      </c>
      <c r="M68" s="29">
        <v>206</v>
      </c>
      <c r="N68" s="29">
        <v>4.0999999999999996</v>
      </c>
      <c r="O68" s="29">
        <v>206</v>
      </c>
      <c r="P68" s="29">
        <v>3.8</v>
      </c>
      <c r="Q68" s="29">
        <v>186</v>
      </c>
      <c r="R68" s="29">
        <v>3.5</v>
      </c>
      <c r="S68" s="29">
        <v>191</v>
      </c>
      <c r="T68" s="29">
        <v>5.2</v>
      </c>
      <c r="U68" s="29">
        <v>225</v>
      </c>
      <c r="V68" s="29">
        <v>5.3</v>
      </c>
      <c r="W68" s="29">
        <v>176</v>
      </c>
      <c r="X68" s="29">
        <v>3.4</v>
      </c>
      <c r="Y68" s="29">
        <v>219</v>
      </c>
      <c r="Z68" s="29">
        <v>4.3</v>
      </c>
      <c r="AA68" s="29">
        <v>195</v>
      </c>
      <c r="AB68" s="29">
        <v>4.0999999999999996</v>
      </c>
      <c r="AC68" s="29">
        <v>194</v>
      </c>
      <c r="AD68" s="29">
        <v>4.4000000000000004</v>
      </c>
      <c r="AE68" s="36">
        <v>197</v>
      </c>
      <c r="AF68" s="36">
        <v>4.8</v>
      </c>
      <c r="AG68" s="37">
        <v>184</v>
      </c>
      <c r="AH68" s="37">
        <v>6.9</v>
      </c>
      <c r="AI68" s="36">
        <v>188</v>
      </c>
      <c r="AJ68" s="36">
        <v>5.7</v>
      </c>
      <c r="AK68" s="36">
        <v>197</v>
      </c>
      <c r="AL68" s="36">
        <v>5.4</v>
      </c>
      <c r="AM68" s="37">
        <v>200</v>
      </c>
      <c r="AN68" s="37">
        <v>5</v>
      </c>
      <c r="AO68" s="37">
        <v>180</v>
      </c>
      <c r="AP68" s="37">
        <v>4.9000000000000004</v>
      </c>
      <c r="AQ68" s="29"/>
      <c r="AR68" s="29"/>
    </row>
    <row r="69" spans="1:44" ht="10.5" customHeight="1" x14ac:dyDescent="0.2">
      <c r="A69" s="38">
        <v>406</v>
      </c>
      <c r="B69" s="38" t="s">
        <v>292</v>
      </c>
      <c r="C69" s="29" t="s">
        <v>293</v>
      </c>
      <c r="D69" s="38" t="s">
        <v>205</v>
      </c>
      <c r="E69" s="38">
        <v>-11</v>
      </c>
      <c r="F69" s="35" t="s">
        <v>156</v>
      </c>
      <c r="G69" s="29">
        <v>210</v>
      </c>
      <c r="H69" s="29">
        <v>3.5</v>
      </c>
      <c r="I69" s="29">
        <v>211</v>
      </c>
      <c r="J69" s="29">
        <v>4.4000000000000004</v>
      </c>
      <c r="K69" s="29">
        <v>209</v>
      </c>
      <c r="L69" s="29">
        <v>3.5</v>
      </c>
      <c r="M69" s="29">
        <v>211</v>
      </c>
      <c r="N69" s="29">
        <v>4.0999999999999996</v>
      </c>
      <c r="O69" s="29">
        <v>209</v>
      </c>
      <c r="P69" s="29">
        <v>3.5</v>
      </c>
      <c r="Q69" s="29">
        <v>208</v>
      </c>
      <c r="R69" s="29">
        <v>4</v>
      </c>
      <c r="S69" s="29">
        <v>202</v>
      </c>
      <c r="T69" s="29">
        <v>5.4</v>
      </c>
      <c r="U69" s="29">
        <v>210</v>
      </c>
      <c r="V69" s="29">
        <v>6.1</v>
      </c>
      <c r="W69" s="29">
        <v>174</v>
      </c>
      <c r="X69" s="29">
        <v>3.3</v>
      </c>
      <c r="Y69" s="29">
        <v>215</v>
      </c>
      <c r="Z69" s="29">
        <v>4.2</v>
      </c>
      <c r="AA69" s="29">
        <v>197</v>
      </c>
      <c r="AB69" s="29">
        <v>4.3</v>
      </c>
      <c r="AC69" s="29">
        <v>205</v>
      </c>
      <c r="AD69" s="29">
        <v>4.7</v>
      </c>
      <c r="AE69" s="36">
        <v>202</v>
      </c>
      <c r="AF69" s="36">
        <v>4.5999999999999996</v>
      </c>
      <c r="AG69" s="37">
        <v>186</v>
      </c>
      <c r="AH69" s="37">
        <v>6.7</v>
      </c>
      <c r="AI69" s="36">
        <v>197</v>
      </c>
      <c r="AJ69" s="36">
        <v>5.7</v>
      </c>
      <c r="AK69" s="36">
        <v>215</v>
      </c>
      <c r="AL69" s="36">
        <v>5.5</v>
      </c>
      <c r="AM69" s="37">
        <v>233</v>
      </c>
      <c r="AN69" s="37">
        <v>3.9</v>
      </c>
      <c r="AO69" s="37">
        <v>187</v>
      </c>
      <c r="AP69" s="37">
        <v>4.8</v>
      </c>
      <c r="AQ69" s="29"/>
      <c r="AR69" s="29"/>
    </row>
    <row r="70" spans="1:44" ht="10.5" customHeight="1" x14ac:dyDescent="0.2">
      <c r="A70" s="38">
        <v>811</v>
      </c>
      <c r="B70" s="38" t="s">
        <v>294</v>
      </c>
      <c r="C70" s="29" t="s">
        <v>295</v>
      </c>
      <c r="D70" s="38" t="s">
        <v>194</v>
      </c>
      <c r="E70" s="38">
        <v>-13</v>
      </c>
      <c r="F70" s="35" t="s">
        <v>156</v>
      </c>
      <c r="G70" s="29">
        <v>212</v>
      </c>
      <c r="H70" s="29">
        <v>3.5</v>
      </c>
      <c r="I70" s="29">
        <v>215</v>
      </c>
      <c r="J70" s="29">
        <v>3.8</v>
      </c>
      <c r="K70" s="29">
        <v>217</v>
      </c>
      <c r="L70" s="29">
        <v>2.7</v>
      </c>
      <c r="M70" s="29">
        <v>223</v>
      </c>
      <c r="N70" s="29">
        <v>4</v>
      </c>
      <c r="O70" s="29">
        <v>211</v>
      </c>
      <c r="P70" s="29">
        <v>2.9</v>
      </c>
      <c r="Q70" s="29">
        <v>203</v>
      </c>
      <c r="R70" s="29">
        <v>2.9</v>
      </c>
      <c r="S70" s="29">
        <v>218</v>
      </c>
      <c r="T70" s="29">
        <v>5.2</v>
      </c>
      <c r="U70" s="29">
        <v>234</v>
      </c>
      <c r="V70" s="29">
        <v>5.5</v>
      </c>
      <c r="W70" s="29">
        <v>181</v>
      </c>
      <c r="X70" s="29">
        <v>3</v>
      </c>
      <c r="Y70" s="29">
        <v>215</v>
      </c>
      <c r="Z70" s="29">
        <v>3.3</v>
      </c>
      <c r="AA70" s="29">
        <v>200</v>
      </c>
      <c r="AB70" s="29">
        <v>2.7</v>
      </c>
      <c r="AC70" s="29">
        <v>212</v>
      </c>
      <c r="AD70" s="29">
        <v>3.4</v>
      </c>
      <c r="AE70" s="36">
        <v>201</v>
      </c>
      <c r="AF70" s="36">
        <v>3.6</v>
      </c>
      <c r="AG70" s="37">
        <v>213</v>
      </c>
      <c r="AH70" s="37">
        <v>5.9</v>
      </c>
      <c r="AI70" s="36">
        <v>197</v>
      </c>
      <c r="AJ70" s="36">
        <v>4.7</v>
      </c>
      <c r="AK70" s="36">
        <v>209</v>
      </c>
      <c r="AL70" s="36">
        <v>4.2</v>
      </c>
      <c r="AM70" s="37">
        <v>220</v>
      </c>
      <c r="AN70" s="37">
        <v>4.0999999999999996</v>
      </c>
      <c r="AO70" s="37">
        <v>196</v>
      </c>
      <c r="AP70" s="37">
        <v>4</v>
      </c>
      <c r="AQ70" s="29"/>
      <c r="AR70" s="29"/>
    </row>
    <row r="71" spans="1:44" ht="10.5" customHeight="1" x14ac:dyDescent="0.2">
      <c r="A71" s="38">
        <v>309</v>
      </c>
      <c r="B71" s="38" t="s">
        <v>155</v>
      </c>
      <c r="C71" s="29" t="s">
        <v>296</v>
      </c>
      <c r="D71" s="38" t="s">
        <v>155</v>
      </c>
      <c r="E71" s="38">
        <v>-12</v>
      </c>
      <c r="F71" s="35" t="s">
        <v>156</v>
      </c>
      <c r="G71" s="29">
        <v>227</v>
      </c>
      <c r="H71" s="29">
        <v>4</v>
      </c>
      <c r="I71" s="29">
        <v>219</v>
      </c>
      <c r="J71" s="29">
        <v>4.7</v>
      </c>
      <c r="K71" s="29">
        <v>211</v>
      </c>
      <c r="L71" s="29">
        <v>3.3</v>
      </c>
      <c r="M71" s="29">
        <v>223</v>
      </c>
      <c r="N71" s="29">
        <v>3.9</v>
      </c>
      <c r="O71" s="29">
        <v>228</v>
      </c>
      <c r="P71" s="29">
        <v>3.9</v>
      </c>
      <c r="Q71" s="29">
        <v>225</v>
      </c>
      <c r="R71" s="29">
        <v>4</v>
      </c>
      <c r="S71" s="29">
        <v>223</v>
      </c>
      <c r="T71" s="29">
        <v>5.7</v>
      </c>
      <c r="U71" s="29">
        <v>228</v>
      </c>
      <c r="V71" s="29">
        <v>5.9</v>
      </c>
      <c r="W71" s="29">
        <v>176</v>
      </c>
      <c r="X71" s="29">
        <v>2.4</v>
      </c>
      <c r="Y71" s="29">
        <v>217</v>
      </c>
      <c r="Z71" s="29">
        <v>3.6</v>
      </c>
      <c r="AA71" s="29">
        <v>202</v>
      </c>
      <c r="AB71" s="29">
        <v>3.7</v>
      </c>
      <c r="AC71" s="29">
        <v>214</v>
      </c>
      <c r="AD71" s="29">
        <v>4.2</v>
      </c>
      <c r="AE71" s="36">
        <v>217</v>
      </c>
      <c r="AF71" s="36">
        <v>4.0999999999999996</v>
      </c>
      <c r="AG71" s="37">
        <v>215</v>
      </c>
      <c r="AH71" s="37">
        <v>6.6</v>
      </c>
      <c r="AI71" s="36">
        <v>197</v>
      </c>
      <c r="AJ71" s="36">
        <v>5.0999999999999996</v>
      </c>
      <c r="AK71" s="36">
        <v>224</v>
      </c>
      <c r="AL71" s="36">
        <v>5</v>
      </c>
      <c r="AM71" s="37">
        <v>225</v>
      </c>
      <c r="AN71" s="37">
        <v>4.5</v>
      </c>
      <c r="AO71" s="37">
        <v>197</v>
      </c>
      <c r="AP71" s="37">
        <v>3.4</v>
      </c>
      <c r="AQ71" s="29"/>
      <c r="AR71" s="29"/>
    </row>
    <row r="72" spans="1:44" ht="10.5" customHeight="1" x14ac:dyDescent="0.2">
      <c r="A72" s="38">
        <v>207</v>
      </c>
      <c r="B72" s="38" t="s">
        <v>189</v>
      </c>
      <c r="C72" s="29" t="s">
        <v>297</v>
      </c>
      <c r="D72" s="38" t="s">
        <v>189</v>
      </c>
      <c r="E72" s="38">
        <v>-11</v>
      </c>
      <c r="F72" s="35" t="s">
        <v>156</v>
      </c>
      <c r="G72" s="29">
        <v>213</v>
      </c>
      <c r="H72" s="29">
        <v>3.7</v>
      </c>
      <c r="I72" s="29">
        <v>216</v>
      </c>
      <c r="J72" s="29">
        <v>4.7</v>
      </c>
      <c r="K72" s="29">
        <v>208</v>
      </c>
      <c r="L72" s="29">
        <v>3.4</v>
      </c>
      <c r="M72" s="29">
        <v>210</v>
      </c>
      <c r="N72" s="29">
        <v>4</v>
      </c>
      <c r="O72" s="29">
        <v>215</v>
      </c>
      <c r="P72" s="29">
        <v>3.9</v>
      </c>
      <c r="Q72" s="29">
        <v>204</v>
      </c>
      <c r="R72" s="29">
        <v>3.9</v>
      </c>
      <c r="S72" s="29">
        <v>195</v>
      </c>
      <c r="T72" s="29">
        <v>5</v>
      </c>
      <c r="U72" s="29">
        <v>229</v>
      </c>
      <c r="V72" s="29">
        <v>6.2</v>
      </c>
      <c r="W72" s="29">
        <v>176</v>
      </c>
      <c r="X72" s="29">
        <v>2.8</v>
      </c>
      <c r="Y72" s="29">
        <v>213</v>
      </c>
      <c r="Z72" s="29">
        <v>4</v>
      </c>
      <c r="AA72" s="29">
        <v>202</v>
      </c>
      <c r="AB72" s="29">
        <v>3.6</v>
      </c>
      <c r="AC72" s="29">
        <v>213</v>
      </c>
      <c r="AD72" s="29">
        <v>4.4000000000000004</v>
      </c>
      <c r="AE72" s="36">
        <v>214</v>
      </c>
      <c r="AF72" s="36">
        <v>4.4000000000000004</v>
      </c>
      <c r="AG72" s="37">
        <v>196</v>
      </c>
      <c r="AH72" s="37">
        <v>6.2</v>
      </c>
      <c r="AI72" s="36">
        <v>197</v>
      </c>
      <c r="AJ72" s="36">
        <v>5.0999999999999996</v>
      </c>
      <c r="AK72" s="36">
        <v>224</v>
      </c>
      <c r="AL72" s="36">
        <v>5.0999999999999996</v>
      </c>
      <c r="AM72" s="37">
        <v>226</v>
      </c>
      <c r="AN72" s="37">
        <v>4.9000000000000004</v>
      </c>
      <c r="AO72" s="37">
        <v>184</v>
      </c>
      <c r="AP72" s="37">
        <v>4.2</v>
      </c>
      <c r="AQ72" s="29"/>
      <c r="AR72" s="29"/>
    </row>
    <row r="73" spans="1:44" ht="10.5" customHeight="1" x14ac:dyDescent="0.2">
      <c r="A73" s="38">
        <v>509</v>
      </c>
      <c r="B73" s="38" t="s">
        <v>298</v>
      </c>
      <c r="C73" s="29" t="s">
        <v>299</v>
      </c>
      <c r="D73" s="38" t="s">
        <v>180</v>
      </c>
      <c r="E73" s="38">
        <v>-16</v>
      </c>
      <c r="F73" s="35" t="s">
        <v>159</v>
      </c>
      <c r="G73" s="29">
        <v>243</v>
      </c>
      <c r="H73" s="29">
        <v>3.2</v>
      </c>
      <c r="I73" s="29">
        <v>230</v>
      </c>
      <c r="J73" s="29">
        <v>3.2</v>
      </c>
      <c r="K73" s="29">
        <v>231</v>
      </c>
      <c r="L73" s="29">
        <v>2.2000000000000002</v>
      </c>
      <c r="M73" s="29">
        <v>252</v>
      </c>
      <c r="N73" s="29">
        <v>3.6</v>
      </c>
      <c r="O73" s="29">
        <v>256</v>
      </c>
      <c r="P73" s="29">
        <v>3</v>
      </c>
      <c r="Q73" s="29">
        <v>243</v>
      </c>
      <c r="R73" s="29">
        <v>2.7</v>
      </c>
      <c r="S73" s="29">
        <v>252</v>
      </c>
      <c r="T73" s="29">
        <v>4.5999999999999996</v>
      </c>
      <c r="U73" s="29">
        <v>242</v>
      </c>
      <c r="V73" s="29">
        <v>4.7</v>
      </c>
      <c r="W73" s="29">
        <v>236</v>
      </c>
      <c r="X73" s="29">
        <v>3.6</v>
      </c>
      <c r="Y73" s="29">
        <v>257</v>
      </c>
      <c r="Z73" s="29">
        <v>3.2</v>
      </c>
      <c r="AA73" s="29">
        <v>232</v>
      </c>
      <c r="AB73" s="29">
        <v>2.7</v>
      </c>
      <c r="AC73" s="29">
        <v>217</v>
      </c>
      <c r="AD73" s="29">
        <v>2.2999999999999998</v>
      </c>
      <c r="AE73" s="36">
        <v>232</v>
      </c>
      <c r="AF73" s="36">
        <v>3.5</v>
      </c>
      <c r="AG73" s="37">
        <v>232</v>
      </c>
      <c r="AH73" s="37">
        <v>6</v>
      </c>
      <c r="AI73" s="36">
        <v>220</v>
      </c>
      <c r="AJ73" s="36">
        <v>4.8</v>
      </c>
      <c r="AK73" s="36">
        <v>243</v>
      </c>
      <c r="AL73" s="36">
        <v>4.3</v>
      </c>
      <c r="AM73" s="37">
        <v>239</v>
      </c>
      <c r="AN73" s="37">
        <v>3.6</v>
      </c>
      <c r="AO73" s="37">
        <v>202</v>
      </c>
      <c r="AP73" s="37">
        <v>3.3</v>
      </c>
      <c r="AQ73" s="29"/>
      <c r="AR73" s="29"/>
    </row>
    <row r="74" spans="1:44" ht="10.5" customHeight="1" x14ac:dyDescent="0.2">
      <c r="A74" s="38">
        <v>510</v>
      </c>
      <c r="B74" s="38" t="s">
        <v>300</v>
      </c>
      <c r="C74" s="29" t="s">
        <v>301</v>
      </c>
      <c r="D74" s="38" t="s">
        <v>180</v>
      </c>
      <c r="E74" s="38">
        <v>-17</v>
      </c>
      <c r="F74" s="35" t="s">
        <v>159</v>
      </c>
      <c r="G74" s="29">
        <v>274</v>
      </c>
      <c r="H74" s="29">
        <v>2.4</v>
      </c>
      <c r="I74" s="29">
        <v>256</v>
      </c>
      <c r="J74" s="29">
        <v>2.7</v>
      </c>
      <c r="K74" s="29">
        <v>252</v>
      </c>
      <c r="L74" s="29">
        <v>1.4</v>
      </c>
      <c r="M74" s="29">
        <v>291</v>
      </c>
      <c r="N74" s="29">
        <v>3.3</v>
      </c>
      <c r="O74" s="29">
        <v>266</v>
      </c>
      <c r="P74" s="29">
        <v>2</v>
      </c>
      <c r="Q74" s="29">
        <v>275</v>
      </c>
      <c r="R74" s="29">
        <v>2.9</v>
      </c>
      <c r="S74" s="29">
        <v>265</v>
      </c>
      <c r="T74" s="29">
        <v>3.5</v>
      </c>
      <c r="U74" s="29">
        <v>257</v>
      </c>
      <c r="V74" s="29">
        <v>3.8</v>
      </c>
      <c r="W74" s="29">
        <v>248</v>
      </c>
      <c r="X74" s="29">
        <v>2.6</v>
      </c>
      <c r="Y74" s="29">
        <v>279</v>
      </c>
      <c r="Z74" s="29">
        <v>2.5</v>
      </c>
      <c r="AA74" s="29">
        <v>245</v>
      </c>
      <c r="AB74" s="29">
        <v>2.2999999999999998</v>
      </c>
      <c r="AC74" s="29">
        <v>245</v>
      </c>
      <c r="AD74" s="29">
        <v>1.7</v>
      </c>
      <c r="AE74" s="36">
        <v>257</v>
      </c>
      <c r="AF74" s="36">
        <v>2.6</v>
      </c>
      <c r="AG74" s="37">
        <v>260</v>
      </c>
      <c r="AH74" s="37">
        <v>4.7</v>
      </c>
      <c r="AI74" s="36">
        <v>251</v>
      </c>
      <c r="AJ74" s="36">
        <v>4.0999999999999996</v>
      </c>
      <c r="AK74" s="36">
        <v>246</v>
      </c>
      <c r="AL74" s="36">
        <v>2.7</v>
      </c>
      <c r="AM74" s="37">
        <v>268</v>
      </c>
      <c r="AN74" s="37">
        <v>3.3</v>
      </c>
      <c r="AO74" s="37">
        <v>230</v>
      </c>
      <c r="AP74" s="37">
        <v>2.6</v>
      </c>
      <c r="AQ74" s="29"/>
      <c r="AR74" s="29"/>
    </row>
    <row r="75" spans="1:44" ht="10.5" customHeight="1" x14ac:dyDescent="0.2">
      <c r="A75" s="38">
        <v>610</v>
      </c>
      <c r="B75" s="38" t="s">
        <v>302</v>
      </c>
      <c r="C75" s="29" t="s">
        <v>303</v>
      </c>
      <c r="D75" s="38" t="s">
        <v>157</v>
      </c>
      <c r="E75" s="38">
        <v>-13</v>
      </c>
      <c r="F75" s="35" t="s">
        <v>159</v>
      </c>
      <c r="G75" s="29">
        <v>208</v>
      </c>
      <c r="H75" s="29">
        <v>3.3</v>
      </c>
      <c r="I75" s="29">
        <v>217</v>
      </c>
      <c r="J75" s="29">
        <v>4.5</v>
      </c>
      <c r="K75" s="29">
        <v>210</v>
      </c>
      <c r="L75" s="29">
        <v>2.8</v>
      </c>
      <c r="M75" s="29">
        <v>222</v>
      </c>
      <c r="N75" s="29">
        <v>4.3</v>
      </c>
      <c r="O75" s="29">
        <v>208</v>
      </c>
      <c r="P75" s="29">
        <v>3.3</v>
      </c>
      <c r="Q75" s="29">
        <v>214</v>
      </c>
      <c r="R75" s="29">
        <v>4.2</v>
      </c>
      <c r="S75" s="29">
        <v>220</v>
      </c>
      <c r="T75" s="29">
        <v>5.8</v>
      </c>
      <c r="U75" s="29">
        <v>216</v>
      </c>
      <c r="V75" s="29">
        <v>5.7</v>
      </c>
      <c r="W75" s="29">
        <v>182</v>
      </c>
      <c r="X75" s="29">
        <v>3.2</v>
      </c>
      <c r="Y75" s="29">
        <v>219</v>
      </c>
      <c r="Z75" s="29">
        <v>3.9</v>
      </c>
      <c r="AA75" s="29">
        <v>203</v>
      </c>
      <c r="AB75" s="29">
        <v>3.5</v>
      </c>
      <c r="AC75" s="29">
        <v>212</v>
      </c>
      <c r="AD75" s="29">
        <v>4.0999999999999996</v>
      </c>
      <c r="AE75" s="36">
        <v>204</v>
      </c>
      <c r="AF75" s="36">
        <v>4.3</v>
      </c>
      <c r="AG75" s="37">
        <v>217</v>
      </c>
      <c r="AH75" s="37">
        <v>7</v>
      </c>
      <c r="AI75" s="36">
        <v>204</v>
      </c>
      <c r="AJ75" s="36">
        <v>5.2</v>
      </c>
      <c r="AK75" s="36">
        <v>218</v>
      </c>
      <c r="AL75" s="36">
        <v>4.3</v>
      </c>
      <c r="AM75" s="37">
        <v>222</v>
      </c>
      <c r="AN75" s="37">
        <v>3.6</v>
      </c>
      <c r="AO75" s="37">
        <v>196</v>
      </c>
      <c r="AP75" s="37">
        <v>4</v>
      </c>
      <c r="AQ75" s="29"/>
      <c r="AR75" s="29"/>
    </row>
    <row r="76" spans="1:44" ht="10.5" customHeight="1" x14ac:dyDescent="0.2">
      <c r="A76" s="38">
        <v>713</v>
      </c>
      <c r="B76" s="38" t="s">
        <v>304</v>
      </c>
      <c r="C76" s="29" t="s">
        <v>305</v>
      </c>
      <c r="D76" s="38" t="s">
        <v>164</v>
      </c>
      <c r="E76" s="38">
        <v>-15</v>
      </c>
      <c r="F76" s="35" t="s">
        <v>156</v>
      </c>
      <c r="G76" s="29">
        <v>223</v>
      </c>
      <c r="H76" s="29">
        <v>3.7</v>
      </c>
      <c r="I76" s="29">
        <v>219</v>
      </c>
      <c r="J76" s="29">
        <v>3.7</v>
      </c>
      <c r="K76" s="29">
        <v>219</v>
      </c>
      <c r="L76" s="29">
        <v>2.5</v>
      </c>
      <c r="M76" s="29">
        <v>230</v>
      </c>
      <c r="N76" s="29">
        <v>4</v>
      </c>
      <c r="O76" s="29">
        <v>212</v>
      </c>
      <c r="P76" s="29">
        <v>2.7</v>
      </c>
      <c r="Q76" s="29">
        <v>214</v>
      </c>
      <c r="R76" s="29">
        <v>3.2</v>
      </c>
      <c r="S76" s="29">
        <v>232</v>
      </c>
      <c r="T76" s="29">
        <v>5.3</v>
      </c>
      <c r="U76" s="29">
        <v>238</v>
      </c>
      <c r="V76" s="29">
        <v>5.6</v>
      </c>
      <c r="W76" s="29">
        <v>212</v>
      </c>
      <c r="X76" s="29">
        <v>3.9</v>
      </c>
      <c r="Y76" s="29">
        <v>217</v>
      </c>
      <c r="Z76" s="29">
        <v>3.4</v>
      </c>
      <c r="AA76" s="29">
        <v>202</v>
      </c>
      <c r="AB76" s="29">
        <v>2.9</v>
      </c>
      <c r="AC76" s="29">
        <v>210</v>
      </c>
      <c r="AD76" s="29">
        <v>3.4</v>
      </c>
      <c r="AE76" s="36">
        <v>205</v>
      </c>
      <c r="AF76" s="36">
        <v>3.7</v>
      </c>
      <c r="AG76" s="37">
        <v>210</v>
      </c>
      <c r="AH76" s="37">
        <v>5.9</v>
      </c>
      <c r="AI76" s="36">
        <v>208</v>
      </c>
      <c r="AJ76" s="36">
        <v>5.6</v>
      </c>
      <c r="AK76" s="36">
        <v>216</v>
      </c>
      <c r="AL76" s="36">
        <v>4.4000000000000004</v>
      </c>
      <c r="AM76" s="37">
        <v>218</v>
      </c>
      <c r="AN76" s="37">
        <v>4</v>
      </c>
      <c r="AO76" s="37">
        <v>196</v>
      </c>
      <c r="AP76" s="37">
        <v>3.8</v>
      </c>
      <c r="AQ76" s="29"/>
      <c r="AR76" s="29"/>
    </row>
    <row r="77" spans="1:44" ht="10.5" customHeight="1" x14ac:dyDescent="0.2">
      <c r="A77" s="38">
        <v>407</v>
      </c>
      <c r="B77" s="38" t="s">
        <v>306</v>
      </c>
      <c r="C77" s="29" t="s">
        <v>307</v>
      </c>
      <c r="D77" s="38" t="s">
        <v>205</v>
      </c>
      <c r="E77" s="38">
        <v>-11</v>
      </c>
      <c r="F77" s="35" t="s">
        <v>156</v>
      </c>
      <c r="G77" s="29">
        <v>207</v>
      </c>
      <c r="H77" s="29">
        <v>3.6</v>
      </c>
      <c r="I77" s="29">
        <v>214</v>
      </c>
      <c r="J77" s="29">
        <v>4.8</v>
      </c>
      <c r="K77" s="29">
        <v>202</v>
      </c>
      <c r="L77" s="29">
        <v>3</v>
      </c>
      <c r="M77" s="29">
        <v>213</v>
      </c>
      <c r="N77" s="29">
        <v>4.0999999999999996</v>
      </c>
      <c r="O77" s="29">
        <v>228</v>
      </c>
      <c r="P77" s="29">
        <v>4.3</v>
      </c>
      <c r="Q77" s="29">
        <v>215</v>
      </c>
      <c r="R77" s="29">
        <v>4.4000000000000004</v>
      </c>
      <c r="S77" s="29">
        <v>205</v>
      </c>
      <c r="T77" s="29">
        <v>5.4</v>
      </c>
      <c r="U77" s="29">
        <v>205</v>
      </c>
      <c r="V77" s="29">
        <v>5.5</v>
      </c>
      <c r="W77" s="29">
        <v>174</v>
      </c>
      <c r="X77" s="29">
        <v>3</v>
      </c>
      <c r="Y77" s="29">
        <v>216</v>
      </c>
      <c r="Z77" s="29">
        <v>4</v>
      </c>
      <c r="AA77" s="29">
        <v>202</v>
      </c>
      <c r="AB77" s="29">
        <v>3.8</v>
      </c>
      <c r="AC77" s="29">
        <v>212</v>
      </c>
      <c r="AD77" s="29">
        <v>4.5</v>
      </c>
      <c r="AE77" s="36">
        <v>206</v>
      </c>
      <c r="AF77" s="36">
        <v>4.3</v>
      </c>
      <c r="AG77" s="37">
        <v>196</v>
      </c>
      <c r="AH77" s="37">
        <v>6.4</v>
      </c>
      <c r="AI77" s="36">
        <v>195</v>
      </c>
      <c r="AJ77" s="36">
        <v>5.2</v>
      </c>
      <c r="AK77" s="34">
        <v>214</v>
      </c>
      <c r="AL77" s="34">
        <v>4.7</v>
      </c>
      <c r="AM77" s="37">
        <v>223</v>
      </c>
      <c r="AN77" s="37">
        <v>4.5</v>
      </c>
      <c r="AO77" s="37">
        <v>182</v>
      </c>
      <c r="AP77" s="37">
        <v>4</v>
      </c>
      <c r="AQ77" s="29"/>
      <c r="AR77" s="29"/>
    </row>
    <row r="78" spans="1:44" ht="10.5" customHeight="1" x14ac:dyDescent="0.2">
      <c r="A78" s="38">
        <v>611</v>
      </c>
      <c r="B78" s="38" t="s">
        <v>308</v>
      </c>
      <c r="C78" s="29" t="s">
        <v>309</v>
      </c>
      <c r="D78" s="38" t="s">
        <v>157</v>
      </c>
      <c r="E78" s="38">
        <v>-15</v>
      </c>
      <c r="F78" s="35" t="s">
        <v>159</v>
      </c>
      <c r="G78" s="29">
        <v>221</v>
      </c>
      <c r="H78" s="29">
        <v>2.6</v>
      </c>
      <c r="I78" s="29">
        <v>231</v>
      </c>
      <c r="J78" s="29">
        <v>3.5</v>
      </c>
      <c r="K78" s="29">
        <v>227</v>
      </c>
      <c r="L78" s="29">
        <v>2.4</v>
      </c>
      <c r="M78" s="29">
        <v>251</v>
      </c>
      <c r="N78" s="29">
        <v>3.7</v>
      </c>
      <c r="O78" s="29">
        <v>234</v>
      </c>
      <c r="P78" s="29">
        <v>2.7</v>
      </c>
      <c r="Q78" s="29">
        <v>226</v>
      </c>
      <c r="R78" s="29">
        <v>2.8</v>
      </c>
      <c r="S78" s="29">
        <v>245</v>
      </c>
      <c r="T78" s="29">
        <v>5.0999999999999996</v>
      </c>
      <c r="U78" s="29">
        <v>242</v>
      </c>
      <c r="V78" s="29">
        <v>5.0999999999999996</v>
      </c>
      <c r="W78" s="29">
        <v>187</v>
      </c>
      <c r="X78" s="29">
        <v>2.1</v>
      </c>
      <c r="Y78" s="29">
        <v>223</v>
      </c>
      <c r="Z78" s="29">
        <v>3.1</v>
      </c>
      <c r="AA78" s="29">
        <v>206</v>
      </c>
      <c r="AB78" s="29">
        <v>2.6</v>
      </c>
      <c r="AC78" s="29">
        <v>212</v>
      </c>
      <c r="AD78" s="29">
        <v>2.9</v>
      </c>
      <c r="AE78" s="36">
        <v>211</v>
      </c>
      <c r="AF78" s="36">
        <v>3.3</v>
      </c>
      <c r="AG78" s="37">
        <v>230</v>
      </c>
      <c r="AH78" s="37">
        <v>6.6</v>
      </c>
      <c r="AI78" s="36">
        <v>206</v>
      </c>
      <c r="AJ78" s="36">
        <v>4.5</v>
      </c>
      <c r="AK78" s="36">
        <v>216</v>
      </c>
      <c r="AL78" s="36">
        <v>3.9</v>
      </c>
      <c r="AM78" s="37">
        <v>227</v>
      </c>
      <c r="AN78" s="37">
        <v>3.2</v>
      </c>
      <c r="AO78" s="37">
        <v>197</v>
      </c>
      <c r="AP78" s="37">
        <v>3.4</v>
      </c>
      <c r="AQ78" s="29"/>
      <c r="AR78" s="29"/>
    </row>
    <row r="79" spans="1:44" ht="10.5" customHeight="1" x14ac:dyDescent="0.2">
      <c r="A79" s="38">
        <v>612</v>
      </c>
      <c r="B79" s="38" t="s">
        <v>310</v>
      </c>
      <c r="C79" s="29" t="s">
        <v>311</v>
      </c>
      <c r="D79" s="38" t="s">
        <v>157</v>
      </c>
      <c r="E79" s="38">
        <v>-15</v>
      </c>
      <c r="F79" s="35" t="s">
        <v>159</v>
      </c>
      <c r="G79" s="29">
        <v>215</v>
      </c>
      <c r="H79" s="29">
        <v>3.5</v>
      </c>
      <c r="I79" s="29">
        <v>225</v>
      </c>
      <c r="J79" s="29">
        <v>4.5</v>
      </c>
      <c r="K79" s="29">
        <v>215</v>
      </c>
      <c r="L79" s="29">
        <v>3</v>
      </c>
      <c r="M79" s="29">
        <v>225</v>
      </c>
      <c r="N79" s="29">
        <v>4.0999999999999996</v>
      </c>
      <c r="O79" s="29">
        <v>240</v>
      </c>
      <c r="P79" s="29">
        <v>4</v>
      </c>
      <c r="Q79" s="29">
        <v>223</v>
      </c>
      <c r="R79" s="29">
        <v>3.9</v>
      </c>
      <c r="S79" s="29">
        <v>217</v>
      </c>
      <c r="T79" s="29">
        <v>5.3</v>
      </c>
      <c r="U79" s="29">
        <v>239</v>
      </c>
      <c r="V79" s="29">
        <v>5.9</v>
      </c>
      <c r="W79" s="29">
        <v>182</v>
      </c>
      <c r="X79" s="29">
        <v>2.7</v>
      </c>
      <c r="Y79" s="29">
        <v>219</v>
      </c>
      <c r="Z79" s="29">
        <v>3.8</v>
      </c>
      <c r="AA79" s="29">
        <v>197</v>
      </c>
      <c r="AB79" s="29">
        <v>3.6</v>
      </c>
      <c r="AC79" s="29">
        <v>212</v>
      </c>
      <c r="AD79" s="29">
        <v>4</v>
      </c>
      <c r="AE79" s="34">
        <v>207</v>
      </c>
      <c r="AF79" s="34">
        <v>4.2</v>
      </c>
      <c r="AG79" s="29">
        <v>208</v>
      </c>
      <c r="AH79" s="29">
        <v>6.9</v>
      </c>
      <c r="AI79" s="36">
        <v>203</v>
      </c>
      <c r="AJ79" s="36">
        <v>5.3</v>
      </c>
      <c r="AK79" s="34">
        <v>227</v>
      </c>
      <c r="AL79" s="34">
        <v>4.3</v>
      </c>
      <c r="AM79" s="37">
        <v>223</v>
      </c>
      <c r="AN79" s="37">
        <v>4.3</v>
      </c>
      <c r="AO79" s="37">
        <v>190</v>
      </c>
      <c r="AP79" s="37">
        <v>3.4</v>
      </c>
      <c r="AQ79" s="29"/>
      <c r="AR79" s="29"/>
    </row>
    <row r="80" spans="1:44" ht="10.5" customHeight="1" x14ac:dyDescent="0.2">
      <c r="A80" s="38">
        <v>613</v>
      </c>
      <c r="B80" s="38" t="s">
        <v>312</v>
      </c>
      <c r="C80" s="29" t="s">
        <v>313</v>
      </c>
      <c r="D80" s="38" t="s">
        <v>157</v>
      </c>
      <c r="E80" s="38">
        <v>-15</v>
      </c>
      <c r="F80" s="35" t="s">
        <v>159</v>
      </c>
      <c r="G80" s="29">
        <v>215</v>
      </c>
      <c r="H80" s="29">
        <v>3.5</v>
      </c>
      <c r="I80" s="29">
        <v>225</v>
      </c>
      <c r="J80" s="29">
        <v>4.5</v>
      </c>
      <c r="K80" s="29">
        <v>215</v>
      </c>
      <c r="L80" s="29">
        <v>3</v>
      </c>
      <c r="M80" s="29">
        <v>225</v>
      </c>
      <c r="N80" s="29">
        <v>4.0999999999999996</v>
      </c>
      <c r="O80" s="29">
        <v>240</v>
      </c>
      <c r="P80" s="29">
        <v>4</v>
      </c>
      <c r="Q80" s="29">
        <v>223</v>
      </c>
      <c r="R80" s="29">
        <v>3.9</v>
      </c>
      <c r="S80" s="29">
        <v>217</v>
      </c>
      <c r="T80" s="29">
        <v>5.3</v>
      </c>
      <c r="U80" s="29">
        <v>239</v>
      </c>
      <c r="V80" s="29">
        <v>5.9</v>
      </c>
      <c r="W80" s="29">
        <v>182</v>
      </c>
      <c r="X80" s="29">
        <v>2.7</v>
      </c>
      <c r="Y80" s="29">
        <v>219</v>
      </c>
      <c r="Z80" s="29">
        <v>3.8</v>
      </c>
      <c r="AA80" s="29">
        <v>197</v>
      </c>
      <c r="AB80" s="29">
        <v>3.6</v>
      </c>
      <c r="AC80" s="29">
        <v>212</v>
      </c>
      <c r="AD80" s="29">
        <v>4</v>
      </c>
      <c r="AE80" s="36">
        <v>208</v>
      </c>
      <c r="AF80" s="40">
        <v>4</v>
      </c>
      <c r="AG80" s="37">
        <v>211</v>
      </c>
      <c r="AH80" s="37">
        <v>6.8</v>
      </c>
      <c r="AI80" s="36">
        <v>203</v>
      </c>
      <c r="AJ80" s="40">
        <v>5.3</v>
      </c>
      <c r="AK80" s="36">
        <v>223</v>
      </c>
      <c r="AL80" s="36">
        <v>4.9000000000000004</v>
      </c>
      <c r="AM80" s="37">
        <v>223</v>
      </c>
      <c r="AN80" s="37">
        <v>4.3</v>
      </c>
      <c r="AO80" s="37">
        <v>191</v>
      </c>
      <c r="AP80" s="37">
        <v>4.0999999999999996</v>
      </c>
      <c r="AQ80" s="29"/>
      <c r="AR80" s="29"/>
    </row>
    <row r="81" spans="1:44" ht="10.5" customHeight="1" x14ac:dyDescent="0.2">
      <c r="A81" s="38">
        <v>511</v>
      </c>
      <c r="B81" s="38" t="s">
        <v>180</v>
      </c>
      <c r="C81" s="29" t="s">
        <v>314</v>
      </c>
      <c r="D81" s="38" t="s">
        <v>180</v>
      </c>
      <c r="E81" s="38">
        <v>-15</v>
      </c>
      <c r="F81" s="35" t="s">
        <v>159</v>
      </c>
      <c r="G81" s="29">
        <v>245</v>
      </c>
      <c r="H81" s="29">
        <v>3.5</v>
      </c>
      <c r="I81" s="29">
        <v>229</v>
      </c>
      <c r="J81" s="29">
        <v>3.5</v>
      </c>
      <c r="K81" s="29">
        <v>228</v>
      </c>
      <c r="L81" s="29">
        <v>2.6</v>
      </c>
      <c r="M81" s="29">
        <v>246</v>
      </c>
      <c r="N81" s="29">
        <v>3.9</v>
      </c>
      <c r="O81" s="29">
        <v>247</v>
      </c>
      <c r="P81" s="29">
        <v>3.2</v>
      </c>
      <c r="Q81" s="29">
        <v>228</v>
      </c>
      <c r="R81" s="29">
        <v>2.9</v>
      </c>
      <c r="S81" s="29">
        <v>249</v>
      </c>
      <c r="T81" s="29">
        <v>5.3</v>
      </c>
      <c r="U81" s="29">
        <v>242</v>
      </c>
      <c r="V81" s="29">
        <v>5.4</v>
      </c>
      <c r="W81" s="29">
        <v>225</v>
      </c>
      <c r="X81" s="29">
        <v>3.9</v>
      </c>
      <c r="Y81" s="29">
        <v>246</v>
      </c>
      <c r="Z81" s="29">
        <v>3.6</v>
      </c>
      <c r="AA81" s="29">
        <v>228</v>
      </c>
      <c r="AB81" s="29">
        <v>3.6</v>
      </c>
      <c r="AC81" s="29">
        <v>217</v>
      </c>
      <c r="AD81" s="29">
        <v>2.9</v>
      </c>
      <c r="AE81" s="36">
        <v>231</v>
      </c>
      <c r="AF81" s="40">
        <v>4</v>
      </c>
      <c r="AG81" s="29">
        <v>227</v>
      </c>
      <c r="AH81" s="29">
        <v>6.2</v>
      </c>
      <c r="AI81" s="36">
        <v>214</v>
      </c>
      <c r="AJ81" s="40">
        <v>5</v>
      </c>
      <c r="AK81" s="36">
        <v>238</v>
      </c>
      <c r="AL81" s="36">
        <v>4.5999999999999996</v>
      </c>
      <c r="AM81" s="37">
        <v>233</v>
      </c>
      <c r="AN81" s="37">
        <v>4.0999999999999996</v>
      </c>
      <c r="AO81" s="37">
        <v>198</v>
      </c>
      <c r="AP81" s="37">
        <v>3.7</v>
      </c>
      <c r="AQ81" s="29"/>
      <c r="AR81" s="29"/>
    </row>
    <row r="82" spans="1:44" x14ac:dyDescent="0.2">
      <c r="A82" s="43"/>
      <c r="B82" s="43"/>
    </row>
    <row r="83" spans="1:44" x14ac:dyDescent="0.2">
      <c r="A83" s="43"/>
      <c r="B83" s="43"/>
    </row>
    <row r="84" spans="1:44" x14ac:dyDescent="0.2">
      <c r="A84" s="43"/>
      <c r="B84" s="43"/>
    </row>
    <row r="85" spans="1:44" x14ac:dyDescent="0.2">
      <c r="A85" s="43"/>
      <c r="B85" s="43"/>
    </row>
    <row r="86" spans="1:44" x14ac:dyDescent="0.2">
      <c r="A86" s="43"/>
      <c r="B86" s="43"/>
    </row>
    <row r="87" spans="1:44" x14ac:dyDescent="0.2">
      <c r="A87" s="43"/>
      <c r="B87" s="43"/>
    </row>
    <row r="88" spans="1:44" x14ac:dyDescent="0.2">
      <c r="A88" s="43"/>
      <c r="B88" s="43"/>
    </row>
  </sheetData>
  <mergeCells count="19">
    <mergeCell ref="AC1:AD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Q1:AR1"/>
    <mergeCell ref="AE1:AF1"/>
    <mergeCell ref="AG1:AH1"/>
    <mergeCell ref="AI1:AJ1"/>
    <mergeCell ref="AK1:AL1"/>
    <mergeCell ref="AM1:AN1"/>
    <mergeCell ref="AO1:A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workbookViewId="0">
      <selection activeCell="G30" sqref="G30"/>
    </sheetView>
  </sheetViews>
  <sheetFormatPr defaultRowHeight="14.4" x14ac:dyDescent="0.3"/>
  <cols>
    <col min="7" max="7" width="11.44140625" bestFit="1" customWidth="1"/>
  </cols>
  <sheetData>
    <row r="1" spans="1:14" x14ac:dyDescent="0.3">
      <c r="A1" s="24"/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3">
      <c r="A2" s="24"/>
      <c r="B2" s="369" t="s">
        <v>315</v>
      </c>
      <c r="C2" s="369"/>
      <c r="D2" s="369"/>
      <c r="E2" s="369"/>
      <c r="F2" s="369"/>
      <c r="G2" s="369"/>
      <c r="H2" s="24"/>
      <c r="I2" s="24"/>
      <c r="J2" s="24"/>
      <c r="K2" s="24"/>
      <c r="L2" s="24"/>
      <c r="M2" s="24"/>
      <c r="N2" s="24"/>
    </row>
    <row r="3" spans="1:14" x14ac:dyDescent="0.3">
      <c r="A3" s="24"/>
      <c r="B3" s="370" t="s">
        <v>316</v>
      </c>
      <c r="C3" s="370"/>
      <c r="D3" s="370"/>
      <c r="E3" s="370"/>
      <c r="F3" s="371" t="s">
        <v>187</v>
      </c>
      <c r="G3" s="372"/>
      <c r="H3" s="24"/>
      <c r="I3" s="24"/>
      <c r="J3" s="24"/>
      <c r="K3" s="24"/>
      <c r="L3" s="24"/>
      <c r="M3" s="24"/>
      <c r="N3" s="24"/>
    </row>
    <row r="4" spans="1:14" x14ac:dyDescent="0.3">
      <c r="A4" s="24"/>
      <c r="B4" s="370" t="s">
        <v>317</v>
      </c>
      <c r="C4" s="370"/>
      <c r="D4" s="370"/>
      <c r="E4" s="370"/>
      <c r="F4" s="371" t="s">
        <v>168</v>
      </c>
      <c r="G4" s="372"/>
      <c r="H4" s="24"/>
      <c r="I4" s="58"/>
      <c r="J4" s="59"/>
      <c r="K4" s="24"/>
      <c r="L4" s="24"/>
      <c r="M4" s="24"/>
      <c r="N4" s="24"/>
    </row>
    <row r="5" spans="1:14" x14ac:dyDescent="0.3">
      <c r="A5" s="24"/>
      <c r="B5" s="370" t="s">
        <v>318</v>
      </c>
      <c r="C5" s="370"/>
      <c r="D5" s="370"/>
      <c r="E5" s="370"/>
      <c r="F5" s="371"/>
      <c r="G5" s="372"/>
      <c r="H5" s="24"/>
      <c r="I5" s="24"/>
      <c r="J5" s="24"/>
      <c r="K5" s="24"/>
      <c r="L5" s="24"/>
      <c r="M5" s="24"/>
      <c r="N5" s="24"/>
    </row>
    <row r="6" spans="1:14" x14ac:dyDescent="0.3">
      <c r="A6" s="24"/>
      <c r="B6" s="370" t="s">
        <v>3</v>
      </c>
      <c r="C6" s="370"/>
      <c r="D6" s="370"/>
      <c r="E6" s="370"/>
      <c r="F6" s="371" t="s">
        <v>319</v>
      </c>
      <c r="G6" s="372"/>
      <c r="H6" s="24"/>
      <c r="I6" s="24"/>
      <c r="J6" s="24"/>
      <c r="K6" s="24"/>
      <c r="L6" s="24"/>
      <c r="M6" s="24"/>
      <c r="N6" s="24"/>
    </row>
    <row r="7" spans="1:14" x14ac:dyDescent="0.3">
      <c r="A7" s="24"/>
      <c r="B7" s="370" t="s">
        <v>320</v>
      </c>
      <c r="C7" s="370"/>
      <c r="D7" s="370"/>
      <c r="E7" s="370"/>
      <c r="F7" s="373">
        <v>2020</v>
      </c>
      <c r="G7" s="374"/>
      <c r="H7" s="24"/>
      <c r="I7" s="24"/>
      <c r="J7" s="24"/>
      <c r="K7" s="24"/>
      <c r="L7" s="24"/>
      <c r="M7" s="24"/>
      <c r="N7" s="24"/>
    </row>
    <row r="8" spans="1:14" x14ac:dyDescent="0.3">
      <c r="A8" s="24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x14ac:dyDescent="0.3">
      <c r="A9" s="24"/>
      <c r="B9" s="369" t="s">
        <v>321</v>
      </c>
      <c r="C9" s="369"/>
      <c r="D9" s="369"/>
      <c r="E9" s="369"/>
      <c r="F9" s="369"/>
      <c r="G9" s="369"/>
      <c r="H9" s="24"/>
      <c r="I9" s="24"/>
      <c r="J9" s="24"/>
      <c r="K9" s="24"/>
      <c r="L9" s="24"/>
      <c r="M9" s="24"/>
      <c r="N9" s="24"/>
    </row>
    <row r="10" spans="1:14" x14ac:dyDescent="0.3">
      <c r="A10" s="24"/>
      <c r="B10" s="365" t="s">
        <v>322</v>
      </c>
      <c r="C10" s="366"/>
      <c r="D10" s="366"/>
      <c r="E10" s="367"/>
      <c r="F10" s="243" t="s">
        <v>323</v>
      </c>
      <c r="G10" s="25">
        <v>4021</v>
      </c>
      <c r="H10" s="24"/>
      <c r="I10" s="24"/>
      <c r="J10" s="24"/>
      <c r="K10" s="24"/>
      <c r="L10" s="24"/>
      <c r="M10" s="24"/>
      <c r="N10" s="24"/>
    </row>
    <row r="11" spans="1:14" x14ac:dyDescent="0.3">
      <c r="A11" s="24"/>
      <c r="B11" s="365" t="s">
        <v>324</v>
      </c>
      <c r="C11" s="366"/>
      <c r="D11" s="366"/>
      <c r="E11" s="367"/>
      <c r="F11" s="243" t="s">
        <v>325</v>
      </c>
      <c r="G11" s="25">
        <v>352</v>
      </c>
      <c r="H11" s="24"/>
      <c r="I11" s="24"/>
      <c r="J11" s="24"/>
      <c r="K11" s="60"/>
      <c r="L11" s="24"/>
      <c r="M11" s="24"/>
      <c r="N11" s="24"/>
    </row>
    <row r="12" spans="1:14" x14ac:dyDescent="0.3">
      <c r="A12" s="24"/>
      <c r="B12" s="365" t="s">
        <v>326</v>
      </c>
      <c r="C12" s="366"/>
      <c r="D12" s="366"/>
      <c r="E12" s="367"/>
      <c r="F12" s="243" t="s">
        <v>327</v>
      </c>
      <c r="G12" s="25">
        <v>26762.25</v>
      </c>
      <c r="H12" s="24"/>
      <c r="I12" s="24"/>
      <c r="J12" s="24"/>
      <c r="K12" s="24"/>
      <c r="L12" s="24"/>
      <c r="M12" s="24"/>
      <c r="N12" s="24"/>
    </row>
    <row r="13" spans="1:14" x14ac:dyDescent="0.3">
      <c r="A13" s="24"/>
      <c r="B13" s="365" t="s">
        <v>328</v>
      </c>
      <c r="C13" s="366"/>
      <c r="D13" s="366"/>
      <c r="E13" s="367"/>
      <c r="F13" s="243" t="s">
        <v>329</v>
      </c>
      <c r="G13" s="25">
        <v>5301.5</v>
      </c>
      <c r="H13" s="24"/>
      <c r="I13" s="24"/>
      <c r="J13" s="24"/>
      <c r="K13" s="24"/>
      <c r="L13" s="24"/>
      <c r="M13" s="24"/>
      <c r="N13" s="24"/>
    </row>
    <row r="14" spans="1:14" x14ac:dyDescent="0.3">
      <c r="A14" s="24"/>
      <c r="B14" s="358" t="s">
        <v>330</v>
      </c>
      <c r="C14" s="359"/>
      <c r="D14" s="359"/>
      <c r="E14" s="360"/>
      <c r="F14" s="243" t="s">
        <v>331</v>
      </c>
      <c r="G14" s="26">
        <f>'[2]9_tepelna strata'!C133</f>
        <v>10756.100175000005</v>
      </c>
      <c r="H14" s="24"/>
      <c r="I14" s="24"/>
      <c r="J14" s="24"/>
      <c r="K14" s="24"/>
      <c r="L14" s="24"/>
      <c r="M14" s="24"/>
      <c r="N14" s="24"/>
    </row>
    <row r="15" spans="1:14" x14ac:dyDescent="0.3">
      <c r="A15" s="24"/>
      <c r="B15" s="365" t="s">
        <v>332</v>
      </c>
      <c r="C15" s="366"/>
      <c r="D15" s="366"/>
      <c r="E15" s="367"/>
      <c r="F15" s="243" t="s">
        <v>333</v>
      </c>
      <c r="G15" s="27">
        <f>G14/G12</f>
        <v>0.40191314911862813</v>
      </c>
      <c r="H15" s="24"/>
      <c r="I15" s="24"/>
      <c r="J15" s="24"/>
      <c r="K15" s="24"/>
      <c r="L15" s="24"/>
      <c r="M15" s="24"/>
      <c r="N15" s="24"/>
    </row>
    <row r="16" spans="1:14" x14ac:dyDescent="0.3">
      <c r="A16" s="24"/>
      <c r="B16" s="365" t="s">
        <v>334</v>
      </c>
      <c r="C16" s="366"/>
      <c r="D16" s="366"/>
      <c r="E16" s="367"/>
      <c r="F16" s="243"/>
      <c r="G16" s="25">
        <v>2</v>
      </c>
      <c r="H16" s="24"/>
      <c r="I16" s="24"/>
      <c r="J16" s="24"/>
      <c r="K16" s="24"/>
      <c r="L16" s="24"/>
      <c r="M16" s="24"/>
      <c r="N16" s="24"/>
    </row>
    <row r="17" spans="1:14" x14ac:dyDescent="0.3">
      <c r="A17" s="24"/>
      <c r="B17" s="368" t="s">
        <v>335</v>
      </c>
      <c r="C17" s="368"/>
      <c r="D17" s="368"/>
      <c r="E17" s="368"/>
      <c r="F17" s="243" t="s">
        <v>336</v>
      </c>
      <c r="G17" s="28">
        <v>6.5</v>
      </c>
      <c r="H17" s="24"/>
      <c r="I17" s="24"/>
      <c r="J17" s="24"/>
      <c r="K17" s="24"/>
      <c r="L17" s="24"/>
      <c r="M17" s="24"/>
      <c r="N17" s="24"/>
    </row>
    <row r="18" spans="1:14" x14ac:dyDescent="0.3">
      <c r="A18" s="24"/>
      <c r="B18" s="61"/>
      <c r="C18" s="51"/>
      <c r="D18" s="51"/>
      <c r="E18" s="51"/>
      <c r="F18" s="51"/>
      <c r="G18" s="51"/>
      <c r="H18" s="24"/>
      <c r="I18" s="24"/>
      <c r="J18" s="24"/>
      <c r="K18" s="24"/>
      <c r="L18" s="24"/>
      <c r="M18" s="24"/>
      <c r="N18" s="24"/>
    </row>
    <row r="19" spans="1:14" x14ac:dyDescent="0.3">
      <c r="A19" s="24"/>
      <c r="B19" s="50" t="s">
        <v>337</v>
      </c>
      <c r="C19" s="51"/>
      <c r="D19" s="51"/>
      <c r="E19" s="51"/>
      <c r="F19" s="51"/>
      <c r="G19" s="51"/>
      <c r="H19" s="24"/>
      <c r="I19" s="24"/>
      <c r="J19" s="24"/>
      <c r="K19" s="24"/>
      <c r="L19" s="24"/>
      <c r="M19" s="24"/>
      <c r="N19" s="24"/>
    </row>
    <row r="20" spans="1:14" x14ac:dyDescent="0.3">
      <c r="A20" s="24"/>
      <c r="B20" s="368" t="s">
        <v>338</v>
      </c>
      <c r="C20" s="368"/>
      <c r="D20" s="243">
        <f>F7-10</f>
        <v>2010</v>
      </c>
      <c r="E20" s="243">
        <f>F7-9</f>
        <v>2011</v>
      </c>
      <c r="F20" s="243">
        <f>F7-8</f>
        <v>2012</v>
      </c>
      <c r="G20" s="243">
        <f>F7-7</f>
        <v>2013</v>
      </c>
      <c r="H20" s="243">
        <f>F7-6</f>
        <v>2014</v>
      </c>
      <c r="I20" s="243">
        <f>F7-5</f>
        <v>2015</v>
      </c>
      <c r="J20" s="243">
        <f>F7-4</f>
        <v>2016</v>
      </c>
      <c r="K20" s="243">
        <f>F7-3</f>
        <v>2017</v>
      </c>
      <c r="L20" s="243">
        <f>F7-2</f>
        <v>2018</v>
      </c>
      <c r="M20" s="243">
        <f>F7-1</f>
        <v>2019</v>
      </c>
      <c r="N20" s="52" t="s">
        <v>339</v>
      </c>
    </row>
    <row r="21" spans="1:14" x14ac:dyDescent="0.3">
      <c r="A21" s="24"/>
      <c r="B21" s="368" t="s">
        <v>340</v>
      </c>
      <c r="C21" s="368"/>
      <c r="D21" s="53" t="e">
        <f>VLOOKUP($F$3,#REF!,D25,FALSE)</f>
        <v>#REF!</v>
      </c>
      <c r="E21" s="53" t="e">
        <f>VLOOKUP($F$3,#REF!,E25,FALSE)</f>
        <v>#REF!</v>
      </c>
      <c r="F21" s="53" t="e">
        <f>VLOOKUP($F$3,#REF!,F25,FALSE)</f>
        <v>#REF!</v>
      </c>
      <c r="G21" s="53" t="e">
        <f>VLOOKUP($F$3,#REF!,G25,FALSE)</f>
        <v>#REF!</v>
      </c>
      <c r="H21" s="53" t="e">
        <f>VLOOKUP($F$3,#REF!,H25,FALSE)</f>
        <v>#REF!</v>
      </c>
      <c r="I21" s="53" t="e">
        <f>VLOOKUP($F$3,#REF!,I25,FALSE)</f>
        <v>#REF!</v>
      </c>
      <c r="J21" s="53" t="e">
        <f>VLOOKUP($F$3,#REF!,J25,FALSE)</f>
        <v>#REF!</v>
      </c>
      <c r="K21" s="53" t="e">
        <f>VLOOKUP($F$3,#REF!,K25,FALSE)</f>
        <v>#REF!</v>
      </c>
      <c r="L21" s="53" t="e">
        <f>VLOOKUP($F$3,#REF!,L25,FALSE)</f>
        <v>#REF!</v>
      </c>
      <c r="M21" s="53" t="e">
        <f>VLOOKUP($F$3,#REF!,M25,FALSE)</f>
        <v>#REF!</v>
      </c>
      <c r="N21" s="54" t="e">
        <f>SUM(D21:M21)/COUNT(D21:M21)</f>
        <v>#REF!</v>
      </c>
    </row>
    <row r="22" spans="1:14" x14ac:dyDescent="0.3">
      <c r="A22" s="24"/>
      <c r="B22" s="368" t="s">
        <v>341</v>
      </c>
      <c r="C22" s="368"/>
      <c r="D22" s="55" t="e">
        <f>VLOOKUP($F$3,#REF!,D25+1,FALSE)</f>
        <v>#REF!</v>
      </c>
      <c r="E22" s="55" t="e">
        <f>VLOOKUP($F$3,#REF!,E25+1,FALSE)</f>
        <v>#REF!</v>
      </c>
      <c r="F22" s="55" t="e">
        <f>VLOOKUP($F$3,#REF!,F25+1,FALSE)</f>
        <v>#REF!</v>
      </c>
      <c r="G22" s="55" t="e">
        <f>VLOOKUP($F$3,#REF!,G25+1,FALSE)</f>
        <v>#REF!</v>
      </c>
      <c r="H22" s="55" t="e">
        <f>VLOOKUP($F$3,#REF!,H25+1,FALSE)</f>
        <v>#REF!</v>
      </c>
      <c r="I22" s="55" t="e">
        <f>VLOOKUP($F$3,#REF!,I25+1,FALSE)</f>
        <v>#REF!</v>
      </c>
      <c r="J22" s="55" t="e">
        <f>VLOOKUP($F$3,#REF!,J25+1,FALSE)</f>
        <v>#REF!</v>
      </c>
      <c r="K22" s="55" t="e">
        <f>VLOOKUP($F$3,#REF!,K25+1,FALSE)</f>
        <v>#REF!</v>
      </c>
      <c r="L22" s="55" t="e">
        <f>VLOOKUP($F$3,#REF!,L25+1,FALSE)</f>
        <v>#REF!</v>
      </c>
      <c r="M22" s="55" t="e">
        <f>VLOOKUP($F$3,#REF!,M25+1,FALSE)</f>
        <v>#REF!</v>
      </c>
      <c r="N22" s="56" t="e">
        <f>SUM(D22:M22)/COUNT(D22:M22)</f>
        <v>#REF!</v>
      </c>
    </row>
    <row r="23" spans="1:14" x14ac:dyDescent="0.3">
      <c r="A23" s="24"/>
      <c r="B23" s="358" t="s">
        <v>342</v>
      </c>
      <c r="C23" s="360"/>
      <c r="D23" s="57" t="str">
        <f t="shared" ref="D23:M23" si="0">IF(ISNUMBER(D22),($H$30-D22)*D21,"-")</f>
        <v>-</v>
      </c>
      <c r="E23" s="57" t="str">
        <f t="shared" si="0"/>
        <v>-</v>
      </c>
      <c r="F23" s="57" t="str">
        <f t="shared" si="0"/>
        <v>-</v>
      </c>
      <c r="G23" s="57" t="str">
        <f t="shared" si="0"/>
        <v>-</v>
      </c>
      <c r="H23" s="57" t="str">
        <f t="shared" si="0"/>
        <v>-</v>
      </c>
      <c r="I23" s="57" t="str">
        <f t="shared" si="0"/>
        <v>-</v>
      </c>
      <c r="J23" s="57" t="str">
        <f t="shared" si="0"/>
        <v>-</v>
      </c>
      <c r="K23" s="57" t="str">
        <f t="shared" si="0"/>
        <v>-</v>
      </c>
      <c r="L23" s="57" t="str">
        <f t="shared" si="0"/>
        <v>-</v>
      </c>
      <c r="M23" s="57" t="str">
        <f t="shared" si="0"/>
        <v>-</v>
      </c>
      <c r="N23" s="57" t="e">
        <f>($H$30-N22)*N21</f>
        <v>#REF!</v>
      </c>
    </row>
    <row r="24" spans="1:14" x14ac:dyDescent="0.3">
      <c r="A24" s="24"/>
      <c r="B24" s="364" t="s">
        <v>343</v>
      </c>
      <c r="C24" s="364"/>
      <c r="D24" s="62" t="e">
        <f t="shared" ref="D24:M24" si="1">$N23</f>
        <v>#REF!</v>
      </c>
      <c r="E24" s="62" t="e">
        <f t="shared" si="1"/>
        <v>#REF!</v>
      </c>
      <c r="F24" s="62" t="e">
        <f t="shared" si="1"/>
        <v>#REF!</v>
      </c>
      <c r="G24" s="62" t="e">
        <f t="shared" si="1"/>
        <v>#REF!</v>
      </c>
      <c r="H24" s="62" t="e">
        <f t="shared" si="1"/>
        <v>#REF!</v>
      </c>
      <c r="I24" s="62" t="e">
        <f t="shared" si="1"/>
        <v>#REF!</v>
      </c>
      <c r="J24" s="62" t="e">
        <f t="shared" si="1"/>
        <v>#REF!</v>
      </c>
      <c r="K24" s="62" t="e">
        <f t="shared" si="1"/>
        <v>#REF!</v>
      </c>
      <c r="L24" s="62" t="e">
        <f t="shared" si="1"/>
        <v>#REF!</v>
      </c>
      <c r="M24" s="62" t="e">
        <f t="shared" si="1"/>
        <v>#REF!</v>
      </c>
      <c r="N24" s="30"/>
    </row>
    <row r="25" spans="1:14" x14ac:dyDescent="0.3">
      <c r="A25" s="24"/>
      <c r="B25" s="63" t="s">
        <v>344</v>
      </c>
      <c r="C25" s="64"/>
      <c r="D25" s="65">
        <f>MATCH(D20,'[2]cis_dennost.'!$B$1:$AL$1)</f>
        <v>24</v>
      </c>
      <c r="E25" s="65">
        <f>MATCH(E20,'[2]cis_dennost.'!$B$1:$AL$1)</f>
        <v>26</v>
      </c>
      <c r="F25" s="65">
        <f>MATCH(F20,'[2]cis_dennost.'!$B$1:$AL$1)</f>
        <v>28</v>
      </c>
      <c r="G25" s="65">
        <f>MATCH(G20,'[2]cis_dennost.'!$B$1:$AL$1)</f>
        <v>30</v>
      </c>
      <c r="H25" s="65">
        <f>MATCH(H20,'[2]cis_dennost.'!$B$1:$AL$1)</f>
        <v>32</v>
      </c>
      <c r="I25" s="65">
        <f>MATCH(I20,'[2]cis_dennost.'!$B$1:$AL$1)</f>
        <v>34</v>
      </c>
      <c r="J25" s="65">
        <f>MATCH(J20,'[2]cis_dennost.'!$B$1:$AL$1)</f>
        <v>36</v>
      </c>
      <c r="K25" s="65">
        <f>MATCH(K20,'[2]cis_dennost.'!$B$1:$AL$1)</f>
        <v>36</v>
      </c>
      <c r="L25" s="65">
        <f>MATCH(L20,'[2]cis_dennost.'!$B$1:$AL$1)</f>
        <v>36</v>
      </c>
      <c r="M25" s="65">
        <f>MATCH(M20,'[2]cis_dennost.'!$B$1:$AL$1)</f>
        <v>36</v>
      </c>
      <c r="N25" s="30"/>
    </row>
    <row r="26" spans="1:14" x14ac:dyDescent="0.3">
      <c r="B26" s="50" t="s">
        <v>48</v>
      </c>
      <c r="C26" s="66"/>
      <c r="D26" s="51"/>
      <c r="E26" s="51"/>
      <c r="F26" s="51"/>
      <c r="G26" s="51"/>
      <c r="H26" s="24"/>
    </row>
    <row r="27" spans="1:14" ht="20.399999999999999" x14ac:dyDescent="0.3">
      <c r="B27" s="361"/>
      <c r="C27" s="362"/>
      <c r="D27" s="362"/>
      <c r="E27" s="362"/>
      <c r="F27" s="363"/>
      <c r="G27" s="67" t="s">
        <v>52</v>
      </c>
      <c r="H27" s="67" t="s">
        <v>53</v>
      </c>
    </row>
    <row r="28" spans="1:14" x14ac:dyDescent="0.3">
      <c r="B28" s="358" t="s">
        <v>76</v>
      </c>
      <c r="C28" s="359"/>
      <c r="D28" s="359"/>
      <c r="E28" s="360"/>
      <c r="F28" s="68" t="s">
        <v>77</v>
      </c>
      <c r="G28" s="69">
        <v>-15</v>
      </c>
      <c r="H28" s="69">
        <f>VLOOKUP(F3,'[2]cis_dennost.'!B3:E81,4,FALSE)</f>
        <v>-11</v>
      </c>
    </row>
    <row r="29" spans="1:14" x14ac:dyDescent="0.3">
      <c r="B29" s="358" t="s">
        <v>82</v>
      </c>
      <c r="C29" s="359"/>
      <c r="D29" s="359"/>
      <c r="E29" s="360"/>
      <c r="F29" s="243" t="s">
        <v>83</v>
      </c>
      <c r="G29" s="70" t="s">
        <v>84</v>
      </c>
      <c r="H29" s="71" t="str">
        <f>VLOOKUP(F3,'[2]cis_dennost.'!B3:F81,5,FALSE)</f>
        <v>od 2 do 5</v>
      </c>
    </row>
    <row r="30" spans="1:14" x14ac:dyDescent="0.3">
      <c r="B30" s="358" t="s">
        <v>89</v>
      </c>
      <c r="C30" s="359"/>
      <c r="D30" s="359"/>
      <c r="E30" s="360"/>
      <c r="F30" s="68" t="s">
        <v>90</v>
      </c>
      <c r="G30" s="69" t="e">
        <f>IF(E47=G166,VLOOKUP(F6,J206:P213,6,FALSE),VLOOKUP(F6,J206:P213,4,FALSE))</f>
        <v>#N/A</v>
      </c>
      <c r="H30" s="72">
        <f>J59</f>
        <v>0</v>
      </c>
    </row>
    <row r="31" spans="1:14" x14ac:dyDescent="0.3">
      <c r="B31" s="358" t="s">
        <v>95</v>
      </c>
      <c r="C31" s="359"/>
      <c r="D31" s="359"/>
      <c r="E31" s="360"/>
      <c r="F31" s="68" t="s">
        <v>96</v>
      </c>
      <c r="G31" s="69">
        <v>3.86</v>
      </c>
      <c r="H31" s="73" t="e">
        <f>N22</f>
        <v>#REF!</v>
      </c>
    </row>
    <row r="32" spans="1:14" x14ac:dyDescent="0.3">
      <c r="B32" s="358" t="s">
        <v>101</v>
      </c>
      <c r="C32" s="359"/>
      <c r="D32" s="359"/>
      <c r="E32" s="360"/>
      <c r="F32" s="243" t="s">
        <v>102</v>
      </c>
      <c r="G32" s="69">
        <v>212</v>
      </c>
      <c r="H32" s="74" t="e">
        <f>N21</f>
        <v>#REF!</v>
      </c>
    </row>
    <row r="33" spans="2:8" x14ac:dyDescent="0.3">
      <c r="B33" s="358" t="s">
        <v>107</v>
      </c>
      <c r="C33" s="359"/>
      <c r="D33" s="359"/>
      <c r="E33" s="360"/>
      <c r="F33" s="243" t="s">
        <v>108</v>
      </c>
      <c r="G33" s="69" t="e">
        <f>VLOOKUP(F6,J206:P213,7,FALSE)</f>
        <v>#N/A</v>
      </c>
      <c r="H33" s="72" t="e">
        <f>N23</f>
        <v>#REF!</v>
      </c>
    </row>
  </sheetData>
  <mergeCells count="32">
    <mergeCell ref="B10:E10"/>
    <mergeCell ref="B2:G2"/>
    <mergeCell ref="B3:E3"/>
    <mergeCell ref="F3:G3"/>
    <mergeCell ref="B4:E4"/>
    <mergeCell ref="F4:G4"/>
    <mergeCell ref="B5:E5"/>
    <mergeCell ref="F5:G5"/>
    <mergeCell ref="B6:E6"/>
    <mergeCell ref="F6:G6"/>
    <mergeCell ref="B7:E7"/>
    <mergeCell ref="F7:G7"/>
    <mergeCell ref="B9:G9"/>
    <mergeCell ref="B24:C24"/>
    <mergeCell ref="B11:E11"/>
    <mergeCell ref="B12:E12"/>
    <mergeCell ref="B13:E13"/>
    <mergeCell ref="B14:E14"/>
    <mergeCell ref="B15:E15"/>
    <mergeCell ref="B16:E16"/>
    <mergeCell ref="B17:E17"/>
    <mergeCell ref="B20:C20"/>
    <mergeCell ref="B21:C21"/>
    <mergeCell ref="B22:C22"/>
    <mergeCell ref="B23:C23"/>
    <mergeCell ref="B33:E33"/>
    <mergeCell ref="B27:F27"/>
    <mergeCell ref="B28:E28"/>
    <mergeCell ref="B29:E29"/>
    <mergeCell ref="B30:E30"/>
    <mergeCell ref="B31:E31"/>
    <mergeCell ref="B32:E32"/>
  </mergeCells>
  <dataValidations disablePrompts="1" count="4">
    <dataValidation type="list" allowBlank="1" showInputMessage="1" showErrorMessage="1" sqref="F6:G6" xr:uid="{00000000-0002-0000-0200-000000000000}">
      <formula1>$J$206:$J$213</formula1>
    </dataValidation>
    <dataValidation type="whole" allowBlank="1" showInputMessage="1" showErrorMessage="1" errorTitle="Rok spracovania EA" error="Zadajte štvorciferné celé číslo väčšie ako 2000 a menšie ako 2020." sqref="F7:G7" xr:uid="{00000000-0002-0000-0200-000001000000}">
      <formula1>2011</formula1>
      <formula2>2020</formula2>
    </dataValidation>
    <dataValidation type="list" allowBlank="1" showInputMessage="1" showErrorMessage="1" sqref="F3:G3" xr:uid="{00000000-0002-0000-0200-000002000000}">
      <formula1>$B$166:$B$244</formula1>
    </dataValidation>
    <dataValidation type="decimal" operator="greaterThanOrEqual" allowBlank="1" showInputMessage="1" showErrorMessage="1" errorTitle="POZOR" error="zadaj číslo &gt;=0" sqref="G10:G13 G17 H30" xr:uid="{00000000-0002-0000-0200-000003000000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6"/>
  <sheetViews>
    <sheetView topLeftCell="A15" workbookViewId="0">
      <selection sqref="A1:XFD1048576"/>
    </sheetView>
  </sheetViews>
  <sheetFormatPr defaultRowHeight="14.4" x14ac:dyDescent="0.3"/>
  <cols>
    <col min="1" max="1" width="3.88671875" bestFit="1" customWidth="1"/>
    <col min="2" max="2" width="34.44140625" customWidth="1"/>
    <col min="3" max="3" width="7.5546875" customWidth="1"/>
    <col min="4" max="4" width="9.44140625" bestFit="1" customWidth="1"/>
    <col min="5" max="5" width="8.88671875" bestFit="1" customWidth="1"/>
    <col min="9" max="9" width="5.109375" customWidth="1"/>
    <col min="10" max="10" width="35.88671875" customWidth="1"/>
    <col min="11" max="11" width="6.5546875" customWidth="1"/>
    <col min="17" max="17" width="6.33203125" customWidth="1"/>
    <col min="18" max="18" width="30.6640625" customWidth="1"/>
    <col min="19" max="19" width="8" customWidth="1"/>
  </cols>
  <sheetData>
    <row r="1" spans="1:26" x14ac:dyDescent="0.3">
      <c r="A1" s="1" t="s">
        <v>345</v>
      </c>
      <c r="B1" s="390" t="s">
        <v>346</v>
      </c>
      <c r="C1" s="391"/>
      <c r="D1" s="391"/>
      <c r="E1" s="1">
        <v>465.1</v>
      </c>
      <c r="I1" s="1" t="s">
        <v>347</v>
      </c>
      <c r="J1" s="390" t="s">
        <v>348</v>
      </c>
      <c r="K1" s="391"/>
      <c r="L1" s="392"/>
      <c r="M1" s="1">
        <v>825.5</v>
      </c>
      <c r="Q1" s="1" t="s">
        <v>349</v>
      </c>
      <c r="R1" s="390" t="s">
        <v>350</v>
      </c>
      <c r="S1" s="391"/>
      <c r="T1" s="392"/>
      <c r="U1" s="101">
        <v>825.5</v>
      </c>
    </row>
    <row r="2" spans="1:26" x14ac:dyDescent="0.3">
      <c r="A2" s="375" t="s">
        <v>351</v>
      </c>
      <c r="B2" s="375"/>
      <c r="C2" s="375"/>
      <c r="D2" s="2" t="s">
        <v>352</v>
      </c>
      <c r="E2" s="3">
        <v>0.13</v>
      </c>
      <c r="I2" s="375" t="s">
        <v>353</v>
      </c>
      <c r="J2" s="375"/>
      <c r="K2" s="375"/>
      <c r="L2" s="2" t="s">
        <v>352</v>
      </c>
      <c r="M2" s="3">
        <v>0.1</v>
      </c>
      <c r="Q2" s="375" t="s">
        <v>351</v>
      </c>
      <c r="R2" s="375"/>
      <c r="S2" s="375"/>
      <c r="T2" s="2" t="s">
        <v>352</v>
      </c>
      <c r="U2" s="3">
        <v>0.17</v>
      </c>
      <c r="V2" t="s">
        <v>354</v>
      </c>
    </row>
    <row r="3" spans="1:26" ht="15" x14ac:dyDescent="0.35">
      <c r="A3" s="380" t="s">
        <v>355</v>
      </c>
      <c r="B3" s="381"/>
      <c r="C3" s="5" t="s">
        <v>356</v>
      </c>
      <c r="D3" s="6" t="s">
        <v>357</v>
      </c>
      <c r="E3" s="4" t="s">
        <v>358</v>
      </c>
      <c r="I3" s="380" t="s">
        <v>355</v>
      </c>
      <c r="J3" s="381"/>
      <c r="K3" s="5" t="s">
        <v>356</v>
      </c>
      <c r="L3" s="6" t="s">
        <v>357</v>
      </c>
      <c r="M3" s="4" t="s">
        <v>358</v>
      </c>
      <c r="Q3" s="384" t="s">
        <v>355</v>
      </c>
      <c r="R3" s="385"/>
      <c r="S3" s="5" t="s">
        <v>356</v>
      </c>
      <c r="T3" s="6" t="s">
        <v>357</v>
      </c>
      <c r="U3" s="4" t="s">
        <v>358</v>
      </c>
    </row>
    <row r="4" spans="1:26" x14ac:dyDescent="0.3">
      <c r="A4" s="382" t="s">
        <v>359</v>
      </c>
      <c r="B4" s="383"/>
      <c r="C4" s="7">
        <v>1.5E-3</v>
      </c>
      <c r="D4" s="3">
        <v>0.9</v>
      </c>
      <c r="E4" s="8">
        <f>C4/D4</f>
        <v>1.6666666666666666E-3</v>
      </c>
      <c r="I4" s="382" t="s">
        <v>360</v>
      </c>
      <c r="J4" s="383"/>
      <c r="K4" s="7">
        <v>0.12</v>
      </c>
      <c r="L4" s="3">
        <v>0.05</v>
      </c>
      <c r="M4" s="8">
        <f t="shared" ref="M4:M9" si="0">K4/L4</f>
        <v>2.4</v>
      </c>
      <c r="Q4" s="382"/>
      <c r="R4" s="383"/>
      <c r="S4" s="7"/>
      <c r="T4" s="3"/>
      <c r="U4" s="8"/>
    </row>
    <row r="5" spans="1:26" x14ac:dyDescent="0.3">
      <c r="A5" s="382" t="s">
        <v>361</v>
      </c>
      <c r="B5" s="383"/>
      <c r="C5" s="7">
        <v>0.3</v>
      </c>
      <c r="D5" s="9">
        <v>0.35</v>
      </c>
      <c r="E5" s="8">
        <f>C5/D5</f>
        <v>0.85714285714285721</v>
      </c>
      <c r="I5" s="382" t="s">
        <v>362</v>
      </c>
      <c r="J5" s="383"/>
      <c r="K5" s="7">
        <v>0.25</v>
      </c>
      <c r="L5" s="9">
        <v>1.2</v>
      </c>
      <c r="M5" s="8">
        <f t="shared" si="0"/>
        <v>0.20833333333333334</v>
      </c>
      <c r="Q5" s="382" t="s">
        <v>363</v>
      </c>
      <c r="R5" s="383"/>
      <c r="S5" s="7">
        <v>3.3000000000000002E-2</v>
      </c>
      <c r="T5" s="9">
        <v>1.1599999999999999</v>
      </c>
      <c r="U5" s="8">
        <f>S5/T5</f>
        <v>2.844827586206897E-2</v>
      </c>
    </row>
    <row r="6" spans="1:26" x14ac:dyDescent="0.3">
      <c r="A6" s="382" t="s">
        <v>360</v>
      </c>
      <c r="B6" s="383"/>
      <c r="C6" s="7">
        <v>0.08</v>
      </c>
      <c r="D6" s="3">
        <v>0.04</v>
      </c>
      <c r="E6" s="8">
        <f>C6/D6</f>
        <v>2</v>
      </c>
      <c r="I6" s="382" t="s">
        <v>364</v>
      </c>
      <c r="J6" s="383"/>
      <c r="K6" s="7">
        <v>0.12</v>
      </c>
      <c r="L6" s="3">
        <v>0.08</v>
      </c>
      <c r="M6" s="8">
        <f t="shared" si="0"/>
        <v>1.5</v>
      </c>
      <c r="Q6" s="382" t="s">
        <v>365</v>
      </c>
      <c r="R6" s="383"/>
      <c r="S6" s="7">
        <v>5.5E-2</v>
      </c>
      <c r="T6" s="3">
        <v>1.02</v>
      </c>
      <c r="U6" s="8">
        <f>S6/T6</f>
        <v>5.3921568627450983E-2</v>
      </c>
    </row>
    <row r="7" spans="1:26" x14ac:dyDescent="0.3">
      <c r="A7" s="377"/>
      <c r="B7" s="379"/>
      <c r="C7" s="7"/>
      <c r="D7" s="3"/>
      <c r="E7" s="8"/>
      <c r="I7" s="382" t="s">
        <v>366</v>
      </c>
      <c r="J7" s="383"/>
      <c r="K7" s="7">
        <v>0.18</v>
      </c>
      <c r="L7" s="3">
        <v>1.3</v>
      </c>
      <c r="M7" s="8">
        <f t="shared" si="0"/>
        <v>0.13846153846153844</v>
      </c>
      <c r="Q7" s="382" t="s">
        <v>367</v>
      </c>
      <c r="R7" s="383"/>
      <c r="S7" s="7">
        <v>0.06</v>
      </c>
      <c r="T7" s="3">
        <v>0.05</v>
      </c>
      <c r="U7" s="8">
        <f>S7/T7</f>
        <v>1.2</v>
      </c>
    </row>
    <row r="8" spans="1:26" x14ac:dyDescent="0.3">
      <c r="A8" s="248"/>
      <c r="B8" s="249"/>
      <c r="C8" s="229"/>
      <c r="D8" s="249"/>
      <c r="E8" s="230"/>
      <c r="I8" s="382" t="s">
        <v>368</v>
      </c>
      <c r="J8" s="383"/>
      <c r="K8" s="7">
        <v>2E-3</v>
      </c>
      <c r="L8" s="3">
        <v>0.16</v>
      </c>
      <c r="M8" s="8">
        <f t="shared" si="0"/>
        <v>1.2500000000000001E-2</v>
      </c>
      <c r="Q8" s="246"/>
      <c r="R8" s="247"/>
      <c r="S8" s="7"/>
      <c r="T8" s="3"/>
      <c r="U8" s="8"/>
    </row>
    <row r="9" spans="1:26" x14ac:dyDescent="0.3">
      <c r="A9" s="377"/>
      <c r="B9" s="378"/>
      <c r="C9" s="378"/>
      <c r="D9" s="378"/>
      <c r="E9" s="379"/>
      <c r="I9" s="382" t="s">
        <v>369</v>
      </c>
      <c r="J9" s="383"/>
      <c r="K9" s="7">
        <v>0.25</v>
      </c>
      <c r="L9" s="3">
        <v>0.35</v>
      </c>
      <c r="M9" s="8">
        <f t="shared" si="0"/>
        <v>0.7142857142857143</v>
      </c>
      <c r="Q9" s="382" t="s">
        <v>370</v>
      </c>
      <c r="R9" s="383"/>
      <c r="S9" s="7">
        <v>2E-3</v>
      </c>
      <c r="T9" s="3">
        <v>0.21</v>
      </c>
      <c r="U9" s="8">
        <f>S9/T9</f>
        <v>9.5238095238095247E-3</v>
      </c>
    </row>
    <row r="10" spans="1:26" x14ac:dyDescent="0.3">
      <c r="A10" s="386" t="s">
        <v>371</v>
      </c>
      <c r="B10" s="387"/>
      <c r="C10" s="10">
        <f>SUM(C4:C7)</f>
        <v>0.38150000000000001</v>
      </c>
      <c r="D10" s="11" t="s">
        <v>372</v>
      </c>
      <c r="E10" s="12">
        <f>SUM(E4:E6)</f>
        <v>2.8588095238095237</v>
      </c>
      <c r="I10" s="377"/>
      <c r="J10" s="378"/>
      <c r="K10" s="378"/>
      <c r="L10" s="378"/>
      <c r="M10" s="379"/>
      <c r="Q10" s="382"/>
      <c r="R10" s="383"/>
      <c r="S10" s="7"/>
      <c r="T10" s="3"/>
      <c r="U10" s="8"/>
    </row>
    <row r="11" spans="1:26" x14ac:dyDescent="0.3">
      <c r="A11" s="375" t="s">
        <v>373</v>
      </c>
      <c r="B11" s="375"/>
      <c r="C11" s="375"/>
      <c r="D11" s="2" t="s">
        <v>374</v>
      </c>
      <c r="E11" s="3">
        <v>0.04</v>
      </c>
      <c r="I11" s="386" t="s">
        <v>371</v>
      </c>
      <c r="J11" s="387"/>
      <c r="K11" s="10">
        <f>SUM(K4:K9)</f>
        <v>0.92199999999999993</v>
      </c>
      <c r="L11" s="11" t="s">
        <v>372</v>
      </c>
      <c r="M11" s="12">
        <f>SUM(M4:M9)</f>
        <v>4.9735805860805868</v>
      </c>
      <c r="Q11" s="377"/>
      <c r="R11" s="378"/>
      <c r="S11" s="378"/>
      <c r="T11" s="378"/>
      <c r="U11" s="379"/>
    </row>
    <row r="12" spans="1:26" x14ac:dyDescent="0.3">
      <c r="A12" s="375" t="s">
        <v>375</v>
      </c>
      <c r="B12" s="375"/>
      <c r="C12" s="375"/>
      <c r="D12" s="2" t="s">
        <v>376</v>
      </c>
      <c r="E12" s="12">
        <f>E2+E10+E11</f>
        <v>3.0288095238095236</v>
      </c>
      <c r="I12" s="375" t="s">
        <v>373</v>
      </c>
      <c r="J12" s="375"/>
      <c r="K12" s="375"/>
      <c r="L12" s="2" t="s">
        <v>374</v>
      </c>
      <c r="M12" s="3">
        <v>0.04</v>
      </c>
      <c r="Q12" s="388" t="s">
        <v>371</v>
      </c>
      <c r="R12" s="389"/>
      <c r="S12" s="10">
        <f>SUM(S4:S10)</f>
        <v>0.15</v>
      </c>
      <c r="T12" s="11" t="s">
        <v>372</v>
      </c>
      <c r="U12" s="222">
        <f>SUM(U4:U10)</f>
        <v>1.2918936540133295</v>
      </c>
    </row>
    <row r="13" spans="1:26" x14ac:dyDescent="0.3">
      <c r="A13" s="376" t="s">
        <v>377</v>
      </c>
      <c r="B13" s="376"/>
      <c r="C13" s="376"/>
      <c r="D13" s="13" t="s">
        <v>378</v>
      </c>
      <c r="E13" s="14">
        <f>1/(E2+E10+E11)</f>
        <v>0.33016272305636352</v>
      </c>
      <c r="I13" s="375" t="s">
        <v>375</v>
      </c>
      <c r="J13" s="375"/>
      <c r="K13" s="375"/>
      <c r="L13" s="2" t="s">
        <v>376</v>
      </c>
      <c r="M13" s="12">
        <f>M2+M11+M12</f>
        <v>5.1135805860805865</v>
      </c>
      <c r="Q13" s="375" t="s">
        <v>373</v>
      </c>
      <c r="R13" s="375"/>
      <c r="S13" s="375"/>
      <c r="T13" s="2" t="s">
        <v>374</v>
      </c>
      <c r="U13" s="3">
        <v>0.04</v>
      </c>
      <c r="Z13">
        <v>0.439</v>
      </c>
    </row>
    <row r="14" spans="1:26" x14ac:dyDescent="0.3">
      <c r="I14" s="376" t="s">
        <v>377</v>
      </c>
      <c r="J14" s="376"/>
      <c r="K14" s="376"/>
      <c r="L14" s="13" t="s">
        <v>378</v>
      </c>
      <c r="M14" s="14">
        <f>1/(M2+M11+M12)</f>
        <v>0.19555768862273304</v>
      </c>
      <c r="Q14" s="375" t="s">
        <v>375</v>
      </c>
      <c r="R14" s="375"/>
      <c r="S14" s="375"/>
      <c r="T14" s="2" t="s">
        <v>376</v>
      </c>
      <c r="U14" s="12">
        <f>U2+U12+U13</f>
        <v>1.5018936540133294</v>
      </c>
    </row>
    <row r="15" spans="1:26" x14ac:dyDescent="0.3">
      <c r="A15" s="1" t="s">
        <v>379</v>
      </c>
      <c r="B15" s="390" t="s">
        <v>380</v>
      </c>
      <c r="C15" s="391"/>
      <c r="D15" s="391"/>
      <c r="E15" s="1">
        <v>1217.2</v>
      </c>
      <c r="Q15" s="376" t="s">
        <v>377</v>
      </c>
      <c r="R15" s="376"/>
      <c r="S15" s="376"/>
      <c r="T15" s="13" t="s">
        <v>378</v>
      </c>
      <c r="U15" s="14">
        <v>0.26</v>
      </c>
    </row>
    <row r="16" spans="1:26" x14ac:dyDescent="0.3">
      <c r="A16" s="375" t="s">
        <v>351</v>
      </c>
      <c r="B16" s="375"/>
      <c r="C16" s="375"/>
      <c r="D16" s="2" t="s">
        <v>352</v>
      </c>
      <c r="E16" s="3">
        <v>0.13</v>
      </c>
      <c r="I16" s="1" t="s">
        <v>381</v>
      </c>
      <c r="J16" s="390" t="s">
        <v>382</v>
      </c>
      <c r="K16" s="391"/>
      <c r="L16" s="392"/>
      <c r="M16" s="1">
        <v>1104.7</v>
      </c>
    </row>
    <row r="17" spans="1:21" ht="15" x14ac:dyDescent="0.35">
      <c r="A17" s="380" t="s">
        <v>355</v>
      </c>
      <c r="B17" s="381"/>
      <c r="C17" s="5" t="s">
        <v>356</v>
      </c>
      <c r="D17" s="6" t="s">
        <v>357</v>
      </c>
      <c r="E17" s="4" t="s">
        <v>358</v>
      </c>
      <c r="I17" s="375" t="s">
        <v>353</v>
      </c>
      <c r="J17" s="375"/>
      <c r="K17" s="375"/>
      <c r="L17" s="2" t="s">
        <v>352</v>
      </c>
      <c r="M17" s="3">
        <v>0.1</v>
      </c>
      <c r="Q17" s="1" t="s">
        <v>383</v>
      </c>
      <c r="R17" s="390" t="s">
        <v>384</v>
      </c>
      <c r="S17" s="391"/>
      <c r="T17" s="392"/>
      <c r="U17" s="101">
        <v>1104.7</v>
      </c>
    </row>
    <row r="18" spans="1:21" ht="15" x14ac:dyDescent="0.35">
      <c r="A18" s="382" t="s">
        <v>359</v>
      </c>
      <c r="B18" s="383"/>
      <c r="C18" s="7">
        <v>1.2E-2</v>
      </c>
      <c r="D18" s="3">
        <v>0.9</v>
      </c>
      <c r="E18" s="8">
        <f>C18/D18</f>
        <v>1.3333333333333332E-2</v>
      </c>
      <c r="I18" s="380" t="s">
        <v>355</v>
      </c>
      <c r="J18" s="381"/>
      <c r="K18" s="5" t="s">
        <v>356</v>
      </c>
      <c r="L18" s="6" t="s">
        <v>357</v>
      </c>
      <c r="M18" s="4" t="s">
        <v>358</v>
      </c>
      <c r="Q18" s="375" t="s">
        <v>351</v>
      </c>
      <c r="R18" s="375"/>
      <c r="S18" s="375"/>
      <c r="T18" s="2" t="s">
        <v>352</v>
      </c>
      <c r="U18" s="3">
        <v>0.17</v>
      </c>
    </row>
    <row r="19" spans="1:21" ht="15" x14ac:dyDescent="0.35">
      <c r="A19" s="382" t="s">
        <v>385</v>
      </c>
      <c r="B19" s="383"/>
      <c r="C19" s="7">
        <v>0.15</v>
      </c>
      <c r="D19" s="9">
        <v>1.58</v>
      </c>
      <c r="E19" s="8">
        <f>C19/D19</f>
        <v>9.4936708860759486E-2</v>
      </c>
      <c r="I19" s="382" t="s">
        <v>360</v>
      </c>
      <c r="J19" s="383"/>
      <c r="K19" s="7">
        <v>0.12</v>
      </c>
      <c r="L19" s="3">
        <v>0.05</v>
      </c>
      <c r="M19" s="8">
        <f t="shared" ref="M19:M24" si="1">K19/L19</f>
        <v>2.4</v>
      </c>
      <c r="Q19" s="384" t="s">
        <v>355</v>
      </c>
      <c r="R19" s="385"/>
      <c r="S19" s="5" t="s">
        <v>356</v>
      </c>
      <c r="T19" s="6" t="s">
        <v>357</v>
      </c>
      <c r="U19" s="4" t="s">
        <v>358</v>
      </c>
    </row>
    <row r="20" spans="1:21" x14ac:dyDescent="0.3">
      <c r="A20" s="382" t="s">
        <v>361</v>
      </c>
      <c r="B20" s="383"/>
      <c r="C20" s="7">
        <v>0.3</v>
      </c>
      <c r="D20" s="3">
        <v>0.35</v>
      </c>
      <c r="E20" s="8">
        <f>C20/D20</f>
        <v>0.85714285714285721</v>
      </c>
      <c r="I20" s="382" t="s">
        <v>362</v>
      </c>
      <c r="J20" s="383"/>
      <c r="K20" s="7">
        <v>0.25</v>
      </c>
      <c r="L20" s="9">
        <v>1.1299999999999999</v>
      </c>
      <c r="M20" s="8">
        <f t="shared" si="1"/>
        <v>0.22123893805309736</v>
      </c>
      <c r="Q20" s="382" t="s">
        <v>386</v>
      </c>
      <c r="R20" s="383"/>
      <c r="S20" s="7">
        <v>2.5000000000000001E-2</v>
      </c>
      <c r="T20" s="3">
        <v>1.1599999999999999</v>
      </c>
      <c r="U20" s="8">
        <f>S20/T20</f>
        <v>2.1551724137931036E-2</v>
      </c>
    </row>
    <row r="21" spans="1:21" x14ac:dyDescent="0.3">
      <c r="A21" s="382" t="s">
        <v>360</v>
      </c>
      <c r="B21" s="383"/>
      <c r="C21" s="7">
        <v>0.08</v>
      </c>
      <c r="D21" s="3">
        <v>0.04</v>
      </c>
      <c r="E21" s="8">
        <f>C21/D21</f>
        <v>2</v>
      </c>
      <c r="I21" s="382" t="s">
        <v>364</v>
      </c>
      <c r="J21" s="383"/>
      <c r="K21" s="7">
        <v>0.12</v>
      </c>
      <c r="L21" s="3">
        <v>0.08</v>
      </c>
      <c r="M21" s="8">
        <f t="shared" si="1"/>
        <v>1.5</v>
      </c>
      <c r="Q21" s="382" t="s">
        <v>387</v>
      </c>
      <c r="R21" s="383"/>
      <c r="S21" s="7">
        <v>6.3E-2</v>
      </c>
      <c r="T21" s="9">
        <v>1.02</v>
      </c>
      <c r="U21" s="8">
        <f>S21/T21</f>
        <v>6.1764705882352944E-2</v>
      </c>
    </row>
    <row r="22" spans="1:21" x14ac:dyDescent="0.3">
      <c r="A22" s="377"/>
      <c r="B22" s="378"/>
      <c r="C22" s="378"/>
      <c r="D22" s="378"/>
      <c r="E22" s="379"/>
      <c r="I22" s="382" t="s">
        <v>388</v>
      </c>
      <c r="J22" s="383"/>
      <c r="K22" s="7">
        <v>0.17499999999999999</v>
      </c>
      <c r="L22" s="3">
        <v>1.1000000000000001</v>
      </c>
      <c r="M22" s="8">
        <f t="shared" si="1"/>
        <v>0.15909090909090906</v>
      </c>
      <c r="Q22" s="382" t="s">
        <v>367</v>
      </c>
      <c r="R22" s="383"/>
      <c r="S22" s="7">
        <v>0.06</v>
      </c>
      <c r="T22" s="3">
        <v>0.05</v>
      </c>
      <c r="U22" s="8">
        <f>S22/T22</f>
        <v>1.2</v>
      </c>
    </row>
    <row r="23" spans="1:21" x14ac:dyDescent="0.3">
      <c r="A23" s="386" t="s">
        <v>371</v>
      </c>
      <c r="B23" s="387"/>
      <c r="C23" s="10">
        <f>SUM(C18:C21)</f>
        <v>0.54199999999999993</v>
      </c>
      <c r="D23" s="11" t="s">
        <v>372</v>
      </c>
      <c r="E23" s="12">
        <f>SUM(E18:E21)</f>
        <v>2.96541289933695</v>
      </c>
      <c r="I23" s="382" t="s">
        <v>389</v>
      </c>
      <c r="J23" s="383"/>
      <c r="K23" s="7">
        <v>0.128</v>
      </c>
      <c r="L23" s="3">
        <v>0.22</v>
      </c>
      <c r="M23" s="8">
        <f t="shared" si="1"/>
        <v>0.58181818181818179</v>
      </c>
      <c r="Q23" s="382" t="s">
        <v>368</v>
      </c>
      <c r="R23" s="383"/>
      <c r="S23" s="7">
        <v>2E-3</v>
      </c>
      <c r="T23" s="3">
        <v>0.21</v>
      </c>
      <c r="U23" s="8">
        <f>S23/T23</f>
        <v>9.5238095238095247E-3</v>
      </c>
    </row>
    <row r="24" spans="1:21" x14ac:dyDescent="0.3">
      <c r="A24" s="375" t="s">
        <v>373</v>
      </c>
      <c r="B24" s="375"/>
      <c r="C24" s="375"/>
      <c r="D24" s="2" t="s">
        <v>374</v>
      </c>
      <c r="E24" s="3">
        <v>0.04</v>
      </c>
      <c r="I24" s="382" t="s">
        <v>368</v>
      </c>
      <c r="J24" s="383"/>
      <c r="K24" s="7">
        <v>2E-3</v>
      </c>
      <c r="L24" s="3">
        <v>0.16</v>
      </c>
      <c r="M24" s="8">
        <f t="shared" si="1"/>
        <v>1.2500000000000001E-2</v>
      </c>
      <c r="Q24" s="377"/>
      <c r="R24" s="378"/>
      <c r="S24" s="378"/>
      <c r="T24" s="378"/>
      <c r="U24" s="379"/>
    </row>
    <row r="25" spans="1:21" x14ac:dyDescent="0.3">
      <c r="A25" s="375" t="s">
        <v>375</v>
      </c>
      <c r="B25" s="375"/>
      <c r="C25" s="375"/>
      <c r="D25" s="2" t="s">
        <v>376</v>
      </c>
      <c r="E25" s="12">
        <f>E16+E23+E24</f>
        <v>3.1354128993369499</v>
      </c>
      <c r="I25" s="377"/>
      <c r="J25" s="378"/>
      <c r="K25" s="378"/>
      <c r="L25" s="378"/>
      <c r="M25" s="379"/>
      <c r="Q25" s="388" t="s">
        <v>371</v>
      </c>
      <c r="R25" s="389"/>
      <c r="S25" s="10">
        <f>SUM(S20:S23)</f>
        <v>0.15</v>
      </c>
      <c r="T25" s="11" t="s">
        <v>372</v>
      </c>
      <c r="U25" s="222">
        <f>SUM(U20:U23)</f>
        <v>1.2928402395440934</v>
      </c>
    </row>
    <row r="26" spans="1:21" x14ac:dyDescent="0.3">
      <c r="A26" s="376" t="s">
        <v>377</v>
      </c>
      <c r="B26" s="376"/>
      <c r="C26" s="376"/>
      <c r="D26" s="13" t="s">
        <v>378</v>
      </c>
      <c r="E26" s="14">
        <f>1/(E16+E23+E24)</f>
        <v>0.31893726029240721</v>
      </c>
      <c r="I26" s="386" t="s">
        <v>371</v>
      </c>
      <c r="J26" s="387"/>
      <c r="K26" s="10">
        <f>SUM(K19:K21)</f>
        <v>0.49</v>
      </c>
      <c r="L26" s="11" t="s">
        <v>372</v>
      </c>
      <c r="M26" s="12">
        <f>SUM(M19:M24)</f>
        <v>4.8746480289621887</v>
      </c>
      <c r="Q26" s="375" t="s">
        <v>373</v>
      </c>
      <c r="R26" s="375"/>
      <c r="S26" s="375"/>
      <c r="T26" s="2" t="s">
        <v>374</v>
      </c>
      <c r="U26" s="3">
        <v>0.04</v>
      </c>
    </row>
    <row r="27" spans="1:21" x14ac:dyDescent="0.3">
      <c r="I27" s="375" t="s">
        <v>373</v>
      </c>
      <c r="J27" s="375"/>
      <c r="K27" s="375"/>
      <c r="L27" s="2" t="s">
        <v>374</v>
      </c>
      <c r="M27" s="3">
        <v>0.04</v>
      </c>
      <c r="Q27" s="375" t="s">
        <v>375</v>
      </c>
      <c r="R27" s="375"/>
      <c r="S27" s="375"/>
      <c r="T27" s="2" t="s">
        <v>376</v>
      </c>
      <c r="U27" s="12">
        <f>U18+U25+U26</f>
        <v>1.5028402395440934</v>
      </c>
    </row>
    <row r="28" spans="1:21" x14ac:dyDescent="0.3">
      <c r="A28" s="1" t="s">
        <v>390</v>
      </c>
      <c r="B28" s="390" t="s">
        <v>391</v>
      </c>
      <c r="C28" s="391"/>
      <c r="D28" s="391"/>
      <c r="E28" s="1">
        <v>307.8</v>
      </c>
      <c r="I28" s="375" t="s">
        <v>375</v>
      </c>
      <c r="J28" s="375"/>
      <c r="K28" s="375"/>
      <c r="L28" s="2" t="s">
        <v>376</v>
      </c>
      <c r="M28" s="12">
        <f>M17+M26+M27</f>
        <v>5.0146480289621884</v>
      </c>
      <c r="Q28" s="376" t="s">
        <v>377</v>
      </c>
      <c r="R28" s="376"/>
      <c r="S28" s="376"/>
      <c r="T28" s="13" t="s">
        <v>378</v>
      </c>
      <c r="U28" s="14">
        <v>0.22</v>
      </c>
    </row>
    <row r="29" spans="1:21" x14ac:dyDescent="0.3">
      <c r="A29" s="375" t="s">
        <v>351</v>
      </c>
      <c r="B29" s="375"/>
      <c r="C29" s="375"/>
      <c r="D29" s="2" t="s">
        <v>352</v>
      </c>
      <c r="E29" s="3">
        <v>0.13</v>
      </c>
      <c r="I29" s="376" t="s">
        <v>377</v>
      </c>
      <c r="J29" s="376"/>
      <c r="K29" s="376"/>
      <c r="L29" s="13" t="s">
        <v>378</v>
      </c>
      <c r="M29" s="14">
        <f>1/(M17+M26+M27)</f>
        <v>0.19941579034550028</v>
      </c>
    </row>
    <row r="30" spans="1:21" ht="15" x14ac:dyDescent="0.35">
      <c r="A30" s="380" t="s">
        <v>355</v>
      </c>
      <c r="B30" s="381"/>
      <c r="C30" s="5" t="s">
        <v>356</v>
      </c>
      <c r="D30" s="6" t="s">
        <v>357</v>
      </c>
      <c r="E30" s="4" t="s">
        <v>358</v>
      </c>
      <c r="Q30" s="1"/>
      <c r="R30" s="390"/>
      <c r="S30" s="391"/>
      <c r="T30" s="392"/>
      <c r="U30" s="101"/>
    </row>
    <row r="31" spans="1:21" x14ac:dyDescent="0.3">
      <c r="A31" s="382" t="s">
        <v>359</v>
      </c>
      <c r="B31" s="383"/>
      <c r="C31" s="7">
        <v>1.2E-2</v>
      </c>
      <c r="D31" s="3">
        <v>0.9</v>
      </c>
      <c r="E31" s="8">
        <f>C31/D31</f>
        <v>1.3333333333333332E-2</v>
      </c>
      <c r="I31" s="1"/>
      <c r="J31" s="390"/>
      <c r="K31" s="391"/>
      <c r="L31" s="392"/>
      <c r="M31" s="1"/>
      <c r="Q31" s="375"/>
      <c r="R31" s="375"/>
      <c r="S31" s="375"/>
      <c r="T31" s="2"/>
      <c r="U31" s="3"/>
    </row>
    <row r="32" spans="1:21" x14ac:dyDescent="0.3">
      <c r="A32" s="382" t="s">
        <v>392</v>
      </c>
      <c r="B32" s="383"/>
      <c r="C32" s="7">
        <v>0.15</v>
      </c>
      <c r="D32" s="9">
        <v>1.7</v>
      </c>
      <c r="E32" s="8">
        <f>C32/D32</f>
        <v>8.8235294117647065E-2</v>
      </c>
      <c r="I32" s="375"/>
      <c r="J32" s="375"/>
      <c r="K32" s="375"/>
      <c r="L32" s="2"/>
      <c r="M32" s="3"/>
      <c r="Q32" s="384"/>
      <c r="R32" s="385"/>
      <c r="S32" s="5"/>
      <c r="T32" s="6"/>
      <c r="U32" s="4"/>
    </row>
    <row r="33" spans="1:21" x14ac:dyDescent="0.3">
      <c r="A33" s="382" t="s">
        <v>393</v>
      </c>
      <c r="B33" s="383"/>
      <c r="C33" s="7">
        <v>0.3</v>
      </c>
      <c r="D33" s="3">
        <v>0.3</v>
      </c>
      <c r="E33" s="8">
        <f>C33/D33</f>
        <v>1</v>
      </c>
      <c r="I33" s="380"/>
      <c r="J33" s="381"/>
      <c r="K33" s="5"/>
      <c r="L33" s="6"/>
      <c r="M33" s="4"/>
      <c r="Q33" s="382"/>
      <c r="R33" s="383"/>
      <c r="S33" s="7"/>
      <c r="T33" s="3"/>
      <c r="U33" s="8"/>
    </row>
    <row r="34" spans="1:21" x14ac:dyDescent="0.3">
      <c r="A34" s="382"/>
      <c r="B34" s="383"/>
      <c r="C34" s="7"/>
      <c r="D34" s="3"/>
      <c r="E34" s="8"/>
      <c r="I34" s="382"/>
      <c r="J34" s="383"/>
      <c r="K34" s="7"/>
      <c r="L34" s="3"/>
      <c r="M34" s="8"/>
      <c r="Q34" s="382"/>
      <c r="R34" s="383"/>
      <c r="S34" s="7"/>
      <c r="T34" s="9"/>
      <c r="U34" s="8"/>
    </row>
    <row r="35" spans="1:21" x14ac:dyDescent="0.3">
      <c r="A35" s="382"/>
      <c r="B35" s="383"/>
      <c r="C35" s="7"/>
      <c r="D35" s="3"/>
      <c r="E35" s="8"/>
      <c r="I35" s="382"/>
      <c r="J35" s="383"/>
      <c r="K35" s="7"/>
      <c r="L35" s="9"/>
      <c r="M35" s="8"/>
      <c r="Q35" s="382"/>
      <c r="R35" s="383"/>
      <c r="S35" s="7"/>
      <c r="T35" s="3"/>
      <c r="U35" s="8"/>
    </row>
    <row r="36" spans="1:21" x14ac:dyDescent="0.3">
      <c r="A36" s="382"/>
      <c r="B36" s="383"/>
      <c r="C36" s="7"/>
      <c r="D36" s="3"/>
      <c r="E36" s="8"/>
      <c r="I36" s="382"/>
      <c r="J36" s="383"/>
      <c r="K36" s="7"/>
      <c r="L36" s="3"/>
      <c r="M36" s="8"/>
      <c r="Q36" s="382"/>
      <c r="R36" s="383"/>
      <c r="S36" s="7"/>
      <c r="T36" s="3"/>
      <c r="U36" s="8"/>
    </row>
    <row r="37" spans="1:21" x14ac:dyDescent="0.3">
      <c r="A37" s="377"/>
      <c r="B37" s="378"/>
      <c r="C37" s="378"/>
      <c r="D37" s="378"/>
      <c r="E37" s="379"/>
      <c r="I37" s="382"/>
      <c r="J37" s="383"/>
      <c r="K37" s="7"/>
      <c r="L37" s="3"/>
      <c r="M37" s="8"/>
      <c r="Q37" s="377"/>
      <c r="R37" s="378"/>
      <c r="S37" s="378"/>
      <c r="T37" s="378"/>
      <c r="U37" s="379"/>
    </row>
    <row r="38" spans="1:21" x14ac:dyDescent="0.3">
      <c r="A38" s="386" t="s">
        <v>371</v>
      </c>
      <c r="B38" s="387"/>
      <c r="C38" s="10">
        <f>SUM(C31:C36)</f>
        <v>0.46199999999999997</v>
      </c>
      <c r="D38" s="11" t="s">
        <v>372</v>
      </c>
      <c r="E38" s="12">
        <f>SUM(E31:E36)</f>
        <v>1.1015686274509804</v>
      </c>
      <c r="I38" s="382"/>
      <c r="J38" s="383"/>
      <c r="K38" s="7"/>
      <c r="L38" s="3"/>
      <c r="M38" s="8"/>
      <c r="Q38" s="388"/>
      <c r="R38" s="389"/>
      <c r="S38" s="10"/>
      <c r="T38" s="11"/>
      <c r="U38" s="222"/>
    </row>
    <row r="39" spans="1:21" x14ac:dyDescent="0.3">
      <c r="A39" s="375" t="s">
        <v>373</v>
      </c>
      <c r="B39" s="375"/>
      <c r="C39" s="375"/>
      <c r="D39" s="2" t="s">
        <v>374</v>
      </c>
      <c r="E39" s="3">
        <v>0.04</v>
      </c>
      <c r="I39" s="377"/>
      <c r="J39" s="378"/>
      <c r="K39" s="378"/>
      <c r="L39" s="378"/>
      <c r="M39" s="379"/>
      <c r="Q39" s="375"/>
      <c r="R39" s="375"/>
      <c r="S39" s="375"/>
      <c r="T39" s="2"/>
      <c r="U39" s="3"/>
    </row>
    <row r="40" spans="1:21" x14ac:dyDescent="0.3">
      <c r="A40" s="375" t="s">
        <v>375</v>
      </c>
      <c r="B40" s="375"/>
      <c r="C40" s="375"/>
      <c r="D40" s="2" t="s">
        <v>376</v>
      </c>
      <c r="E40" s="12">
        <f>E29+E38+E39</f>
        <v>1.2715686274509803</v>
      </c>
      <c r="I40" s="386"/>
      <c r="J40" s="387"/>
      <c r="K40" s="10"/>
      <c r="L40" s="11"/>
      <c r="M40" s="12"/>
      <c r="Q40" s="375"/>
      <c r="R40" s="375"/>
      <c r="S40" s="375"/>
      <c r="T40" s="2"/>
      <c r="U40" s="12"/>
    </row>
    <row r="41" spans="1:21" x14ac:dyDescent="0.3">
      <c r="A41" s="376" t="s">
        <v>377</v>
      </c>
      <c r="B41" s="376"/>
      <c r="C41" s="376"/>
      <c r="D41" s="13" t="s">
        <v>378</v>
      </c>
      <c r="E41" s="14">
        <f>1/(E29+E38+E39)</f>
        <v>0.78643022359290671</v>
      </c>
      <c r="I41" s="375"/>
      <c r="J41" s="375"/>
      <c r="K41" s="375"/>
      <c r="L41" s="2"/>
      <c r="M41" s="3"/>
      <c r="Q41" s="376"/>
      <c r="R41" s="376"/>
      <c r="S41" s="376"/>
      <c r="T41" s="13"/>
      <c r="U41" s="14"/>
    </row>
    <row r="42" spans="1:21" x14ac:dyDescent="0.3">
      <c r="I42" s="375"/>
      <c r="J42" s="375"/>
      <c r="K42" s="375"/>
      <c r="L42" s="2"/>
      <c r="M42" s="12"/>
    </row>
    <row r="43" spans="1:21" x14ac:dyDescent="0.3">
      <c r="A43" s="1" t="s">
        <v>394</v>
      </c>
      <c r="B43" s="390" t="s">
        <v>395</v>
      </c>
      <c r="C43" s="391"/>
      <c r="D43" s="391"/>
      <c r="E43" s="1">
        <v>333</v>
      </c>
      <c r="I43" s="376"/>
      <c r="J43" s="376"/>
      <c r="K43" s="376"/>
      <c r="L43" s="13"/>
      <c r="M43" s="14"/>
    </row>
    <row r="44" spans="1:21" x14ac:dyDescent="0.3">
      <c r="A44" s="375" t="s">
        <v>351</v>
      </c>
      <c r="B44" s="375"/>
      <c r="C44" s="375"/>
      <c r="D44" s="2" t="s">
        <v>352</v>
      </c>
      <c r="E44" s="3">
        <v>0.13</v>
      </c>
    </row>
    <row r="45" spans="1:21" ht="15" x14ac:dyDescent="0.35">
      <c r="A45" s="380" t="s">
        <v>355</v>
      </c>
      <c r="B45" s="381"/>
      <c r="C45" s="5" t="s">
        <v>356</v>
      </c>
      <c r="D45" s="6" t="s">
        <v>357</v>
      </c>
      <c r="E45" s="4" t="s">
        <v>358</v>
      </c>
      <c r="I45" s="1"/>
      <c r="J45" s="390"/>
      <c r="K45" s="391"/>
      <c r="L45" s="392"/>
      <c r="M45" s="1"/>
    </row>
    <row r="46" spans="1:21" x14ac:dyDescent="0.3">
      <c r="A46" s="382" t="s">
        <v>359</v>
      </c>
      <c r="B46" s="383"/>
      <c r="C46" s="7">
        <v>1.2E-2</v>
      </c>
      <c r="D46" s="3">
        <v>0.9</v>
      </c>
      <c r="E46" s="8">
        <f>C46/D46</f>
        <v>1.3333333333333332E-2</v>
      </c>
      <c r="I46" s="375"/>
      <c r="J46" s="375"/>
      <c r="K46" s="375"/>
      <c r="L46" s="2"/>
      <c r="M46" s="3"/>
    </row>
    <row r="47" spans="1:21" x14ac:dyDescent="0.3">
      <c r="A47" s="382" t="s">
        <v>396</v>
      </c>
      <c r="B47" s="383"/>
      <c r="C47" s="7">
        <v>0.4</v>
      </c>
      <c r="D47" s="9">
        <v>0.35</v>
      </c>
      <c r="E47" s="8">
        <f>C47/D47</f>
        <v>1.142857142857143</v>
      </c>
      <c r="I47" s="380"/>
      <c r="J47" s="381"/>
      <c r="K47" s="5"/>
      <c r="L47" s="6"/>
      <c r="M47" s="4"/>
    </row>
    <row r="48" spans="1:21" x14ac:dyDescent="0.3">
      <c r="A48" s="382" t="s">
        <v>360</v>
      </c>
      <c r="B48" s="383"/>
      <c r="C48" s="7">
        <v>0.08</v>
      </c>
      <c r="D48" s="3">
        <v>0.04</v>
      </c>
      <c r="E48" s="8">
        <f>C48/D48</f>
        <v>2</v>
      </c>
      <c r="I48" s="382"/>
      <c r="J48" s="383"/>
      <c r="K48" s="7"/>
      <c r="L48" s="3"/>
      <c r="M48" s="8"/>
    </row>
    <row r="49" spans="1:13" x14ac:dyDescent="0.3">
      <c r="A49" s="382"/>
      <c r="B49" s="383"/>
      <c r="C49" s="7"/>
      <c r="D49" s="3"/>
      <c r="E49" s="8"/>
      <c r="I49" s="382"/>
      <c r="J49" s="383"/>
      <c r="K49" s="7"/>
      <c r="L49" s="9"/>
      <c r="M49" s="8"/>
    </row>
    <row r="50" spans="1:13" x14ac:dyDescent="0.3">
      <c r="A50" s="377"/>
      <c r="B50" s="378"/>
      <c r="C50" s="378"/>
      <c r="D50" s="378"/>
      <c r="E50" s="379"/>
      <c r="I50" s="382"/>
      <c r="J50" s="383"/>
      <c r="K50" s="7"/>
      <c r="L50" s="3"/>
      <c r="M50" s="8"/>
    </row>
    <row r="51" spans="1:13" x14ac:dyDescent="0.3">
      <c r="A51" s="386" t="s">
        <v>371</v>
      </c>
      <c r="B51" s="387"/>
      <c r="C51" s="10">
        <f>SUM(C46:C48)</f>
        <v>0.49200000000000005</v>
      </c>
      <c r="D51" s="11" t="s">
        <v>372</v>
      </c>
      <c r="E51" s="12">
        <f>SUM(E46:E49)</f>
        <v>3.1561904761904764</v>
      </c>
      <c r="I51" s="382"/>
      <c r="J51" s="383"/>
      <c r="K51" s="7"/>
      <c r="L51" s="3"/>
      <c r="M51" s="8"/>
    </row>
    <row r="52" spans="1:13" x14ac:dyDescent="0.3">
      <c r="A52" s="375" t="s">
        <v>373</v>
      </c>
      <c r="B52" s="375"/>
      <c r="C52" s="375"/>
      <c r="D52" s="2" t="s">
        <v>374</v>
      </c>
      <c r="E52" s="3">
        <v>0.04</v>
      </c>
      <c r="I52" s="382"/>
      <c r="J52" s="383"/>
      <c r="K52" s="7"/>
      <c r="L52" s="3"/>
      <c r="M52" s="8"/>
    </row>
    <row r="53" spans="1:13" x14ac:dyDescent="0.3">
      <c r="A53" s="375" t="s">
        <v>375</v>
      </c>
      <c r="B53" s="375"/>
      <c r="C53" s="375"/>
      <c r="D53" s="2" t="s">
        <v>376</v>
      </c>
      <c r="E53" s="12">
        <f>E44+E51+E52</f>
        <v>3.3261904761904764</v>
      </c>
      <c r="I53" s="382"/>
      <c r="J53" s="383"/>
      <c r="K53" s="7"/>
      <c r="L53" s="3"/>
      <c r="M53" s="8"/>
    </row>
    <row r="54" spans="1:13" x14ac:dyDescent="0.3">
      <c r="A54" s="376" t="s">
        <v>377</v>
      </c>
      <c r="B54" s="376"/>
      <c r="C54" s="376"/>
      <c r="D54" s="13" t="s">
        <v>378</v>
      </c>
      <c r="E54" s="14">
        <f>1/(E44+E51+E52)</f>
        <v>0.30064423765211168</v>
      </c>
      <c r="I54" s="377"/>
      <c r="J54" s="378"/>
      <c r="K54" s="378"/>
      <c r="L54" s="378"/>
      <c r="M54" s="379"/>
    </row>
    <row r="55" spans="1:13" x14ac:dyDescent="0.3">
      <c r="I55" s="386"/>
      <c r="J55" s="387"/>
      <c r="K55" s="10"/>
      <c r="L55" s="11"/>
      <c r="M55" s="12"/>
    </row>
    <row r="56" spans="1:13" x14ac:dyDescent="0.3">
      <c r="A56" s="1" t="s">
        <v>397</v>
      </c>
      <c r="B56" s="390" t="s">
        <v>398</v>
      </c>
      <c r="C56" s="391"/>
      <c r="D56" s="391"/>
      <c r="E56" s="1">
        <v>1912.6</v>
      </c>
      <c r="I56" s="375"/>
      <c r="J56" s="375"/>
      <c r="K56" s="375"/>
      <c r="L56" s="2"/>
      <c r="M56" s="3"/>
    </row>
    <row r="57" spans="1:13" x14ac:dyDescent="0.3">
      <c r="A57" s="375" t="s">
        <v>351</v>
      </c>
      <c r="B57" s="375"/>
      <c r="C57" s="375"/>
      <c r="D57" s="2" t="s">
        <v>352</v>
      </c>
      <c r="E57" s="3">
        <v>0.13</v>
      </c>
      <c r="I57" s="375"/>
      <c r="J57" s="375"/>
      <c r="K57" s="375"/>
      <c r="L57" s="2"/>
      <c r="M57" s="12"/>
    </row>
    <row r="58" spans="1:13" ht="15" x14ac:dyDescent="0.35">
      <c r="A58" s="380" t="s">
        <v>355</v>
      </c>
      <c r="B58" s="381"/>
      <c r="C58" s="5" t="s">
        <v>356</v>
      </c>
      <c r="D58" s="6" t="s">
        <v>357</v>
      </c>
      <c r="E58" s="4" t="s">
        <v>358</v>
      </c>
      <c r="I58" s="376"/>
      <c r="J58" s="376"/>
      <c r="K58" s="376"/>
      <c r="L58" s="13"/>
      <c r="M58" s="14"/>
    </row>
    <row r="59" spans="1:13" x14ac:dyDescent="0.3">
      <c r="A59" s="382" t="s">
        <v>359</v>
      </c>
      <c r="B59" s="383"/>
      <c r="C59" s="7">
        <v>1.5E-3</v>
      </c>
      <c r="D59" s="3">
        <v>0.9</v>
      </c>
      <c r="E59" s="8">
        <f>C59/D59</f>
        <v>1.6666666666666666E-3</v>
      </c>
    </row>
    <row r="60" spans="1:13" x14ac:dyDescent="0.3">
      <c r="A60" s="382" t="s">
        <v>392</v>
      </c>
      <c r="B60" s="383"/>
      <c r="C60" s="7">
        <v>0.15</v>
      </c>
      <c r="D60" s="9">
        <v>1.7</v>
      </c>
      <c r="E60" s="8">
        <f>C60/D60</f>
        <v>8.8235294117647065E-2</v>
      </c>
      <c r="I60" s="1"/>
      <c r="J60" s="390"/>
      <c r="K60" s="391"/>
      <c r="L60" s="392"/>
      <c r="M60" s="1"/>
    </row>
    <row r="61" spans="1:13" x14ac:dyDescent="0.3">
      <c r="A61" s="382" t="s">
        <v>360</v>
      </c>
      <c r="B61" s="383"/>
      <c r="C61" s="7">
        <v>0.08</v>
      </c>
      <c r="D61" s="3">
        <v>0.04</v>
      </c>
      <c r="E61" s="8">
        <f>C61/D61</f>
        <v>2</v>
      </c>
      <c r="I61" s="375"/>
      <c r="J61" s="375"/>
      <c r="K61" s="375"/>
      <c r="L61" s="2"/>
      <c r="M61" s="3"/>
    </row>
    <row r="62" spans="1:13" x14ac:dyDescent="0.3">
      <c r="A62" s="382"/>
      <c r="B62" s="383"/>
      <c r="C62" s="7"/>
      <c r="D62" s="3"/>
      <c r="E62" s="8"/>
      <c r="I62" s="380"/>
      <c r="J62" s="381"/>
      <c r="K62" s="5"/>
      <c r="L62" s="6"/>
      <c r="M62" s="4"/>
    </row>
    <row r="63" spans="1:13" x14ac:dyDescent="0.3">
      <c r="A63" s="377"/>
      <c r="B63" s="378"/>
      <c r="C63" s="378"/>
      <c r="D63" s="378"/>
      <c r="E63" s="379"/>
      <c r="I63" s="382"/>
      <c r="J63" s="383"/>
      <c r="K63" s="7"/>
      <c r="L63" s="3"/>
      <c r="M63" s="8"/>
    </row>
    <row r="64" spans="1:13" x14ac:dyDescent="0.3">
      <c r="A64" s="386" t="s">
        <v>371</v>
      </c>
      <c r="B64" s="387"/>
      <c r="C64" s="10">
        <f>SUM(C59:C61)</f>
        <v>0.23149999999999998</v>
      </c>
      <c r="D64" s="11" t="s">
        <v>372</v>
      </c>
      <c r="E64" s="12">
        <f>SUM(E59:E62)</f>
        <v>2.0899019607843137</v>
      </c>
      <c r="I64" s="382"/>
      <c r="J64" s="383"/>
      <c r="K64" s="7"/>
      <c r="L64" s="9"/>
      <c r="M64" s="8"/>
    </row>
    <row r="65" spans="1:13" x14ac:dyDescent="0.3">
      <c r="A65" s="375" t="s">
        <v>373</v>
      </c>
      <c r="B65" s="375"/>
      <c r="C65" s="375"/>
      <c r="D65" s="2" t="s">
        <v>374</v>
      </c>
      <c r="E65" s="3">
        <v>0.04</v>
      </c>
      <c r="I65" s="382"/>
      <c r="J65" s="383"/>
      <c r="K65" s="7"/>
      <c r="L65" s="3"/>
      <c r="M65" s="8"/>
    </row>
    <row r="66" spans="1:13" x14ac:dyDescent="0.3">
      <c r="A66" s="375" t="s">
        <v>375</v>
      </c>
      <c r="B66" s="375"/>
      <c r="C66" s="375"/>
      <c r="D66" s="2" t="s">
        <v>376</v>
      </c>
      <c r="E66" s="12">
        <f>E57+E64+E65</f>
        <v>2.2599019607843136</v>
      </c>
      <c r="I66" s="382"/>
      <c r="J66" s="383"/>
      <c r="K66" s="7"/>
      <c r="L66" s="3"/>
      <c r="M66" s="8"/>
    </row>
    <row r="67" spans="1:13" x14ac:dyDescent="0.3">
      <c r="A67" s="376" t="s">
        <v>377</v>
      </c>
      <c r="B67" s="376"/>
      <c r="C67" s="376"/>
      <c r="D67" s="13" t="s">
        <v>378</v>
      </c>
      <c r="E67" s="14">
        <f>1/(E57+E64+E65)</f>
        <v>0.44249707171055486</v>
      </c>
      <c r="I67" s="382"/>
      <c r="J67" s="383"/>
      <c r="K67" s="7"/>
      <c r="L67" s="3"/>
      <c r="M67" s="8"/>
    </row>
    <row r="68" spans="1:13" x14ac:dyDescent="0.3">
      <c r="I68" s="377"/>
      <c r="J68" s="378"/>
      <c r="K68" s="378"/>
      <c r="L68" s="378"/>
      <c r="M68" s="379"/>
    </row>
    <row r="69" spans="1:13" x14ac:dyDescent="0.3">
      <c r="I69" s="386"/>
      <c r="J69" s="387"/>
      <c r="K69" s="10"/>
      <c r="L69" s="11"/>
      <c r="M69" s="12"/>
    </row>
    <row r="70" spans="1:13" x14ac:dyDescent="0.3">
      <c r="I70" s="375"/>
      <c r="J70" s="375"/>
      <c r="K70" s="375"/>
      <c r="L70" s="2"/>
      <c r="M70" s="3"/>
    </row>
    <row r="71" spans="1:13" x14ac:dyDescent="0.3">
      <c r="I71" s="375"/>
      <c r="J71" s="375"/>
      <c r="K71" s="375"/>
      <c r="L71" s="2"/>
      <c r="M71" s="12"/>
    </row>
    <row r="72" spans="1:13" x14ac:dyDescent="0.3">
      <c r="I72" s="376"/>
      <c r="J72" s="376"/>
      <c r="K72" s="376"/>
      <c r="L72" s="13"/>
      <c r="M72" s="14"/>
    </row>
    <row r="74" spans="1:13" x14ac:dyDescent="0.3">
      <c r="I74" s="1"/>
      <c r="J74" s="390"/>
      <c r="K74" s="391"/>
      <c r="L74" s="392"/>
      <c r="M74" s="1"/>
    </row>
    <row r="75" spans="1:13" x14ac:dyDescent="0.3">
      <c r="I75" s="375"/>
      <c r="J75" s="375"/>
      <c r="K75" s="375"/>
      <c r="L75" s="2"/>
      <c r="M75" s="3"/>
    </row>
    <row r="76" spans="1:13" x14ac:dyDescent="0.3">
      <c r="I76" s="380"/>
      <c r="J76" s="381"/>
      <c r="K76" s="5"/>
      <c r="L76" s="6"/>
      <c r="M76" s="4"/>
    </row>
    <row r="77" spans="1:13" x14ac:dyDescent="0.3">
      <c r="I77" s="382"/>
      <c r="J77" s="383"/>
      <c r="K77" s="7"/>
      <c r="L77" s="3"/>
      <c r="M77" s="8"/>
    </row>
    <row r="78" spans="1:13" x14ac:dyDescent="0.3">
      <c r="I78" s="382"/>
      <c r="J78" s="383"/>
      <c r="K78" s="7"/>
      <c r="L78" s="9"/>
      <c r="M78" s="8"/>
    </row>
    <row r="79" spans="1:13" x14ac:dyDescent="0.3">
      <c r="I79" s="382"/>
      <c r="J79" s="383"/>
      <c r="K79" s="7"/>
      <c r="L79" s="3"/>
      <c r="M79" s="8"/>
    </row>
    <row r="80" spans="1:13" x14ac:dyDescent="0.3">
      <c r="I80" s="382"/>
      <c r="J80" s="383"/>
      <c r="K80" s="7"/>
      <c r="L80" s="3"/>
      <c r="M80" s="8"/>
    </row>
    <row r="81" spans="9:13" x14ac:dyDescent="0.3">
      <c r="I81" s="382"/>
      <c r="J81" s="383"/>
      <c r="K81" s="7"/>
      <c r="L81" s="3"/>
      <c r="M81" s="8"/>
    </row>
    <row r="82" spans="9:13" x14ac:dyDescent="0.3">
      <c r="I82" s="377"/>
      <c r="J82" s="378"/>
      <c r="K82" s="378"/>
      <c r="L82" s="378"/>
      <c r="M82" s="379"/>
    </row>
    <row r="83" spans="9:13" x14ac:dyDescent="0.3">
      <c r="I83" s="386"/>
      <c r="J83" s="387"/>
      <c r="K83" s="10"/>
      <c r="L83" s="11"/>
      <c r="M83" s="12"/>
    </row>
    <row r="84" spans="9:13" x14ac:dyDescent="0.3">
      <c r="I84" s="375"/>
      <c r="J84" s="375"/>
      <c r="K84" s="375"/>
      <c r="L84" s="2"/>
      <c r="M84" s="3"/>
    </row>
    <row r="85" spans="9:13" x14ac:dyDescent="0.3">
      <c r="I85" s="375"/>
      <c r="J85" s="375"/>
      <c r="K85" s="375"/>
      <c r="L85" s="2"/>
      <c r="M85" s="12"/>
    </row>
    <row r="86" spans="9:13" x14ac:dyDescent="0.3">
      <c r="I86" s="376"/>
      <c r="J86" s="376"/>
      <c r="K86" s="376"/>
      <c r="L86" s="13"/>
      <c r="M86" s="14"/>
    </row>
  </sheetData>
  <mergeCells count="181">
    <mergeCell ref="I84:K84"/>
    <mergeCell ref="I85:K85"/>
    <mergeCell ref="I86:K86"/>
    <mergeCell ref="I79:J79"/>
    <mergeCell ref="I80:J80"/>
    <mergeCell ref="I81:J81"/>
    <mergeCell ref="I82:M82"/>
    <mergeCell ref="I83:J83"/>
    <mergeCell ref="J74:L74"/>
    <mergeCell ref="I75:K75"/>
    <mergeCell ref="I76:J76"/>
    <mergeCell ref="I77:J77"/>
    <mergeCell ref="I78:J78"/>
    <mergeCell ref="I70:K70"/>
    <mergeCell ref="I71:K71"/>
    <mergeCell ref="I72:K72"/>
    <mergeCell ref="I7:J7"/>
    <mergeCell ref="I22:J22"/>
    <mergeCell ref="I23:J23"/>
    <mergeCell ref="I37:J37"/>
    <mergeCell ref="I51:J51"/>
    <mergeCell ref="I52:J52"/>
    <mergeCell ref="I66:J66"/>
    <mergeCell ref="I64:J64"/>
    <mergeCell ref="I65:J65"/>
    <mergeCell ref="I67:J67"/>
    <mergeCell ref="I68:M68"/>
    <mergeCell ref="I69:J69"/>
    <mergeCell ref="I58:K58"/>
    <mergeCell ref="J60:L60"/>
    <mergeCell ref="I61:K61"/>
    <mergeCell ref="I62:J62"/>
    <mergeCell ref="I63:J63"/>
    <mergeCell ref="I53:J53"/>
    <mergeCell ref="I54:M54"/>
    <mergeCell ref="I55:J55"/>
    <mergeCell ref="I56:K56"/>
    <mergeCell ref="I57:K57"/>
    <mergeCell ref="I46:K46"/>
    <mergeCell ref="I47:J47"/>
    <mergeCell ref="I48:J48"/>
    <mergeCell ref="I49:J49"/>
    <mergeCell ref="I50:J50"/>
    <mergeCell ref="A67:C67"/>
    <mergeCell ref="Q7:R7"/>
    <mergeCell ref="Q9:R9"/>
    <mergeCell ref="J31:L31"/>
    <mergeCell ref="I32:K32"/>
    <mergeCell ref="I33:J33"/>
    <mergeCell ref="I34:J34"/>
    <mergeCell ref="I35:J35"/>
    <mergeCell ref="I36:J36"/>
    <mergeCell ref="I38:J38"/>
    <mergeCell ref="I39:M39"/>
    <mergeCell ref="I40:J40"/>
    <mergeCell ref="I41:K41"/>
    <mergeCell ref="I42:K42"/>
    <mergeCell ref="I43:K43"/>
    <mergeCell ref="J45:L45"/>
    <mergeCell ref="A62:B62"/>
    <mergeCell ref="A63:E63"/>
    <mergeCell ref="A41:C41"/>
    <mergeCell ref="A64:B64"/>
    <mergeCell ref="A65:C65"/>
    <mergeCell ref="A66:C66"/>
    <mergeCell ref="A57:C57"/>
    <mergeCell ref="A58:B58"/>
    <mergeCell ref="A59:B59"/>
    <mergeCell ref="A60:B60"/>
    <mergeCell ref="A61:B61"/>
    <mergeCell ref="A53:C53"/>
    <mergeCell ref="A54:C54"/>
    <mergeCell ref="B56:D56"/>
    <mergeCell ref="A48:B48"/>
    <mergeCell ref="A49:B49"/>
    <mergeCell ref="A50:E50"/>
    <mergeCell ref="A51:B51"/>
    <mergeCell ref="A52:C52"/>
    <mergeCell ref="B43:D43"/>
    <mergeCell ref="A44:C44"/>
    <mergeCell ref="A45:B45"/>
    <mergeCell ref="A46:B46"/>
    <mergeCell ref="A47:B47"/>
    <mergeCell ref="A34:B34"/>
    <mergeCell ref="A13:C13"/>
    <mergeCell ref="A17:B17"/>
    <mergeCell ref="A18:B18"/>
    <mergeCell ref="A19:B19"/>
    <mergeCell ref="A20:B20"/>
    <mergeCell ref="A21:B21"/>
    <mergeCell ref="B15:D15"/>
    <mergeCell ref="A16:C16"/>
    <mergeCell ref="B28:D28"/>
    <mergeCell ref="B1:D1"/>
    <mergeCell ref="J1:L1"/>
    <mergeCell ref="R1:T1"/>
    <mergeCell ref="Q2:S2"/>
    <mergeCell ref="I2:K2"/>
    <mergeCell ref="A22:E22"/>
    <mergeCell ref="A23:B23"/>
    <mergeCell ref="A24:C24"/>
    <mergeCell ref="A25:C25"/>
    <mergeCell ref="A2:C2"/>
    <mergeCell ref="A10:B10"/>
    <mergeCell ref="A11:C11"/>
    <mergeCell ref="A3:B3"/>
    <mergeCell ref="A4:B4"/>
    <mergeCell ref="A5:B5"/>
    <mergeCell ref="A6:B6"/>
    <mergeCell ref="A7:B7"/>
    <mergeCell ref="A12:C12"/>
    <mergeCell ref="A9:E9"/>
    <mergeCell ref="I21:J21"/>
    <mergeCell ref="I24:J24"/>
    <mergeCell ref="I3:J3"/>
    <mergeCell ref="Q10:R10"/>
    <mergeCell ref="I10:M10"/>
    <mergeCell ref="I11:J11"/>
    <mergeCell ref="I12:K12"/>
    <mergeCell ref="I9:J9"/>
    <mergeCell ref="Q14:S14"/>
    <mergeCell ref="Q15:S15"/>
    <mergeCell ref="Q18:S18"/>
    <mergeCell ref="Q24:U24"/>
    <mergeCell ref="Q22:R22"/>
    <mergeCell ref="Q3:R3"/>
    <mergeCell ref="Q4:R4"/>
    <mergeCell ref="Q5:R5"/>
    <mergeCell ref="Q6:R6"/>
    <mergeCell ref="I4:J4"/>
    <mergeCell ref="I5:J5"/>
    <mergeCell ref="I6:J6"/>
    <mergeCell ref="I8:J8"/>
    <mergeCell ref="Q38:R38"/>
    <mergeCell ref="Q39:S39"/>
    <mergeCell ref="Q34:R34"/>
    <mergeCell ref="Q11:U11"/>
    <mergeCell ref="Q12:R12"/>
    <mergeCell ref="Q13:S13"/>
    <mergeCell ref="I25:M25"/>
    <mergeCell ref="I13:K13"/>
    <mergeCell ref="I14:K14"/>
    <mergeCell ref="I17:K17"/>
    <mergeCell ref="I26:J26"/>
    <mergeCell ref="J16:L16"/>
    <mergeCell ref="R17:T17"/>
    <mergeCell ref="R30:T30"/>
    <mergeCell ref="I18:J18"/>
    <mergeCell ref="I19:J19"/>
    <mergeCell ref="I20:J20"/>
    <mergeCell ref="Q23:R23"/>
    <mergeCell ref="Q27:S27"/>
    <mergeCell ref="Q28:S28"/>
    <mergeCell ref="Q25:R25"/>
    <mergeCell ref="Q19:R19"/>
    <mergeCell ref="Q20:R20"/>
    <mergeCell ref="Q21:R21"/>
    <mergeCell ref="Q40:S40"/>
    <mergeCell ref="Q41:S41"/>
    <mergeCell ref="A29:C29"/>
    <mergeCell ref="A37:E37"/>
    <mergeCell ref="Q31:S31"/>
    <mergeCell ref="Q37:U37"/>
    <mergeCell ref="A26:C26"/>
    <mergeCell ref="A30:B30"/>
    <mergeCell ref="A31:B31"/>
    <mergeCell ref="A32:B32"/>
    <mergeCell ref="A33:B33"/>
    <mergeCell ref="A36:B36"/>
    <mergeCell ref="Q32:R32"/>
    <mergeCell ref="Q33:R33"/>
    <mergeCell ref="I27:K27"/>
    <mergeCell ref="I28:K28"/>
    <mergeCell ref="I29:K29"/>
    <mergeCell ref="Q35:R35"/>
    <mergeCell ref="Q36:R36"/>
    <mergeCell ref="A35:B35"/>
    <mergeCell ref="A38:B38"/>
    <mergeCell ref="A39:C39"/>
    <mergeCell ref="Q26:S26"/>
    <mergeCell ref="A40:C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6"/>
  <sheetViews>
    <sheetView topLeftCell="I8" workbookViewId="0">
      <selection activeCell="W16" sqref="W16"/>
    </sheetView>
  </sheetViews>
  <sheetFormatPr defaultColWidth="8.88671875" defaultRowHeight="14.4" x14ac:dyDescent="0.3"/>
  <cols>
    <col min="1" max="1" width="3.88671875" bestFit="1" customWidth="1"/>
    <col min="2" max="2" width="34.44140625" customWidth="1"/>
    <col min="3" max="3" width="7.5546875" customWidth="1"/>
    <col min="4" max="4" width="9.44140625" bestFit="1" customWidth="1"/>
    <col min="5" max="5" width="8.88671875" bestFit="1" customWidth="1"/>
    <col min="9" max="9" width="5.109375" customWidth="1"/>
    <col min="10" max="10" width="35.88671875" customWidth="1"/>
    <col min="11" max="11" width="6.5546875" customWidth="1"/>
    <col min="17" max="17" width="6.33203125" customWidth="1"/>
    <col min="18" max="18" width="30.6640625" customWidth="1"/>
    <col min="19" max="19" width="8" customWidth="1"/>
  </cols>
  <sheetData>
    <row r="1" spans="1:26" x14ac:dyDescent="0.3">
      <c r="A1" s="1" t="s">
        <v>345</v>
      </c>
      <c r="B1" s="390" t="s">
        <v>346</v>
      </c>
      <c r="C1" s="391"/>
      <c r="D1" s="391"/>
      <c r="E1" s="1">
        <v>465.1</v>
      </c>
      <c r="I1" s="1" t="s">
        <v>347</v>
      </c>
      <c r="J1" s="390" t="s">
        <v>348</v>
      </c>
      <c r="K1" s="391"/>
      <c r="L1" s="392"/>
      <c r="M1" s="1">
        <v>825.5</v>
      </c>
      <c r="Q1" s="1" t="s">
        <v>349</v>
      </c>
      <c r="R1" s="390" t="s">
        <v>350</v>
      </c>
      <c r="S1" s="391"/>
      <c r="T1" s="392"/>
      <c r="U1" s="101">
        <v>825.5</v>
      </c>
    </row>
    <row r="2" spans="1:26" x14ac:dyDescent="0.3">
      <c r="A2" s="375" t="s">
        <v>351</v>
      </c>
      <c r="B2" s="375"/>
      <c r="C2" s="375"/>
      <c r="D2" s="2" t="s">
        <v>352</v>
      </c>
      <c r="E2" s="3">
        <v>0.13</v>
      </c>
      <c r="I2" s="375" t="s">
        <v>353</v>
      </c>
      <c r="J2" s="375"/>
      <c r="K2" s="375"/>
      <c r="L2" s="2" t="s">
        <v>352</v>
      </c>
      <c r="M2" s="3">
        <v>0.1</v>
      </c>
      <c r="Q2" s="375" t="s">
        <v>351</v>
      </c>
      <c r="R2" s="375"/>
      <c r="S2" s="375"/>
      <c r="T2" s="2" t="s">
        <v>352</v>
      </c>
      <c r="U2" s="3">
        <v>0.17</v>
      </c>
      <c r="V2" t="s">
        <v>354</v>
      </c>
    </row>
    <row r="3" spans="1:26" ht="15" x14ac:dyDescent="0.35">
      <c r="A3" s="380" t="s">
        <v>355</v>
      </c>
      <c r="B3" s="381"/>
      <c r="C3" s="5" t="s">
        <v>356</v>
      </c>
      <c r="D3" s="6" t="s">
        <v>357</v>
      </c>
      <c r="E3" s="4" t="s">
        <v>358</v>
      </c>
      <c r="I3" s="380" t="s">
        <v>355</v>
      </c>
      <c r="J3" s="381"/>
      <c r="K3" s="5" t="s">
        <v>356</v>
      </c>
      <c r="L3" s="6" t="s">
        <v>357</v>
      </c>
      <c r="M3" s="4" t="s">
        <v>358</v>
      </c>
      <c r="Q3" s="384" t="s">
        <v>355</v>
      </c>
      <c r="R3" s="385"/>
      <c r="S3" s="5" t="s">
        <v>356</v>
      </c>
      <c r="T3" s="6" t="s">
        <v>357</v>
      </c>
      <c r="U3" s="4" t="s">
        <v>358</v>
      </c>
    </row>
    <row r="4" spans="1:26" x14ac:dyDescent="0.3">
      <c r="A4" s="382" t="s">
        <v>359</v>
      </c>
      <c r="B4" s="383"/>
      <c r="C4" s="7">
        <v>1.5E-3</v>
      </c>
      <c r="D4" s="3">
        <v>0.9</v>
      </c>
      <c r="E4" s="8">
        <f>C4/D4</f>
        <v>1.6666666666666666E-3</v>
      </c>
      <c r="I4" s="382" t="s">
        <v>360</v>
      </c>
      <c r="J4" s="383"/>
      <c r="K4" s="7">
        <v>0.23</v>
      </c>
      <c r="L4" s="3">
        <v>0.05</v>
      </c>
      <c r="M4" s="8">
        <f t="shared" ref="M4:M9" si="0">K4/L4</f>
        <v>4.5999999999999996</v>
      </c>
      <c r="Q4" s="382"/>
      <c r="R4" s="383"/>
      <c r="S4" s="7"/>
      <c r="T4" s="3"/>
      <c r="U4" s="8"/>
    </row>
    <row r="5" spans="1:26" x14ac:dyDescent="0.3">
      <c r="A5" s="382" t="s">
        <v>361</v>
      </c>
      <c r="B5" s="383"/>
      <c r="C5" s="7">
        <v>0.3</v>
      </c>
      <c r="D5" s="9">
        <v>0.35</v>
      </c>
      <c r="E5" s="8">
        <f>C5/D5</f>
        <v>0.85714285714285721</v>
      </c>
      <c r="I5" s="382" t="s">
        <v>362</v>
      </c>
      <c r="J5" s="383"/>
      <c r="K5" s="7">
        <v>0.25</v>
      </c>
      <c r="L5" s="9">
        <v>1.2</v>
      </c>
      <c r="M5" s="8">
        <f t="shared" si="0"/>
        <v>0.20833333333333334</v>
      </c>
      <c r="Q5" s="382" t="s">
        <v>363</v>
      </c>
      <c r="R5" s="383"/>
      <c r="S5" s="7">
        <v>3.3000000000000002E-2</v>
      </c>
      <c r="T5" s="9">
        <v>1.1599999999999999</v>
      </c>
      <c r="U5" s="8">
        <f>S5/T5</f>
        <v>2.844827586206897E-2</v>
      </c>
    </row>
    <row r="6" spans="1:26" x14ac:dyDescent="0.3">
      <c r="A6" s="382" t="s">
        <v>360</v>
      </c>
      <c r="B6" s="383"/>
      <c r="C6" s="7">
        <v>0.15</v>
      </c>
      <c r="D6" s="3">
        <v>0.04</v>
      </c>
      <c r="E6" s="8">
        <f>C6/D6</f>
        <v>3.75</v>
      </c>
      <c r="I6" s="382" t="s">
        <v>364</v>
      </c>
      <c r="J6" s="383"/>
      <c r="K6" s="7">
        <v>0.12</v>
      </c>
      <c r="L6" s="3">
        <v>0.08</v>
      </c>
      <c r="M6" s="8">
        <f t="shared" si="0"/>
        <v>1.5</v>
      </c>
      <c r="Q6" s="382" t="s">
        <v>365</v>
      </c>
      <c r="R6" s="383"/>
      <c r="S6" s="7">
        <v>5.5E-2</v>
      </c>
      <c r="T6" s="3">
        <v>1.02</v>
      </c>
      <c r="U6" s="8">
        <f>S6/T6</f>
        <v>5.3921568627450983E-2</v>
      </c>
    </row>
    <row r="7" spans="1:26" x14ac:dyDescent="0.3">
      <c r="A7" s="377"/>
      <c r="B7" s="379"/>
      <c r="C7" s="7"/>
      <c r="D7" s="3"/>
      <c r="E7" s="8"/>
      <c r="I7" s="382" t="s">
        <v>366</v>
      </c>
      <c r="J7" s="383"/>
      <c r="K7" s="7">
        <v>0.18</v>
      </c>
      <c r="L7" s="3">
        <v>1.3</v>
      </c>
      <c r="M7" s="8">
        <f t="shared" si="0"/>
        <v>0.13846153846153844</v>
      </c>
      <c r="Q7" s="382" t="s">
        <v>367</v>
      </c>
      <c r="R7" s="383"/>
      <c r="S7" s="7">
        <v>0.06</v>
      </c>
      <c r="T7" s="3">
        <v>0.05</v>
      </c>
      <c r="U7" s="8">
        <f>S7/T7</f>
        <v>1.2</v>
      </c>
    </row>
    <row r="8" spans="1:26" x14ac:dyDescent="0.3">
      <c r="A8" s="248"/>
      <c r="B8" s="249"/>
      <c r="C8" s="229"/>
      <c r="D8" s="249"/>
      <c r="E8" s="230"/>
      <c r="I8" s="382" t="s">
        <v>368</v>
      </c>
      <c r="J8" s="383"/>
      <c r="K8" s="7">
        <v>2E-3</v>
      </c>
      <c r="L8" s="3">
        <v>0.16</v>
      </c>
      <c r="M8" s="8">
        <f t="shared" si="0"/>
        <v>1.2500000000000001E-2</v>
      </c>
      <c r="Q8" s="246"/>
      <c r="R8" s="247"/>
      <c r="S8" s="7"/>
      <c r="T8" s="3"/>
      <c r="U8" s="8"/>
    </row>
    <row r="9" spans="1:26" x14ac:dyDescent="0.3">
      <c r="A9" s="377"/>
      <c r="B9" s="378"/>
      <c r="C9" s="378"/>
      <c r="D9" s="378"/>
      <c r="E9" s="379"/>
      <c r="I9" s="382" t="s">
        <v>369</v>
      </c>
      <c r="J9" s="383"/>
      <c r="K9" s="7">
        <v>0.25</v>
      </c>
      <c r="L9" s="3">
        <v>0.35</v>
      </c>
      <c r="M9" s="8">
        <f t="shared" si="0"/>
        <v>0.7142857142857143</v>
      </c>
      <c r="Q9" s="382" t="s">
        <v>370</v>
      </c>
      <c r="R9" s="383"/>
      <c r="S9" s="7">
        <v>2E-3</v>
      </c>
      <c r="T9" s="3">
        <v>0.21</v>
      </c>
      <c r="U9" s="8">
        <f>S9/T9</f>
        <v>9.5238095238095247E-3</v>
      </c>
    </row>
    <row r="10" spans="1:26" x14ac:dyDescent="0.3">
      <c r="A10" s="386" t="s">
        <v>371</v>
      </c>
      <c r="B10" s="387"/>
      <c r="C10" s="10">
        <f>SUM(C4:C7)</f>
        <v>0.45150000000000001</v>
      </c>
      <c r="D10" s="11" t="s">
        <v>372</v>
      </c>
      <c r="E10" s="12">
        <f>SUM(E4:E6)</f>
        <v>4.6088095238095237</v>
      </c>
      <c r="I10" s="377"/>
      <c r="J10" s="378"/>
      <c r="K10" s="378"/>
      <c r="L10" s="378"/>
      <c r="M10" s="379"/>
      <c r="Q10" s="382"/>
      <c r="R10" s="383"/>
      <c r="S10" s="7"/>
      <c r="T10" s="3"/>
      <c r="U10" s="8"/>
    </row>
    <row r="11" spans="1:26" x14ac:dyDescent="0.3">
      <c r="A11" s="375" t="s">
        <v>373</v>
      </c>
      <c r="B11" s="375"/>
      <c r="C11" s="375"/>
      <c r="D11" s="2" t="s">
        <v>374</v>
      </c>
      <c r="E11" s="3">
        <v>0.04</v>
      </c>
      <c r="I11" s="386" t="s">
        <v>371</v>
      </c>
      <c r="J11" s="387"/>
      <c r="K11" s="10">
        <f>SUM(K4:K9)</f>
        <v>1.032</v>
      </c>
      <c r="L11" s="11" t="s">
        <v>372</v>
      </c>
      <c r="M11" s="12">
        <f>SUM(M4:M9)</f>
        <v>7.1735805860805861</v>
      </c>
      <c r="Q11" s="377"/>
      <c r="R11" s="378"/>
      <c r="S11" s="378"/>
      <c r="T11" s="378"/>
      <c r="U11" s="379"/>
    </row>
    <row r="12" spans="1:26" x14ac:dyDescent="0.3">
      <c r="A12" s="375" t="s">
        <v>375</v>
      </c>
      <c r="B12" s="375"/>
      <c r="C12" s="375"/>
      <c r="D12" s="2" t="s">
        <v>376</v>
      </c>
      <c r="E12" s="12">
        <f>E2+E10+E11</f>
        <v>4.7788095238095236</v>
      </c>
      <c r="I12" s="375" t="s">
        <v>373</v>
      </c>
      <c r="J12" s="375"/>
      <c r="K12" s="375"/>
      <c r="L12" s="2" t="s">
        <v>374</v>
      </c>
      <c r="M12" s="3">
        <v>0.04</v>
      </c>
      <c r="Q12" s="388" t="s">
        <v>371</v>
      </c>
      <c r="R12" s="389"/>
      <c r="S12" s="10">
        <f>SUM(S4:S10)</f>
        <v>0.15</v>
      </c>
      <c r="T12" s="11" t="s">
        <v>372</v>
      </c>
      <c r="U12" s="222">
        <f>SUM(U4:U10)</f>
        <v>1.2918936540133295</v>
      </c>
    </row>
    <row r="13" spans="1:26" x14ac:dyDescent="0.3">
      <c r="A13" s="376" t="s">
        <v>377</v>
      </c>
      <c r="B13" s="376"/>
      <c r="C13" s="376"/>
      <c r="D13" s="13" t="s">
        <v>378</v>
      </c>
      <c r="E13" s="14">
        <f>1/(E2+E10+E11)</f>
        <v>0.20925713716307109</v>
      </c>
      <c r="I13" s="375" t="s">
        <v>375</v>
      </c>
      <c r="J13" s="375"/>
      <c r="K13" s="375"/>
      <c r="L13" s="2" t="s">
        <v>376</v>
      </c>
      <c r="M13" s="12">
        <f>M2+M11+M12</f>
        <v>7.3135805860805858</v>
      </c>
      <c r="Q13" s="375" t="s">
        <v>373</v>
      </c>
      <c r="R13" s="375"/>
      <c r="S13" s="375"/>
      <c r="T13" s="2" t="s">
        <v>374</v>
      </c>
      <c r="U13" s="3">
        <v>0.04</v>
      </c>
      <c r="Z13">
        <v>0.439</v>
      </c>
    </row>
    <row r="14" spans="1:26" x14ac:dyDescent="0.3">
      <c r="I14" s="376" t="s">
        <v>377</v>
      </c>
      <c r="J14" s="376"/>
      <c r="K14" s="376"/>
      <c r="L14" s="13" t="s">
        <v>378</v>
      </c>
      <c r="M14" s="14">
        <f>1/(M2+M11+M12)</f>
        <v>0.13673193153887281</v>
      </c>
      <c r="Q14" s="375" t="s">
        <v>375</v>
      </c>
      <c r="R14" s="375"/>
      <c r="S14" s="375"/>
      <c r="T14" s="2" t="s">
        <v>376</v>
      </c>
      <c r="U14" s="12">
        <f>U2+U12+U13</f>
        <v>1.5018936540133294</v>
      </c>
    </row>
    <row r="15" spans="1:26" x14ac:dyDescent="0.3">
      <c r="A15" s="1" t="s">
        <v>379</v>
      </c>
      <c r="B15" s="390" t="s">
        <v>380</v>
      </c>
      <c r="C15" s="391"/>
      <c r="D15" s="391"/>
      <c r="E15" s="1">
        <v>1217.2</v>
      </c>
      <c r="Q15" s="376" t="s">
        <v>377</v>
      </c>
      <c r="R15" s="376"/>
      <c r="S15" s="376"/>
      <c r="T15" s="13" t="s">
        <v>378</v>
      </c>
      <c r="U15" s="14">
        <v>0.26</v>
      </c>
    </row>
    <row r="16" spans="1:26" x14ac:dyDescent="0.3">
      <c r="A16" s="375" t="s">
        <v>351</v>
      </c>
      <c r="B16" s="375"/>
      <c r="C16" s="375"/>
      <c r="D16" s="2" t="s">
        <v>352</v>
      </c>
      <c r="E16" s="3">
        <v>0.13</v>
      </c>
      <c r="I16" s="1" t="s">
        <v>381</v>
      </c>
      <c r="J16" s="390" t="s">
        <v>382</v>
      </c>
      <c r="K16" s="391"/>
      <c r="L16" s="392"/>
      <c r="M16" s="1">
        <v>1104.7</v>
      </c>
    </row>
    <row r="17" spans="1:21" ht="15" x14ac:dyDescent="0.35">
      <c r="A17" s="380" t="s">
        <v>355</v>
      </c>
      <c r="B17" s="381"/>
      <c r="C17" s="5" t="s">
        <v>356</v>
      </c>
      <c r="D17" s="6" t="s">
        <v>357</v>
      </c>
      <c r="E17" s="4" t="s">
        <v>358</v>
      </c>
      <c r="I17" s="375" t="s">
        <v>353</v>
      </c>
      <c r="J17" s="375"/>
      <c r="K17" s="375"/>
      <c r="L17" s="2" t="s">
        <v>352</v>
      </c>
      <c r="M17" s="3">
        <v>0.1</v>
      </c>
      <c r="Q17" s="1" t="s">
        <v>383</v>
      </c>
      <c r="R17" s="390" t="s">
        <v>384</v>
      </c>
      <c r="S17" s="391"/>
      <c r="T17" s="392"/>
      <c r="U17" s="101">
        <v>1104.7</v>
      </c>
    </row>
    <row r="18" spans="1:21" ht="15" x14ac:dyDescent="0.35">
      <c r="A18" s="382" t="s">
        <v>359</v>
      </c>
      <c r="B18" s="383"/>
      <c r="C18" s="7">
        <v>1.2E-2</v>
      </c>
      <c r="D18" s="3">
        <v>0.9</v>
      </c>
      <c r="E18" s="8">
        <f>C18/D18</f>
        <v>1.3333333333333332E-2</v>
      </c>
      <c r="I18" s="380" t="s">
        <v>355</v>
      </c>
      <c r="J18" s="381"/>
      <c r="K18" s="5" t="s">
        <v>356</v>
      </c>
      <c r="L18" s="6" t="s">
        <v>357</v>
      </c>
      <c r="M18" s="4" t="s">
        <v>358</v>
      </c>
      <c r="Q18" s="375" t="s">
        <v>351</v>
      </c>
      <c r="R18" s="375"/>
      <c r="S18" s="375"/>
      <c r="T18" s="2" t="s">
        <v>352</v>
      </c>
      <c r="U18" s="3">
        <v>0.17</v>
      </c>
    </row>
    <row r="19" spans="1:21" ht="15" x14ac:dyDescent="0.35">
      <c r="A19" s="382" t="s">
        <v>385</v>
      </c>
      <c r="B19" s="383"/>
      <c r="C19" s="7">
        <v>0.15</v>
      </c>
      <c r="D19" s="9">
        <v>1.58</v>
      </c>
      <c r="E19" s="8">
        <f>C19/D19</f>
        <v>9.4936708860759486E-2</v>
      </c>
      <c r="I19" s="382" t="s">
        <v>360</v>
      </c>
      <c r="J19" s="383"/>
      <c r="K19" s="7">
        <v>0.22</v>
      </c>
      <c r="L19" s="3">
        <v>0.05</v>
      </c>
      <c r="M19" s="8">
        <f t="shared" ref="M19:M24" si="1">K19/L19</f>
        <v>4.3999999999999995</v>
      </c>
      <c r="Q19" s="384" t="s">
        <v>355</v>
      </c>
      <c r="R19" s="385"/>
      <c r="S19" s="5" t="s">
        <v>356</v>
      </c>
      <c r="T19" s="6" t="s">
        <v>357</v>
      </c>
      <c r="U19" s="4" t="s">
        <v>358</v>
      </c>
    </row>
    <row r="20" spans="1:21" x14ac:dyDescent="0.3">
      <c r="A20" s="382" t="s">
        <v>361</v>
      </c>
      <c r="B20" s="383"/>
      <c r="C20" s="7">
        <v>0.3</v>
      </c>
      <c r="D20" s="3">
        <v>0.35</v>
      </c>
      <c r="E20" s="8">
        <f>C20/D20</f>
        <v>0.85714285714285721</v>
      </c>
      <c r="I20" s="382" t="s">
        <v>362</v>
      </c>
      <c r="J20" s="383"/>
      <c r="K20" s="7">
        <v>0.25</v>
      </c>
      <c r="L20" s="9">
        <v>1.1299999999999999</v>
      </c>
      <c r="M20" s="8">
        <f t="shared" si="1"/>
        <v>0.22123893805309736</v>
      </c>
      <c r="Q20" s="382" t="s">
        <v>386</v>
      </c>
      <c r="R20" s="383"/>
      <c r="S20" s="7">
        <v>2.5000000000000001E-2</v>
      </c>
      <c r="T20" s="3">
        <v>1.1599999999999999</v>
      </c>
      <c r="U20" s="8">
        <f>S20/T20</f>
        <v>2.1551724137931036E-2</v>
      </c>
    </row>
    <row r="21" spans="1:21" x14ac:dyDescent="0.3">
      <c r="A21" s="382" t="s">
        <v>360</v>
      </c>
      <c r="B21" s="383"/>
      <c r="C21" s="7">
        <v>0.14000000000000001</v>
      </c>
      <c r="D21" s="3">
        <v>0.04</v>
      </c>
      <c r="E21" s="8">
        <f>C21/D21</f>
        <v>3.5000000000000004</v>
      </c>
      <c r="I21" s="382" t="s">
        <v>364</v>
      </c>
      <c r="J21" s="383"/>
      <c r="K21" s="7">
        <v>0.12</v>
      </c>
      <c r="L21" s="3">
        <v>0.08</v>
      </c>
      <c r="M21" s="8">
        <f t="shared" si="1"/>
        <v>1.5</v>
      </c>
      <c r="Q21" s="382" t="s">
        <v>387</v>
      </c>
      <c r="R21" s="383"/>
      <c r="S21" s="7">
        <v>6.3E-2</v>
      </c>
      <c r="T21" s="9">
        <v>1.02</v>
      </c>
      <c r="U21" s="8">
        <f>S21/T21</f>
        <v>6.1764705882352944E-2</v>
      </c>
    </row>
    <row r="22" spans="1:21" x14ac:dyDescent="0.3">
      <c r="A22" s="377"/>
      <c r="B22" s="378"/>
      <c r="C22" s="378"/>
      <c r="D22" s="378"/>
      <c r="E22" s="379"/>
      <c r="I22" s="382" t="s">
        <v>388</v>
      </c>
      <c r="J22" s="383"/>
      <c r="K22" s="7">
        <v>0.17499999999999999</v>
      </c>
      <c r="L22" s="3">
        <v>1.1000000000000001</v>
      </c>
      <c r="M22" s="8">
        <f t="shared" si="1"/>
        <v>0.15909090909090906</v>
      </c>
      <c r="Q22" s="382" t="s">
        <v>367</v>
      </c>
      <c r="R22" s="383"/>
      <c r="S22" s="7">
        <v>0.06</v>
      </c>
      <c r="T22" s="3">
        <v>0.05</v>
      </c>
      <c r="U22" s="8">
        <f>S22/T22</f>
        <v>1.2</v>
      </c>
    </row>
    <row r="23" spans="1:21" x14ac:dyDescent="0.3">
      <c r="A23" s="386" t="s">
        <v>371</v>
      </c>
      <c r="B23" s="387"/>
      <c r="C23" s="10">
        <f>SUM(C18:C21)</f>
        <v>0.60199999999999998</v>
      </c>
      <c r="D23" s="11" t="s">
        <v>372</v>
      </c>
      <c r="E23" s="12">
        <f>SUM(E18:E21)</f>
        <v>4.4654128993369504</v>
      </c>
      <c r="I23" s="382" t="s">
        <v>389</v>
      </c>
      <c r="J23" s="383"/>
      <c r="K23" s="7">
        <v>0.128</v>
      </c>
      <c r="L23" s="3">
        <v>0.22</v>
      </c>
      <c r="M23" s="8">
        <f t="shared" si="1"/>
        <v>0.58181818181818179</v>
      </c>
      <c r="Q23" s="382" t="s">
        <v>368</v>
      </c>
      <c r="R23" s="383"/>
      <c r="S23" s="7">
        <v>2E-3</v>
      </c>
      <c r="T23" s="3">
        <v>0.21</v>
      </c>
      <c r="U23" s="8">
        <f>S23/T23</f>
        <v>9.5238095238095247E-3</v>
      </c>
    </row>
    <row r="24" spans="1:21" x14ac:dyDescent="0.3">
      <c r="A24" s="375" t="s">
        <v>373</v>
      </c>
      <c r="B24" s="375"/>
      <c r="C24" s="375"/>
      <c r="D24" s="2" t="s">
        <v>374</v>
      </c>
      <c r="E24" s="3">
        <v>0.04</v>
      </c>
      <c r="I24" s="382" t="s">
        <v>368</v>
      </c>
      <c r="J24" s="383"/>
      <c r="K24" s="7">
        <v>2E-3</v>
      </c>
      <c r="L24" s="3">
        <v>0.16</v>
      </c>
      <c r="M24" s="8">
        <f t="shared" si="1"/>
        <v>1.2500000000000001E-2</v>
      </c>
      <c r="Q24" s="377"/>
      <c r="R24" s="378"/>
      <c r="S24" s="378"/>
      <c r="T24" s="378"/>
      <c r="U24" s="379"/>
    </row>
    <row r="25" spans="1:21" x14ac:dyDescent="0.3">
      <c r="A25" s="375" t="s">
        <v>375</v>
      </c>
      <c r="B25" s="375"/>
      <c r="C25" s="375"/>
      <c r="D25" s="2" t="s">
        <v>376</v>
      </c>
      <c r="E25" s="12">
        <f>E16+E23+E24</f>
        <v>4.6354128993369503</v>
      </c>
      <c r="I25" s="377"/>
      <c r="J25" s="378"/>
      <c r="K25" s="378"/>
      <c r="L25" s="378"/>
      <c r="M25" s="379"/>
      <c r="Q25" s="388" t="s">
        <v>371</v>
      </c>
      <c r="R25" s="389"/>
      <c r="S25" s="10">
        <f>SUM(S20:S23)</f>
        <v>0.15</v>
      </c>
      <c r="T25" s="11" t="s">
        <v>372</v>
      </c>
      <c r="U25" s="222">
        <f>SUM(U20:U23)</f>
        <v>1.2928402395440934</v>
      </c>
    </row>
    <row r="26" spans="1:21" x14ac:dyDescent="0.3">
      <c r="A26" s="376" t="s">
        <v>377</v>
      </c>
      <c r="B26" s="376"/>
      <c r="C26" s="376"/>
      <c r="D26" s="13" t="s">
        <v>378</v>
      </c>
      <c r="E26" s="14">
        <f>1/(E16+E23+E24)</f>
        <v>0.21573051240873065</v>
      </c>
      <c r="I26" s="386" t="s">
        <v>371</v>
      </c>
      <c r="J26" s="387"/>
      <c r="K26" s="10">
        <f>SUM(K19:K21)</f>
        <v>0.59</v>
      </c>
      <c r="L26" s="11" t="s">
        <v>372</v>
      </c>
      <c r="M26" s="12">
        <f>SUM(M19:M24)</f>
        <v>6.8746480289621879</v>
      </c>
      <c r="Q26" s="375" t="s">
        <v>373</v>
      </c>
      <c r="R26" s="375"/>
      <c r="S26" s="375"/>
      <c r="T26" s="2" t="s">
        <v>374</v>
      </c>
      <c r="U26" s="3">
        <v>0.04</v>
      </c>
    </row>
    <row r="27" spans="1:21" x14ac:dyDescent="0.3">
      <c r="I27" s="375" t="s">
        <v>373</v>
      </c>
      <c r="J27" s="375"/>
      <c r="K27" s="375"/>
      <c r="L27" s="2" t="s">
        <v>374</v>
      </c>
      <c r="M27" s="3">
        <v>0.04</v>
      </c>
      <c r="Q27" s="375" t="s">
        <v>375</v>
      </c>
      <c r="R27" s="375"/>
      <c r="S27" s="375"/>
      <c r="T27" s="2" t="s">
        <v>376</v>
      </c>
      <c r="U27" s="12">
        <f>U18+U25+U26</f>
        <v>1.5028402395440934</v>
      </c>
    </row>
    <row r="28" spans="1:21" x14ac:dyDescent="0.3">
      <c r="A28" s="1" t="s">
        <v>390</v>
      </c>
      <c r="B28" s="390" t="s">
        <v>391</v>
      </c>
      <c r="C28" s="391"/>
      <c r="D28" s="391"/>
      <c r="E28" s="1">
        <v>307.8</v>
      </c>
      <c r="I28" s="375" t="s">
        <v>375</v>
      </c>
      <c r="J28" s="375"/>
      <c r="K28" s="375"/>
      <c r="L28" s="2" t="s">
        <v>376</v>
      </c>
      <c r="M28" s="12">
        <f>M17+M26+M27</f>
        <v>7.0146480289621875</v>
      </c>
      <c r="Q28" s="376" t="s">
        <v>377</v>
      </c>
      <c r="R28" s="376"/>
      <c r="S28" s="376"/>
      <c r="T28" s="13" t="s">
        <v>378</v>
      </c>
      <c r="U28" s="14">
        <v>0.22</v>
      </c>
    </row>
    <row r="29" spans="1:21" x14ac:dyDescent="0.3">
      <c r="A29" s="375" t="s">
        <v>351</v>
      </c>
      <c r="B29" s="375"/>
      <c r="C29" s="375"/>
      <c r="D29" s="2" t="s">
        <v>352</v>
      </c>
      <c r="E29" s="3">
        <v>0.13</v>
      </c>
      <c r="I29" s="376" t="s">
        <v>377</v>
      </c>
      <c r="J29" s="376"/>
      <c r="K29" s="376"/>
      <c r="L29" s="13" t="s">
        <v>378</v>
      </c>
      <c r="M29" s="14">
        <f>1/(M17+M26+M27)</f>
        <v>0.14255882773749795</v>
      </c>
    </row>
    <row r="30" spans="1:21" ht="15" x14ac:dyDescent="0.35">
      <c r="A30" s="380" t="s">
        <v>355</v>
      </c>
      <c r="B30" s="381"/>
      <c r="C30" s="5" t="s">
        <v>356</v>
      </c>
      <c r="D30" s="6" t="s">
        <v>357</v>
      </c>
      <c r="E30" s="4" t="s">
        <v>358</v>
      </c>
      <c r="Q30" s="1"/>
      <c r="R30" s="390"/>
      <c r="S30" s="391"/>
      <c r="T30" s="392"/>
      <c r="U30" s="101"/>
    </row>
    <row r="31" spans="1:21" x14ac:dyDescent="0.3">
      <c r="A31" s="382" t="s">
        <v>359</v>
      </c>
      <c r="B31" s="383"/>
      <c r="C31" s="7">
        <v>1.2E-2</v>
      </c>
      <c r="D31" s="3">
        <v>0.9</v>
      </c>
      <c r="E31" s="8">
        <f>C31/D31</f>
        <v>1.3333333333333332E-2</v>
      </c>
      <c r="I31" s="1"/>
      <c r="J31" s="390"/>
      <c r="K31" s="391"/>
      <c r="L31" s="392"/>
      <c r="M31" s="1"/>
      <c r="Q31" s="375"/>
      <c r="R31" s="375"/>
      <c r="S31" s="375"/>
      <c r="T31" s="2"/>
      <c r="U31" s="3"/>
    </row>
    <row r="32" spans="1:21" x14ac:dyDescent="0.3">
      <c r="A32" s="382" t="s">
        <v>392</v>
      </c>
      <c r="B32" s="383"/>
      <c r="C32" s="7">
        <v>0.15</v>
      </c>
      <c r="D32" s="9">
        <v>1.7</v>
      </c>
      <c r="E32" s="8">
        <f>C32/D32</f>
        <v>8.8235294117647065E-2</v>
      </c>
      <c r="I32" s="375"/>
      <c r="J32" s="375"/>
      <c r="K32" s="375"/>
      <c r="L32" s="2"/>
      <c r="M32" s="3"/>
      <c r="Q32" s="384"/>
      <c r="R32" s="385"/>
      <c r="S32" s="5"/>
      <c r="T32" s="6"/>
      <c r="U32" s="4"/>
    </row>
    <row r="33" spans="1:21" x14ac:dyDescent="0.3">
      <c r="A33" s="382" t="s">
        <v>393</v>
      </c>
      <c r="B33" s="383"/>
      <c r="C33" s="7">
        <v>0.3</v>
      </c>
      <c r="D33" s="3">
        <v>0.3</v>
      </c>
      <c r="E33" s="8">
        <f>C33/D33</f>
        <v>1</v>
      </c>
      <c r="I33" s="380"/>
      <c r="J33" s="381"/>
      <c r="K33" s="5"/>
      <c r="L33" s="6"/>
      <c r="M33" s="4"/>
      <c r="Q33" s="382"/>
      <c r="R33" s="383"/>
      <c r="S33" s="7"/>
      <c r="T33" s="3"/>
      <c r="U33" s="8"/>
    </row>
    <row r="34" spans="1:21" x14ac:dyDescent="0.3">
      <c r="A34" s="382" t="s">
        <v>360</v>
      </c>
      <c r="B34" s="383"/>
      <c r="C34" s="7">
        <v>0.14000000000000001</v>
      </c>
      <c r="D34" s="3">
        <v>0.04</v>
      </c>
      <c r="E34" s="8">
        <f>C34/D34</f>
        <v>3.5000000000000004</v>
      </c>
      <c r="I34" s="382"/>
      <c r="J34" s="383"/>
      <c r="K34" s="7"/>
      <c r="L34" s="3"/>
      <c r="M34" s="8"/>
      <c r="Q34" s="382"/>
      <c r="R34" s="383"/>
      <c r="S34" s="7"/>
      <c r="T34" s="9"/>
      <c r="U34" s="8"/>
    </row>
    <row r="35" spans="1:21" x14ac:dyDescent="0.3">
      <c r="A35" s="382"/>
      <c r="B35" s="383"/>
      <c r="C35" s="7"/>
      <c r="D35" s="3"/>
      <c r="E35" s="8"/>
      <c r="I35" s="382"/>
      <c r="J35" s="383"/>
      <c r="K35" s="7"/>
      <c r="L35" s="9"/>
      <c r="M35" s="8"/>
      <c r="Q35" s="382"/>
      <c r="R35" s="383"/>
      <c r="S35" s="7"/>
      <c r="T35" s="3"/>
      <c r="U35" s="8"/>
    </row>
    <row r="36" spans="1:21" x14ac:dyDescent="0.3">
      <c r="A36" s="382"/>
      <c r="B36" s="383"/>
      <c r="C36" s="7"/>
      <c r="D36" s="3"/>
      <c r="E36" s="8"/>
      <c r="I36" s="382"/>
      <c r="J36" s="383"/>
      <c r="K36" s="7"/>
      <c r="L36" s="3"/>
      <c r="M36" s="8"/>
      <c r="Q36" s="382"/>
      <c r="R36" s="383"/>
      <c r="S36" s="7"/>
      <c r="T36" s="3"/>
      <c r="U36" s="8"/>
    </row>
    <row r="37" spans="1:21" x14ac:dyDescent="0.3">
      <c r="A37" s="377"/>
      <c r="B37" s="378"/>
      <c r="C37" s="378"/>
      <c r="D37" s="378"/>
      <c r="E37" s="379"/>
      <c r="I37" s="382"/>
      <c r="J37" s="383"/>
      <c r="K37" s="7"/>
      <c r="L37" s="3"/>
      <c r="M37" s="8"/>
      <c r="Q37" s="377"/>
      <c r="R37" s="378"/>
      <c r="S37" s="378"/>
      <c r="T37" s="378"/>
      <c r="U37" s="379"/>
    </row>
    <row r="38" spans="1:21" x14ac:dyDescent="0.3">
      <c r="A38" s="386" t="s">
        <v>371</v>
      </c>
      <c r="B38" s="387"/>
      <c r="C38" s="10">
        <f>SUM(C31:C36)</f>
        <v>0.60199999999999998</v>
      </c>
      <c r="D38" s="11" t="s">
        <v>372</v>
      </c>
      <c r="E38" s="12">
        <f>SUM(E31:E36)</f>
        <v>4.6015686274509804</v>
      </c>
      <c r="I38" s="382"/>
      <c r="J38" s="383"/>
      <c r="K38" s="7"/>
      <c r="L38" s="3"/>
      <c r="M38" s="8"/>
      <c r="Q38" s="388"/>
      <c r="R38" s="389"/>
      <c r="S38" s="10"/>
      <c r="T38" s="11"/>
      <c r="U38" s="222"/>
    </row>
    <row r="39" spans="1:21" x14ac:dyDescent="0.3">
      <c r="A39" s="375" t="s">
        <v>373</v>
      </c>
      <c r="B39" s="375"/>
      <c r="C39" s="375"/>
      <c r="D39" s="2" t="s">
        <v>374</v>
      </c>
      <c r="E39" s="3">
        <v>0.04</v>
      </c>
      <c r="I39" s="377"/>
      <c r="J39" s="378"/>
      <c r="K39" s="378"/>
      <c r="L39" s="378"/>
      <c r="M39" s="379"/>
      <c r="Q39" s="375"/>
      <c r="R39" s="375"/>
      <c r="S39" s="375"/>
      <c r="T39" s="2"/>
      <c r="U39" s="3"/>
    </row>
    <row r="40" spans="1:21" x14ac:dyDescent="0.3">
      <c r="A40" s="375" t="s">
        <v>375</v>
      </c>
      <c r="B40" s="375"/>
      <c r="C40" s="375"/>
      <c r="D40" s="2" t="s">
        <v>376</v>
      </c>
      <c r="E40" s="12">
        <f>E29+E38+E39</f>
        <v>4.7715686274509803</v>
      </c>
      <c r="I40" s="386"/>
      <c r="J40" s="387"/>
      <c r="K40" s="10"/>
      <c r="L40" s="11"/>
      <c r="M40" s="12"/>
      <c r="Q40" s="375"/>
      <c r="R40" s="375"/>
      <c r="S40" s="375"/>
      <c r="T40" s="2"/>
      <c r="U40" s="12"/>
    </row>
    <row r="41" spans="1:21" x14ac:dyDescent="0.3">
      <c r="A41" s="376" t="s">
        <v>377</v>
      </c>
      <c r="B41" s="376"/>
      <c r="C41" s="376"/>
      <c r="D41" s="13" t="s">
        <v>378</v>
      </c>
      <c r="E41" s="14">
        <f>1/(E29+E38+E39)</f>
        <v>0.20957468666529691</v>
      </c>
      <c r="I41" s="375"/>
      <c r="J41" s="375"/>
      <c r="K41" s="375"/>
      <c r="L41" s="2"/>
      <c r="M41" s="3"/>
      <c r="Q41" s="376"/>
      <c r="R41" s="376"/>
      <c r="S41" s="376"/>
      <c r="T41" s="13"/>
      <c r="U41" s="14"/>
    </row>
    <row r="42" spans="1:21" x14ac:dyDescent="0.3">
      <c r="I42" s="375"/>
      <c r="J42" s="375"/>
      <c r="K42" s="375"/>
      <c r="L42" s="2"/>
      <c r="M42" s="12"/>
    </row>
    <row r="43" spans="1:21" x14ac:dyDescent="0.3">
      <c r="A43" s="1" t="s">
        <v>394</v>
      </c>
      <c r="B43" s="390" t="s">
        <v>395</v>
      </c>
      <c r="C43" s="391"/>
      <c r="D43" s="391"/>
      <c r="E43" s="1">
        <v>333</v>
      </c>
      <c r="I43" s="376"/>
      <c r="J43" s="376"/>
      <c r="K43" s="376"/>
      <c r="L43" s="13"/>
      <c r="M43" s="14"/>
    </row>
    <row r="44" spans="1:21" x14ac:dyDescent="0.3">
      <c r="A44" s="375" t="s">
        <v>351</v>
      </c>
      <c r="B44" s="375"/>
      <c r="C44" s="375"/>
      <c r="D44" s="2" t="s">
        <v>352</v>
      </c>
      <c r="E44" s="3">
        <v>0.13</v>
      </c>
    </row>
    <row r="45" spans="1:21" ht="15" x14ac:dyDescent="0.35">
      <c r="A45" s="380" t="s">
        <v>355</v>
      </c>
      <c r="B45" s="381"/>
      <c r="C45" s="5" t="s">
        <v>356</v>
      </c>
      <c r="D45" s="6" t="s">
        <v>357</v>
      </c>
      <c r="E45" s="4" t="s">
        <v>358</v>
      </c>
      <c r="I45" s="1"/>
      <c r="J45" s="390"/>
      <c r="K45" s="391"/>
      <c r="L45" s="392"/>
      <c r="M45" s="1"/>
    </row>
    <row r="46" spans="1:21" x14ac:dyDescent="0.3">
      <c r="A46" s="382" t="s">
        <v>359</v>
      </c>
      <c r="B46" s="383"/>
      <c r="C46" s="7">
        <v>1.2E-2</v>
      </c>
      <c r="D46" s="3">
        <v>0.9</v>
      </c>
      <c r="E46" s="8">
        <f>C46/D46</f>
        <v>1.3333333333333332E-2</v>
      </c>
      <c r="I46" s="375"/>
      <c r="J46" s="375"/>
      <c r="K46" s="375"/>
      <c r="L46" s="2"/>
      <c r="M46" s="3"/>
    </row>
    <row r="47" spans="1:21" x14ac:dyDescent="0.3">
      <c r="A47" s="382" t="s">
        <v>396</v>
      </c>
      <c r="B47" s="383"/>
      <c r="C47" s="7">
        <v>0.4</v>
      </c>
      <c r="D47" s="9">
        <v>0.35</v>
      </c>
      <c r="E47" s="8">
        <f>C47/D47</f>
        <v>1.142857142857143</v>
      </c>
      <c r="I47" s="380"/>
      <c r="J47" s="381"/>
      <c r="K47" s="5"/>
      <c r="L47" s="6"/>
      <c r="M47" s="4"/>
    </row>
    <row r="48" spans="1:21" x14ac:dyDescent="0.3">
      <c r="A48" s="382" t="s">
        <v>360</v>
      </c>
      <c r="B48" s="383"/>
      <c r="C48" s="7">
        <v>0.13</v>
      </c>
      <c r="D48" s="3">
        <v>0.04</v>
      </c>
      <c r="E48" s="8">
        <f>C48/D48</f>
        <v>3.25</v>
      </c>
      <c r="I48" s="382"/>
      <c r="J48" s="383"/>
      <c r="K48" s="7"/>
      <c r="L48" s="3"/>
      <c r="M48" s="8"/>
    </row>
    <row r="49" spans="1:13" x14ac:dyDescent="0.3">
      <c r="A49" s="382"/>
      <c r="B49" s="383"/>
      <c r="C49" s="7"/>
      <c r="D49" s="3"/>
      <c r="E49" s="8"/>
      <c r="I49" s="382"/>
      <c r="J49" s="383"/>
      <c r="K49" s="7"/>
      <c r="L49" s="9"/>
      <c r="M49" s="8"/>
    </row>
    <row r="50" spans="1:13" x14ac:dyDescent="0.3">
      <c r="A50" s="377"/>
      <c r="B50" s="378"/>
      <c r="C50" s="378"/>
      <c r="D50" s="378"/>
      <c r="E50" s="379"/>
      <c r="I50" s="382"/>
      <c r="J50" s="383"/>
      <c r="K50" s="7"/>
      <c r="L50" s="3"/>
      <c r="M50" s="8"/>
    </row>
    <row r="51" spans="1:13" x14ac:dyDescent="0.3">
      <c r="A51" s="386" t="s">
        <v>371</v>
      </c>
      <c r="B51" s="387"/>
      <c r="C51" s="10">
        <f>SUM(C46:C48)</f>
        <v>0.54200000000000004</v>
      </c>
      <c r="D51" s="11" t="s">
        <v>372</v>
      </c>
      <c r="E51" s="12">
        <f>SUM(E46:E49)</f>
        <v>4.406190476190476</v>
      </c>
      <c r="I51" s="382"/>
      <c r="J51" s="383"/>
      <c r="K51" s="7"/>
      <c r="L51" s="3"/>
      <c r="M51" s="8"/>
    </row>
    <row r="52" spans="1:13" x14ac:dyDescent="0.3">
      <c r="A52" s="375" t="s">
        <v>373</v>
      </c>
      <c r="B52" s="375"/>
      <c r="C52" s="375"/>
      <c r="D52" s="2" t="s">
        <v>374</v>
      </c>
      <c r="E52" s="3">
        <v>0.04</v>
      </c>
      <c r="I52" s="382"/>
      <c r="J52" s="383"/>
      <c r="K52" s="7"/>
      <c r="L52" s="3"/>
      <c r="M52" s="8"/>
    </row>
    <row r="53" spans="1:13" x14ac:dyDescent="0.3">
      <c r="A53" s="375" t="s">
        <v>375</v>
      </c>
      <c r="B53" s="375"/>
      <c r="C53" s="375"/>
      <c r="D53" s="2" t="s">
        <v>376</v>
      </c>
      <c r="E53" s="12">
        <f>E44+E51+E52</f>
        <v>4.5761904761904759</v>
      </c>
      <c r="I53" s="382"/>
      <c r="J53" s="383"/>
      <c r="K53" s="7"/>
      <c r="L53" s="3"/>
      <c r="M53" s="8"/>
    </row>
    <row r="54" spans="1:13" x14ac:dyDescent="0.3">
      <c r="A54" s="376" t="s">
        <v>377</v>
      </c>
      <c r="B54" s="376"/>
      <c r="C54" s="376"/>
      <c r="D54" s="13" t="s">
        <v>378</v>
      </c>
      <c r="E54" s="14">
        <f>1/(E44+E51+E52)</f>
        <v>0.21852237252861603</v>
      </c>
      <c r="I54" s="377"/>
      <c r="J54" s="378"/>
      <c r="K54" s="378"/>
      <c r="L54" s="378"/>
      <c r="M54" s="379"/>
    </row>
    <row r="55" spans="1:13" x14ac:dyDescent="0.3">
      <c r="I55" s="386"/>
      <c r="J55" s="387"/>
      <c r="K55" s="10"/>
      <c r="L55" s="11"/>
      <c r="M55" s="12"/>
    </row>
    <row r="56" spans="1:13" x14ac:dyDescent="0.3">
      <c r="A56" s="1" t="s">
        <v>397</v>
      </c>
      <c r="B56" s="390" t="s">
        <v>398</v>
      </c>
      <c r="C56" s="391"/>
      <c r="D56" s="391"/>
      <c r="E56" s="1">
        <v>1912.6</v>
      </c>
      <c r="I56" s="375"/>
      <c r="J56" s="375"/>
      <c r="K56" s="375"/>
      <c r="L56" s="2"/>
      <c r="M56" s="3"/>
    </row>
    <row r="57" spans="1:13" x14ac:dyDescent="0.3">
      <c r="A57" s="375" t="s">
        <v>351</v>
      </c>
      <c r="B57" s="375"/>
      <c r="C57" s="375"/>
      <c r="D57" s="2" t="s">
        <v>352</v>
      </c>
      <c r="E57" s="3">
        <v>0.13</v>
      </c>
      <c r="I57" s="375"/>
      <c r="J57" s="375"/>
      <c r="K57" s="375"/>
      <c r="L57" s="2"/>
      <c r="M57" s="12"/>
    </row>
    <row r="58" spans="1:13" ht="15" x14ac:dyDescent="0.35">
      <c r="A58" s="380" t="s">
        <v>355</v>
      </c>
      <c r="B58" s="381"/>
      <c r="C58" s="5" t="s">
        <v>356</v>
      </c>
      <c r="D58" s="6" t="s">
        <v>357</v>
      </c>
      <c r="E58" s="4" t="s">
        <v>358</v>
      </c>
      <c r="I58" s="376"/>
      <c r="J58" s="376"/>
      <c r="K58" s="376"/>
      <c r="L58" s="13"/>
      <c r="M58" s="14"/>
    </row>
    <row r="59" spans="1:13" x14ac:dyDescent="0.3">
      <c r="A59" s="382" t="s">
        <v>359</v>
      </c>
      <c r="B59" s="383"/>
      <c r="C59" s="7">
        <v>1.5E-3</v>
      </c>
      <c r="D59" s="3">
        <v>0.9</v>
      </c>
      <c r="E59" s="8">
        <f>C59/D59</f>
        <v>1.6666666666666666E-3</v>
      </c>
    </row>
    <row r="60" spans="1:13" x14ac:dyDescent="0.3">
      <c r="A60" s="382" t="s">
        <v>392</v>
      </c>
      <c r="B60" s="383"/>
      <c r="C60" s="7">
        <v>0.15</v>
      </c>
      <c r="D60" s="9">
        <v>1.7</v>
      </c>
      <c r="E60" s="8">
        <f>C60/D60</f>
        <v>8.8235294117647065E-2</v>
      </c>
      <c r="I60" s="1"/>
      <c r="J60" s="390"/>
      <c r="K60" s="391"/>
      <c r="L60" s="392"/>
      <c r="M60" s="1"/>
    </row>
    <row r="61" spans="1:13" x14ac:dyDescent="0.3">
      <c r="A61" s="382" t="s">
        <v>360</v>
      </c>
      <c r="B61" s="383"/>
      <c r="C61" s="7">
        <v>0.17</v>
      </c>
      <c r="D61" s="3">
        <v>0.04</v>
      </c>
      <c r="E61" s="8">
        <f>C61/D61</f>
        <v>4.25</v>
      </c>
      <c r="I61" s="375"/>
      <c r="J61" s="375"/>
      <c r="K61" s="375"/>
      <c r="L61" s="2"/>
      <c r="M61" s="3"/>
    </row>
    <row r="62" spans="1:13" x14ac:dyDescent="0.3">
      <c r="A62" s="382"/>
      <c r="B62" s="383"/>
      <c r="C62" s="7"/>
      <c r="D62" s="3"/>
      <c r="E62" s="8"/>
      <c r="I62" s="380"/>
      <c r="J62" s="381"/>
      <c r="K62" s="5"/>
      <c r="L62" s="6"/>
      <c r="M62" s="4"/>
    </row>
    <row r="63" spans="1:13" x14ac:dyDescent="0.3">
      <c r="A63" s="377"/>
      <c r="B63" s="378"/>
      <c r="C63" s="378"/>
      <c r="D63" s="378"/>
      <c r="E63" s="379"/>
      <c r="I63" s="382"/>
      <c r="J63" s="383"/>
      <c r="K63" s="7"/>
      <c r="L63" s="3"/>
      <c r="M63" s="8"/>
    </row>
    <row r="64" spans="1:13" x14ac:dyDescent="0.3">
      <c r="A64" s="386" t="s">
        <v>371</v>
      </c>
      <c r="B64" s="387"/>
      <c r="C64" s="10">
        <f>SUM(C59:C61)</f>
        <v>0.32150000000000001</v>
      </c>
      <c r="D64" s="11" t="s">
        <v>372</v>
      </c>
      <c r="E64" s="12">
        <f>SUM(E59:E62)</f>
        <v>4.3399019607843137</v>
      </c>
      <c r="I64" s="382"/>
      <c r="J64" s="383"/>
      <c r="K64" s="7"/>
      <c r="L64" s="9"/>
      <c r="M64" s="8"/>
    </row>
    <row r="65" spans="1:13" x14ac:dyDescent="0.3">
      <c r="A65" s="375" t="s">
        <v>373</v>
      </c>
      <c r="B65" s="375"/>
      <c r="C65" s="375"/>
      <c r="D65" s="2" t="s">
        <v>374</v>
      </c>
      <c r="E65" s="3">
        <v>0.04</v>
      </c>
      <c r="I65" s="382"/>
      <c r="J65" s="383"/>
      <c r="K65" s="7"/>
      <c r="L65" s="3"/>
      <c r="M65" s="8"/>
    </row>
    <row r="66" spans="1:13" x14ac:dyDescent="0.3">
      <c r="A66" s="375" t="s">
        <v>375</v>
      </c>
      <c r="B66" s="375"/>
      <c r="C66" s="375"/>
      <c r="D66" s="2" t="s">
        <v>376</v>
      </c>
      <c r="E66" s="12">
        <f>E57+E64+E65</f>
        <v>4.5099019607843136</v>
      </c>
      <c r="I66" s="382"/>
      <c r="J66" s="383"/>
      <c r="K66" s="7"/>
      <c r="L66" s="3"/>
      <c r="M66" s="8"/>
    </row>
    <row r="67" spans="1:13" x14ac:dyDescent="0.3">
      <c r="A67" s="376" t="s">
        <v>377</v>
      </c>
      <c r="B67" s="376"/>
      <c r="C67" s="376"/>
      <c r="D67" s="13" t="s">
        <v>378</v>
      </c>
      <c r="E67" s="14">
        <f>1/(E57+E64+E65)</f>
        <v>0.22173431012369296</v>
      </c>
      <c r="I67" s="382"/>
      <c r="J67" s="383"/>
      <c r="K67" s="7"/>
      <c r="L67" s="3"/>
      <c r="M67" s="8"/>
    </row>
    <row r="68" spans="1:13" x14ac:dyDescent="0.3">
      <c r="I68" s="377"/>
      <c r="J68" s="378"/>
      <c r="K68" s="378"/>
      <c r="L68" s="378"/>
      <c r="M68" s="379"/>
    </row>
    <row r="69" spans="1:13" x14ac:dyDescent="0.3">
      <c r="I69" s="386"/>
      <c r="J69" s="387"/>
      <c r="K69" s="10"/>
      <c r="L69" s="11"/>
      <c r="M69" s="12"/>
    </row>
    <row r="70" spans="1:13" x14ac:dyDescent="0.3">
      <c r="I70" s="375"/>
      <c r="J70" s="375"/>
      <c r="K70" s="375"/>
      <c r="L70" s="2"/>
      <c r="M70" s="3"/>
    </row>
    <row r="71" spans="1:13" x14ac:dyDescent="0.3">
      <c r="I71" s="375"/>
      <c r="J71" s="375"/>
      <c r="K71" s="375"/>
      <c r="L71" s="2"/>
      <c r="M71" s="12"/>
    </row>
    <row r="72" spans="1:13" x14ac:dyDescent="0.3">
      <c r="I72" s="376"/>
      <c r="J72" s="376"/>
      <c r="K72" s="376"/>
      <c r="L72" s="13"/>
      <c r="M72" s="14"/>
    </row>
    <row r="74" spans="1:13" x14ac:dyDescent="0.3">
      <c r="I74" s="1"/>
      <c r="J74" s="390"/>
      <c r="K74" s="391"/>
      <c r="L74" s="392"/>
      <c r="M74" s="1"/>
    </row>
    <row r="75" spans="1:13" x14ac:dyDescent="0.3">
      <c r="I75" s="375"/>
      <c r="J75" s="375"/>
      <c r="K75" s="375"/>
      <c r="L75" s="2"/>
      <c r="M75" s="3"/>
    </row>
    <row r="76" spans="1:13" x14ac:dyDescent="0.3">
      <c r="I76" s="380"/>
      <c r="J76" s="381"/>
      <c r="K76" s="5"/>
      <c r="L76" s="6"/>
      <c r="M76" s="4"/>
    </row>
    <row r="77" spans="1:13" x14ac:dyDescent="0.3">
      <c r="I77" s="382"/>
      <c r="J77" s="383"/>
      <c r="K77" s="7"/>
      <c r="L77" s="3"/>
      <c r="M77" s="8"/>
    </row>
    <row r="78" spans="1:13" x14ac:dyDescent="0.3">
      <c r="I78" s="382"/>
      <c r="J78" s="383"/>
      <c r="K78" s="7"/>
      <c r="L78" s="9"/>
      <c r="M78" s="8"/>
    </row>
    <row r="79" spans="1:13" x14ac:dyDescent="0.3">
      <c r="I79" s="382"/>
      <c r="J79" s="383"/>
      <c r="K79" s="7"/>
      <c r="L79" s="3"/>
      <c r="M79" s="8"/>
    </row>
    <row r="80" spans="1:13" x14ac:dyDescent="0.3">
      <c r="I80" s="382"/>
      <c r="J80" s="383"/>
      <c r="K80" s="7"/>
      <c r="L80" s="3"/>
      <c r="M80" s="8"/>
    </row>
    <row r="81" spans="9:13" x14ac:dyDescent="0.3">
      <c r="I81" s="382"/>
      <c r="J81" s="383"/>
      <c r="K81" s="7"/>
      <c r="L81" s="3"/>
      <c r="M81" s="8"/>
    </row>
    <row r="82" spans="9:13" x14ac:dyDescent="0.3">
      <c r="I82" s="377"/>
      <c r="J82" s="378"/>
      <c r="K82" s="378"/>
      <c r="L82" s="378"/>
      <c r="M82" s="379"/>
    </row>
    <row r="83" spans="9:13" x14ac:dyDescent="0.3">
      <c r="I83" s="386"/>
      <c r="J83" s="387"/>
      <c r="K83" s="10"/>
      <c r="L83" s="11"/>
      <c r="M83" s="12"/>
    </row>
    <row r="84" spans="9:13" x14ac:dyDescent="0.3">
      <c r="I84" s="375"/>
      <c r="J84" s="375"/>
      <c r="K84" s="375"/>
      <c r="L84" s="2"/>
      <c r="M84" s="3"/>
    </row>
    <row r="85" spans="9:13" x14ac:dyDescent="0.3">
      <c r="I85" s="375"/>
      <c r="J85" s="375"/>
      <c r="K85" s="375"/>
      <c r="L85" s="2"/>
      <c r="M85" s="12"/>
    </row>
    <row r="86" spans="9:13" x14ac:dyDescent="0.3">
      <c r="I86" s="376"/>
      <c r="J86" s="376"/>
      <c r="K86" s="376"/>
      <c r="L86" s="13"/>
      <c r="M86" s="14"/>
    </row>
  </sheetData>
  <mergeCells count="181">
    <mergeCell ref="B1:D1"/>
    <mergeCell ref="J1:L1"/>
    <mergeCell ref="R1:T1"/>
    <mergeCell ref="A2:C2"/>
    <mergeCell ref="I2:K2"/>
    <mergeCell ref="Q2:S2"/>
    <mergeCell ref="A5:B5"/>
    <mergeCell ref="I5:J5"/>
    <mergeCell ref="Q5:R5"/>
    <mergeCell ref="A6:B6"/>
    <mergeCell ref="I6:J6"/>
    <mergeCell ref="Q6:R6"/>
    <mergeCell ref="A3:B3"/>
    <mergeCell ref="I3:J3"/>
    <mergeCell ref="Q3:R3"/>
    <mergeCell ref="A4:B4"/>
    <mergeCell ref="I4:J4"/>
    <mergeCell ref="Q4:R4"/>
    <mergeCell ref="I9:J9"/>
    <mergeCell ref="Q9:R9"/>
    <mergeCell ref="A9:E9"/>
    <mergeCell ref="A10:B10"/>
    <mergeCell ref="I10:M10"/>
    <mergeCell ref="Q10:R10"/>
    <mergeCell ref="A7:B7"/>
    <mergeCell ref="I7:J7"/>
    <mergeCell ref="Q7:R7"/>
    <mergeCell ref="I8:J8"/>
    <mergeCell ref="Q15:S15"/>
    <mergeCell ref="B15:D15"/>
    <mergeCell ref="A11:C11"/>
    <mergeCell ref="A12:C12"/>
    <mergeCell ref="I12:K12"/>
    <mergeCell ref="I11:J11"/>
    <mergeCell ref="Q11:U11"/>
    <mergeCell ref="Q12:R12"/>
    <mergeCell ref="A13:C13"/>
    <mergeCell ref="I13:K13"/>
    <mergeCell ref="Q13:S13"/>
    <mergeCell ref="I14:K14"/>
    <mergeCell ref="Q14:S14"/>
    <mergeCell ref="A18:B18"/>
    <mergeCell ref="I18:J18"/>
    <mergeCell ref="A19:B19"/>
    <mergeCell ref="I19:J19"/>
    <mergeCell ref="Q19:R19"/>
    <mergeCell ref="Q18:S18"/>
    <mergeCell ref="A17:B17"/>
    <mergeCell ref="A16:C16"/>
    <mergeCell ref="J16:L16"/>
    <mergeCell ref="I17:K17"/>
    <mergeCell ref="R17:T17"/>
    <mergeCell ref="I22:J22"/>
    <mergeCell ref="Q22:R22"/>
    <mergeCell ref="A22:E22"/>
    <mergeCell ref="A23:B23"/>
    <mergeCell ref="I23:J23"/>
    <mergeCell ref="Q23:R23"/>
    <mergeCell ref="A20:B20"/>
    <mergeCell ref="I20:J20"/>
    <mergeCell ref="Q20:R20"/>
    <mergeCell ref="A21:B21"/>
    <mergeCell ref="I21:J21"/>
    <mergeCell ref="Q21:R21"/>
    <mergeCell ref="I27:K27"/>
    <mergeCell ref="Q27:S27"/>
    <mergeCell ref="R30:T30"/>
    <mergeCell ref="J31:L31"/>
    <mergeCell ref="Q31:S31"/>
    <mergeCell ref="I32:K32"/>
    <mergeCell ref="Q28:S28"/>
    <mergeCell ref="B28:D28"/>
    <mergeCell ref="I28:K28"/>
    <mergeCell ref="A29:C29"/>
    <mergeCell ref="I29:K29"/>
    <mergeCell ref="A30:B30"/>
    <mergeCell ref="A31:B31"/>
    <mergeCell ref="A32:B32"/>
    <mergeCell ref="Q32:R32"/>
    <mergeCell ref="A24:C24"/>
    <mergeCell ref="A25:C25"/>
    <mergeCell ref="I24:J24"/>
    <mergeCell ref="Q24:U24"/>
    <mergeCell ref="I25:M25"/>
    <mergeCell ref="Q25:R25"/>
    <mergeCell ref="A26:C26"/>
    <mergeCell ref="I26:J26"/>
    <mergeCell ref="Q26:S26"/>
    <mergeCell ref="A39:C39"/>
    <mergeCell ref="I39:M39"/>
    <mergeCell ref="Q39:S39"/>
    <mergeCell ref="A40:C40"/>
    <mergeCell ref="I40:J40"/>
    <mergeCell ref="Q40:S40"/>
    <mergeCell ref="A36:B36"/>
    <mergeCell ref="I36:J36"/>
    <mergeCell ref="Q36:R36"/>
    <mergeCell ref="A37:E37"/>
    <mergeCell ref="I37:J37"/>
    <mergeCell ref="Q37:U37"/>
    <mergeCell ref="A38:B38"/>
    <mergeCell ref="I38:J38"/>
    <mergeCell ref="Q38:R38"/>
    <mergeCell ref="A33:B33"/>
    <mergeCell ref="Q33:R33"/>
    <mergeCell ref="A35:B35"/>
    <mergeCell ref="Q35:R35"/>
    <mergeCell ref="I33:J33"/>
    <mergeCell ref="A34:B34"/>
    <mergeCell ref="I34:J34"/>
    <mergeCell ref="Q34:R34"/>
    <mergeCell ref="I35:J35"/>
    <mergeCell ref="A44:C44"/>
    <mergeCell ref="A45:B45"/>
    <mergeCell ref="J45:L45"/>
    <mergeCell ref="A46:B46"/>
    <mergeCell ref="I46:K46"/>
    <mergeCell ref="A41:C41"/>
    <mergeCell ref="I41:K41"/>
    <mergeCell ref="Q41:S41"/>
    <mergeCell ref="I42:K42"/>
    <mergeCell ref="B43:D43"/>
    <mergeCell ref="I43:K43"/>
    <mergeCell ref="A50:E50"/>
    <mergeCell ref="I50:J50"/>
    <mergeCell ref="A51:B51"/>
    <mergeCell ref="I51:J51"/>
    <mergeCell ref="A52:C52"/>
    <mergeCell ref="I52:J52"/>
    <mergeCell ref="A47:B47"/>
    <mergeCell ref="I47:J47"/>
    <mergeCell ref="A48:B48"/>
    <mergeCell ref="I48:J48"/>
    <mergeCell ref="A49:B49"/>
    <mergeCell ref="I49:J49"/>
    <mergeCell ref="B56:D56"/>
    <mergeCell ref="I56:K56"/>
    <mergeCell ref="A57:C57"/>
    <mergeCell ref="I57:K57"/>
    <mergeCell ref="A58:B58"/>
    <mergeCell ref="I58:K58"/>
    <mergeCell ref="A53:C53"/>
    <mergeCell ref="I53:J53"/>
    <mergeCell ref="A54:C54"/>
    <mergeCell ref="I54:M54"/>
    <mergeCell ref="I55:J55"/>
    <mergeCell ref="A62:B62"/>
    <mergeCell ref="I62:J62"/>
    <mergeCell ref="A63:E63"/>
    <mergeCell ref="I63:J63"/>
    <mergeCell ref="A64:B64"/>
    <mergeCell ref="I64:J64"/>
    <mergeCell ref="A59:B59"/>
    <mergeCell ref="A60:B60"/>
    <mergeCell ref="J60:L60"/>
    <mergeCell ref="A61:B61"/>
    <mergeCell ref="I61:K61"/>
    <mergeCell ref="I68:M68"/>
    <mergeCell ref="I69:J69"/>
    <mergeCell ref="I70:K70"/>
    <mergeCell ref="I71:K71"/>
    <mergeCell ref="I72:K72"/>
    <mergeCell ref="A65:C65"/>
    <mergeCell ref="I65:J65"/>
    <mergeCell ref="A66:C66"/>
    <mergeCell ref="I66:J66"/>
    <mergeCell ref="A67:C67"/>
    <mergeCell ref="I67:J67"/>
    <mergeCell ref="I84:K84"/>
    <mergeCell ref="I85:K85"/>
    <mergeCell ref="I86:K86"/>
    <mergeCell ref="I79:J79"/>
    <mergeCell ref="I80:J80"/>
    <mergeCell ref="I81:J81"/>
    <mergeCell ref="I82:M82"/>
    <mergeCell ref="I83:J83"/>
    <mergeCell ref="J74:L74"/>
    <mergeCell ref="I75:K75"/>
    <mergeCell ref="I76:J76"/>
    <mergeCell ref="I77:J77"/>
    <mergeCell ref="I78:J7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E25" sqref="E25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9"/>
  <sheetViews>
    <sheetView workbookViewId="0">
      <pane xSplit="2" ySplit="2" topLeftCell="C31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4.4" x14ac:dyDescent="0.3"/>
  <cols>
    <col min="1" max="1" width="4.88671875" customWidth="1"/>
    <col min="2" max="2" width="20" bestFit="1" customWidth="1"/>
    <col min="3" max="3" width="6.109375" customWidth="1"/>
    <col min="4" max="4" width="6" customWidth="1"/>
    <col min="5" max="5" width="6.44140625" customWidth="1"/>
    <col min="6" max="6" width="5.88671875" customWidth="1"/>
    <col min="7" max="7" width="6.33203125" customWidth="1"/>
    <col min="8" max="8" width="5.88671875" customWidth="1"/>
    <col min="9" max="9" width="5.33203125" customWidth="1"/>
    <col min="10" max="11" width="5.6640625" customWidth="1"/>
    <col min="12" max="12" width="5.33203125" customWidth="1"/>
    <col min="13" max="13" width="5.109375" customWidth="1"/>
  </cols>
  <sheetData>
    <row r="1" spans="1:19" ht="15" x14ac:dyDescent="0.35">
      <c r="A1" s="397" t="s">
        <v>399</v>
      </c>
      <c r="B1" s="397" t="s">
        <v>400</v>
      </c>
      <c r="C1" s="398" t="s">
        <v>401</v>
      </c>
      <c r="D1" s="399"/>
      <c r="E1" s="399"/>
      <c r="F1" s="399"/>
      <c r="G1" s="400"/>
      <c r="H1" s="251" t="s">
        <v>402</v>
      </c>
      <c r="I1" s="401" t="s">
        <v>403</v>
      </c>
      <c r="J1" s="401"/>
      <c r="K1" s="15" t="s">
        <v>404</v>
      </c>
      <c r="L1" s="15" t="s">
        <v>405</v>
      </c>
      <c r="M1" s="15" t="s">
        <v>406</v>
      </c>
      <c r="N1" s="15" t="s">
        <v>407</v>
      </c>
      <c r="O1" s="395" t="s">
        <v>408</v>
      </c>
      <c r="P1" s="395" t="s">
        <v>409</v>
      </c>
      <c r="Q1" s="395" t="s">
        <v>410</v>
      </c>
      <c r="S1" t="s">
        <v>411</v>
      </c>
    </row>
    <row r="2" spans="1:19" x14ac:dyDescent="0.3">
      <c r="A2" s="397"/>
      <c r="B2" s="397"/>
      <c r="C2" s="250" t="s">
        <v>412</v>
      </c>
      <c r="D2" s="250" t="s">
        <v>413</v>
      </c>
      <c r="E2" s="250" t="s">
        <v>414</v>
      </c>
      <c r="F2" s="250" t="s">
        <v>415</v>
      </c>
      <c r="G2" s="250" t="s">
        <v>416</v>
      </c>
      <c r="H2" s="251" t="s">
        <v>417</v>
      </c>
      <c r="I2" s="251" t="s">
        <v>418</v>
      </c>
      <c r="J2" s="251" t="s">
        <v>419</v>
      </c>
      <c r="K2" s="251" t="s">
        <v>420</v>
      </c>
      <c r="L2" s="251" t="s">
        <v>421</v>
      </c>
      <c r="M2" s="251" t="s">
        <v>422</v>
      </c>
      <c r="N2" s="15" t="s">
        <v>423</v>
      </c>
      <c r="O2" s="396"/>
      <c r="P2" s="396"/>
      <c r="Q2" s="396"/>
    </row>
    <row r="3" spans="1:19" x14ac:dyDescent="0.3">
      <c r="A3" s="16" t="s">
        <v>424</v>
      </c>
      <c r="B3" s="17" t="s">
        <v>425</v>
      </c>
      <c r="C3" s="17"/>
      <c r="D3" s="17">
        <v>100</v>
      </c>
      <c r="E3" s="17"/>
      <c r="F3" s="17"/>
      <c r="G3" s="18"/>
      <c r="H3" s="20">
        <f>SUM(C3:G3)</f>
        <v>100</v>
      </c>
      <c r="I3" s="21">
        <v>1.5</v>
      </c>
      <c r="J3" s="21">
        <v>1.5</v>
      </c>
      <c r="K3" s="21">
        <f>2*(I3+J3)</f>
        <v>6</v>
      </c>
      <c r="L3" s="21">
        <f>I3*J3</f>
        <v>2.25</v>
      </c>
      <c r="M3" s="21">
        <f>0.9*(2*I3+2*J3)</f>
        <v>5.4</v>
      </c>
      <c r="N3" s="19">
        <v>1.5</v>
      </c>
      <c r="O3" s="21">
        <f>L3*H3</f>
        <v>225</v>
      </c>
      <c r="P3" s="22">
        <f>K3*H3</f>
        <v>600</v>
      </c>
      <c r="Q3" s="22">
        <f>M3</f>
        <v>5.4</v>
      </c>
    </row>
    <row r="4" spans="1:19" x14ac:dyDescent="0.3">
      <c r="A4" s="16" t="s">
        <v>426</v>
      </c>
      <c r="B4" s="17" t="s">
        <v>425</v>
      </c>
      <c r="C4" s="17"/>
      <c r="D4" s="17">
        <v>2</v>
      </c>
      <c r="E4" s="17"/>
      <c r="F4" s="17"/>
      <c r="G4" s="18"/>
      <c r="H4" s="20">
        <f t="shared" ref="H4:H36" si="0">SUM(C4:G4)</f>
        <v>2</v>
      </c>
      <c r="I4" s="21">
        <v>0.9</v>
      </c>
      <c r="J4" s="21">
        <v>1.5</v>
      </c>
      <c r="K4" s="21">
        <f t="shared" ref="K4:K36" si="1">2*(I4+J4)</f>
        <v>4.8</v>
      </c>
      <c r="L4" s="21">
        <f t="shared" ref="L4:L36" si="2">I4*J4</f>
        <v>1.35</v>
      </c>
      <c r="M4" s="21">
        <f t="shared" ref="M4:M38" si="3">0.9*(2*I4+2*J4)</f>
        <v>4.32</v>
      </c>
      <c r="N4" s="19">
        <v>1.5</v>
      </c>
      <c r="O4" s="21">
        <f t="shared" ref="O4:O36" si="4">L4*H4</f>
        <v>2.7</v>
      </c>
      <c r="P4" s="22">
        <f t="shared" ref="P4:P36" si="5">K4*H4</f>
        <v>9.6</v>
      </c>
      <c r="Q4" s="22">
        <f t="shared" ref="Q4:Q36" si="6">M4</f>
        <v>4.32</v>
      </c>
    </row>
    <row r="5" spans="1:19" x14ac:dyDescent="0.3">
      <c r="A5" s="16" t="s">
        <v>427</v>
      </c>
      <c r="B5" s="17" t="s">
        <v>425</v>
      </c>
      <c r="C5" s="17"/>
      <c r="D5" s="17">
        <v>16</v>
      </c>
      <c r="E5" s="17"/>
      <c r="F5" s="17"/>
      <c r="G5" s="18"/>
      <c r="H5" s="20">
        <f t="shared" si="0"/>
        <v>16</v>
      </c>
      <c r="I5" s="21">
        <v>2.1</v>
      </c>
      <c r="J5" s="21">
        <v>1.5</v>
      </c>
      <c r="K5" s="21">
        <f t="shared" si="1"/>
        <v>7.2</v>
      </c>
      <c r="L5" s="21">
        <f t="shared" si="2"/>
        <v>3.1500000000000004</v>
      </c>
      <c r="M5" s="21">
        <f t="shared" si="3"/>
        <v>6.48</v>
      </c>
      <c r="N5" s="19">
        <v>1.5</v>
      </c>
      <c r="O5" s="21">
        <f t="shared" si="4"/>
        <v>50.400000000000006</v>
      </c>
      <c r="P5" s="22">
        <f t="shared" si="5"/>
        <v>115.2</v>
      </c>
      <c r="Q5" s="22">
        <f t="shared" si="6"/>
        <v>6.48</v>
      </c>
    </row>
    <row r="6" spans="1:19" x14ac:dyDescent="0.3">
      <c r="A6" s="16" t="s">
        <v>428</v>
      </c>
      <c r="B6" s="17" t="s">
        <v>425</v>
      </c>
      <c r="C6" s="17"/>
      <c r="D6" s="17">
        <v>4</v>
      </c>
      <c r="E6" s="17"/>
      <c r="F6" s="17"/>
      <c r="G6" s="18"/>
      <c r="H6" s="20">
        <f t="shared" si="0"/>
        <v>4</v>
      </c>
      <c r="I6" s="21">
        <v>3</v>
      </c>
      <c r="J6" s="21">
        <v>1.5</v>
      </c>
      <c r="K6" s="21">
        <f t="shared" si="1"/>
        <v>9</v>
      </c>
      <c r="L6" s="21">
        <f t="shared" si="2"/>
        <v>4.5</v>
      </c>
      <c r="M6" s="21">
        <f t="shared" si="3"/>
        <v>8.1</v>
      </c>
      <c r="N6" s="19">
        <v>1.5</v>
      </c>
      <c r="O6" s="21">
        <f t="shared" si="4"/>
        <v>18</v>
      </c>
      <c r="P6" s="22">
        <f t="shared" si="5"/>
        <v>36</v>
      </c>
      <c r="Q6" s="22">
        <f t="shared" si="6"/>
        <v>8.1</v>
      </c>
    </row>
    <row r="7" spans="1:19" x14ac:dyDescent="0.3">
      <c r="A7" s="16" t="s">
        <v>429</v>
      </c>
      <c r="B7" s="17" t="s">
        <v>425</v>
      </c>
      <c r="C7" s="17"/>
      <c r="D7" s="17">
        <v>3</v>
      </c>
      <c r="E7" s="17"/>
      <c r="F7" s="17"/>
      <c r="G7" s="18"/>
      <c r="H7" s="20">
        <f t="shared" si="0"/>
        <v>3</v>
      </c>
      <c r="I7" s="21">
        <v>1.2</v>
      </c>
      <c r="J7" s="21">
        <v>0.9</v>
      </c>
      <c r="K7" s="21">
        <f t="shared" si="1"/>
        <v>4.2</v>
      </c>
      <c r="L7" s="21">
        <f t="shared" si="2"/>
        <v>1.08</v>
      </c>
      <c r="M7" s="21">
        <f t="shared" si="3"/>
        <v>3.7800000000000002</v>
      </c>
      <c r="N7" s="19">
        <v>1.5</v>
      </c>
      <c r="O7" s="21">
        <f t="shared" si="4"/>
        <v>3.24</v>
      </c>
      <c r="P7" s="22">
        <f t="shared" si="5"/>
        <v>12.600000000000001</v>
      </c>
      <c r="Q7" s="22">
        <f t="shared" si="6"/>
        <v>3.7800000000000002</v>
      </c>
    </row>
    <row r="8" spans="1:19" x14ac:dyDescent="0.3">
      <c r="A8" s="16" t="s">
        <v>430</v>
      </c>
      <c r="B8" s="17" t="s">
        <v>425</v>
      </c>
      <c r="C8" s="17"/>
      <c r="D8" s="17">
        <v>1</v>
      </c>
      <c r="E8" s="17"/>
      <c r="F8" s="17"/>
      <c r="G8" s="18"/>
      <c r="H8" s="20">
        <f t="shared" si="0"/>
        <v>1</v>
      </c>
      <c r="I8" s="21">
        <v>1.4</v>
      </c>
      <c r="J8" s="21">
        <v>1.35</v>
      </c>
      <c r="K8" s="21">
        <f t="shared" si="1"/>
        <v>5.5</v>
      </c>
      <c r="L8" s="21">
        <f t="shared" si="2"/>
        <v>1.89</v>
      </c>
      <c r="M8" s="21">
        <f t="shared" si="3"/>
        <v>4.95</v>
      </c>
      <c r="N8" s="19">
        <v>1.5</v>
      </c>
      <c r="O8" s="21">
        <f t="shared" si="4"/>
        <v>1.89</v>
      </c>
      <c r="P8" s="22">
        <f t="shared" si="5"/>
        <v>5.5</v>
      </c>
      <c r="Q8" s="22">
        <f t="shared" si="6"/>
        <v>4.95</v>
      </c>
    </row>
    <row r="9" spans="1:19" x14ac:dyDescent="0.3">
      <c r="A9" s="16" t="s">
        <v>431</v>
      </c>
      <c r="B9" s="17" t="s">
        <v>425</v>
      </c>
      <c r="C9" s="17"/>
      <c r="D9" s="17">
        <v>4</v>
      </c>
      <c r="E9" s="17"/>
      <c r="F9" s="17"/>
      <c r="G9" s="18"/>
      <c r="H9" s="20">
        <f t="shared" si="0"/>
        <v>4</v>
      </c>
      <c r="I9" s="21">
        <v>1.35</v>
      </c>
      <c r="J9" s="21">
        <v>1.5</v>
      </c>
      <c r="K9" s="21">
        <f t="shared" si="1"/>
        <v>5.7</v>
      </c>
      <c r="L9" s="21">
        <f t="shared" si="2"/>
        <v>2.0250000000000004</v>
      </c>
      <c r="M9" s="21">
        <f t="shared" si="3"/>
        <v>5.13</v>
      </c>
      <c r="N9" s="19">
        <v>1.5</v>
      </c>
      <c r="O9" s="21">
        <f t="shared" si="4"/>
        <v>8.1000000000000014</v>
      </c>
      <c r="P9" s="22">
        <f t="shared" si="5"/>
        <v>22.8</v>
      </c>
      <c r="Q9" s="22">
        <f t="shared" si="6"/>
        <v>5.13</v>
      </c>
    </row>
    <row r="10" spans="1:19" x14ac:dyDescent="0.3">
      <c r="A10" s="16" t="s">
        <v>432</v>
      </c>
      <c r="B10" s="17" t="s">
        <v>425</v>
      </c>
      <c r="C10" s="17"/>
      <c r="D10" s="17">
        <v>1</v>
      </c>
      <c r="E10" s="17"/>
      <c r="F10" s="17"/>
      <c r="G10" s="18"/>
      <c r="H10" s="20">
        <f t="shared" si="0"/>
        <v>1</v>
      </c>
      <c r="I10" s="21">
        <v>0.6</v>
      </c>
      <c r="J10" s="21">
        <v>1.5</v>
      </c>
      <c r="K10" s="21">
        <f t="shared" si="1"/>
        <v>4.2</v>
      </c>
      <c r="L10" s="21">
        <f t="shared" si="2"/>
        <v>0.89999999999999991</v>
      </c>
      <c r="M10" s="21">
        <f t="shared" si="3"/>
        <v>3.7800000000000002</v>
      </c>
      <c r="N10" s="19">
        <v>1.5</v>
      </c>
      <c r="O10" s="21">
        <f t="shared" si="4"/>
        <v>0.89999999999999991</v>
      </c>
      <c r="P10" s="22">
        <f t="shared" si="5"/>
        <v>4.2</v>
      </c>
      <c r="Q10" s="22">
        <f t="shared" si="6"/>
        <v>3.7800000000000002</v>
      </c>
    </row>
    <row r="11" spans="1:19" x14ac:dyDescent="0.3">
      <c r="A11" s="16" t="s">
        <v>433</v>
      </c>
      <c r="B11" s="17" t="s">
        <v>425</v>
      </c>
      <c r="C11" s="17"/>
      <c r="D11" s="17">
        <v>4</v>
      </c>
      <c r="E11" s="17"/>
      <c r="F11" s="17"/>
      <c r="G11" s="18"/>
      <c r="H11" s="20">
        <f t="shared" si="0"/>
        <v>4</v>
      </c>
      <c r="I11" s="21">
        <v>2.7</v>
      </c>
      <c r="J11" s="21">
        <v>1.5</v>
      </c>
      <c r="K11" s="21">
        <f t="shared" si="1"/>
        <v>8.4</v>
      </c>
      <c r="L11" s="21">
        <f t="shared" si="2"/>
        <v>4.0500000000000007</v>
      </c>
      <c r="M11" s="21">
        <f t="shared" si="3"/>
        <v>7.5600000000000005</v>
      </c>
      <c r="N11" s="19">
        <v>1.5</v>
      </c>
      <c r="O11" s="21">
        <f t="shared" si="4"/>
        <v>16.200000000000003</v>
      </c>
      <c r="P11" s="22">
        <f t="shared" si="5"/>
        <v>33.6</v>
      </c>
      <c r="Q11" s="22">
        <f t="shared" si="6"/>
        <v>7.5600000000000005</v>
      </c>
    </row>
    <row r="12" spans="1:19" x14ac:dyDescent="0.3">
      <c r="A12" s="16" t="s">
        <v>434</v>
      </c>
      <c r="B12" s="17" t="s">
        <v>425</v>
      </c>
      <c r="C12" s="17">
        <v>1</v>
      </c>
      <c r="D12" s="17"/>
      <c r="E12" s="17"/>
      <c r="F12" s="17"/>
      <c r="G12" s="18"/>
      <c r="H12" s="20">
        <f t="shared" si="0"/>
        <v>1</v>
      </c>
      <c r="I12" s="21">
        <v>1.34</v>
      </c>
      <c r="J12" s="21">
        <v>1.5</v>
      </c>
      <c r="K12" s="21">
        <f t="shared" si="1"/>
        <v>5.68</v>
      </c>
      <c r="L12" s="21">
        <f t="shared" si="2"/>
        <v>2.0100000000000002</v>
      </c>
      <c r="M12" s="21">
        <f t="shared" si="3"/>
        <v>5.1120000000000001</v>
      </c>
      <c r="N12" s="19">
        <v>1.5</v>
      </c>
      <c r="O12" s="21">
        <f t="shared" si="4"/>
        <v>2.0100000000000002</v>
      </c>
      <c r="P12" s="22">
        <f t="shared" si="5"/>
        <v>5.68</v>
      </c>
      <c r="Q12" s="22">
        <f t="shared" si="6"/>
        <v>5.1120000000000001</v>
      </c>
    </row>
    <row r="13" spans="1:19" x14ac:dyDescent="0.3">
      <c r="A13" s="16" t="s">
        <v>435</v>
      </c>
      <c r="B13" s="17" t="s">
        <v>425</v>
      </c>
      <c r="C13" s="17">
        <v>2</v>
      </c>
      <c r="D13" s="17"/>
      <c r="E13" s="17"/>
      <c r="F13" s="17"/>
      <c r="G13" s="18"/>
      <c r="H13" s="20">
        <f t="shared" si="0"/>
        <v>2</v>
      </c>
      <c r="I13" s="21">
        <v>2.4</v>
      </c>
      <c r="J13" s="21">
        <v>2.4</v>
      </c>
      <c r="K13" s="21">
        <f t="shared" si="1"/>
        <v>9.6</v>
      </c>
      <c r="L13" s="21">
        <f t="shared" si="2"/>
        <v>5.76</v>
      </c>
      <c r="M13" s="21">
        <f t="shared" si="3"/>
        <v>8.64</v>
      </c>
      <c r="N13" s="19">
        <v>1.5</v>
      </c>
      <c r="O13" s="21">
        <f t="shared" si="4"/>
        <v>11.52</v>
      </c>
      <c r="P13" s="22">
        <f t="shared" si="5"/>
        <v>19.2</v>
      </c>
      <c r="Q13" s="22">
        <f t="shared" si="6"/>
        <v>8.64</v>
      </c>
    </row>
    <row r="14" spans="1:19" x14ac:dyDescent="0.3">
      <c r="A14" s="16" t="s">
        <v>436</v>
      </c>
      <c r="B14" s="17" t="s">
        <v>425</v>
      </c>
      <c r="C14" s="17">
        <v>2</v>
      </c>
      <c r="D14" s="17"/>
      <c r="E14" s="17"/>
      <c r="F14" s="17"/>
      <c r="G14" s="18"/>
      <c r="H14" s="20">
        <f t="shared" si="0"/>
        <v>2</v>
      </c>
      <c r="I14" s="21">
        <v>1.35</v>
      </c>
      <c r="J14" s="21">
        <v>1.5</v>
      </c>
      <c r="K14" s="21">
        <f t="shared" si="1"/>
        <v>5.7</v>
      </c>
      <c r="L14" s="21">
        <f t="shared" si="2"/>
        <v>2.0250000000000004</v>
      </c>
      <c r="M14" s="21">
        <f t="shared" si="3"/>
        <v>5.13</v>
      </c>
      <c r="N14" s="19">
        <v>1.5</v>
      </c>
      <c r="O14" s="21">
        <f t="shared" si="4"/>
        <v>4.0500000000000007</v>
      </c>
      <c r="P14" s="22">
        <f t="shared" si="5"/>
        <v>11.4</v>
      </c>
      <c r="Q14" s="22">
        <f t="shared" si="6"/>
        <v>5.13</v>
      </c>
    </row>
    <row r="15" spans="1:19" x14ac:dyDescent="0.3">
      <c r="A15" s="16" t="s">
        <v>437</v>
      </c>
      <c r="B15" s="17" t="s">
        <v>425</v>
      </c>
      <c r="C15" s="17">
        <v>11</v>
      </c>
      <c r="D15" s="17"/>
      <c r="E15" s="17"/>
      <c r="F15" s="17"/>
      <c r="G15" s="18"/>
      <c r="H15" s="20">
        <f t="shared" si="0"/>
        <v>11</v>
      </c>
      <c r="I15" s="21">
        <v>1.42</v>
      </c>
      <c r="J15" s="21">
        <v>1.5</v>
      </c>
      <c r="K15" s="21">
        <f t="shared" si="1"/>
        <v>5.84</v>
      </c>
      <c r="L15" s="21">
        <f t="shared" si="2"/>
        <v>2.13</v>
      </c>
      <c r="M15" s="21">
        <f t="shared" si="3"/>
        <v>5.2560000000000002</v>
      </c>
      <c r="N15" s="19">
        <v>1.5</v>
      </c>
      <c r="O15" s="21">
        <f t="shared" si="4"/>
        <v>23.43</v>
      </c>
      <c r="P15" s="22">
        <f t="shared" si="5"/>
        <v>64.239999999999995</v>
      </c>
      <c r="Q15" s="22">
        <f t="shared" si="6"/>
        <v>5.2560000000000002</v>
      </c>
    </row>
    <row r="16" spans="1:19" x14ac:dyDescent="0.3">
      <c r="A16" s="16" t="s">
        <v>438</v>
      </c>
      <c r="B16" s="17" t="s">
        <v>425</v>
      </c>
      <c r="C16" s="17">
        <v>5</v>
      </c>
      <c r="D16" s="17"/>
      <c r="E16" s="17"/>
      <c r="F16" s="17"/>
      <c r="G16" s="18"/>
      <c r="H16" s="20">
        <f t="shared" si="0"/>
        <v>5</v>
      </c>
      <c r="I16" s="21">
        <v>5.6</v>
      </c>
      <c r="J16" s="21">
        <v>1.5</v>
      </c>
      <c r="K16" s="21">
        <f t="shared" si="1"/>
        <v>14.2</v>
      </c>
      <c r="L16" s="21">
        <f t="shared" si="2"/>
        <v>8.3999999999999986</v>
      </c>
      <c r="M16" s="21">
        <f t="shared" si="3"/>
        <v>12.78</v>
      </c>
      <c r="N16" s="19">
        <v>1.5</v>
      </c>
      <c r="O16" s="21">
        <f t="shared" si="4"/>
        <v>41.999999999999993</v>
      </c>
      <c r="P16" s="22">
        <f t="shared" si="5"/>
        <v>71</v>
      </c>
      <c r="Q16" s="22">
        <f t="shared" si="6"/>
        <v>12.78</v>
      </c>
    </row>
    <row r="17" spans="1:17" x14ac:dyDescent="0.3">
      <c r="A17" s="16" t="s">
        <v>439</v>
      </c>
      <c r="B17" s="17" t="s">
        <v>425</v>
      </c>
      <c r="C17" s="17"/>
      <c r="D17" s="17"/>
      <c r="E17" s="17">
        <v>17</v>
      </c>
      <c r="F17" s="17"/>
      <c r="G17" s="18"/>
      <c r="H17" s="20">
        <f t="shared" si="0"/>
        <v>17</v>
      </c>
      <c r="I17" s="21">
        <v>2.1</v>
      </c>
      <c r="J17" s="21">
        <v>1.5</v>
      </c>
      <c r="K17" s="21">
        <f t="shared" si="1"/>
        <v>7.2</v>
      </c>
      <c r="L17" s="21">
        <f t="shared" si="2"/>
        <v>3.1500000000000004</v>
      </c>
      <c r="M17" s="21">
        <f t="shared" si="3"/>
        <v>6.48</v>
      </c>
      <c r="N17" s="19">
        <v>1.5</v>
      </c>
      <c r="O17" s="21">
        <f t="shared" si="4"/>
        <v>53.550000000000004</v>
      </c>
      <c r="P17" s="22">
        <f t="shared" si="5"/>
        <v>122.4</v>
      </c>
      <c r="Q17" s="22">
        <f t="shared" si="6"/>
        <v>6.48</v>
      </c>
    </row>
    <row r="18" spans="1:17" x14ac:dyDescent="0.3">
      <c r="A18" s="16" t="s">
        <v>440</v>
      </c>
      <c r="B18" s="17" t="s">
        <v>425</v>
      </c>
      <c r="C18" s="17"/>
      <c r="D18" s="17"/>
      <c r="E18" s="17">
        <v>100</v>
      </c>
      <c r="F18" s="17"/>
      <c r="G18" s="18"/>
      <c r="H18" s="20">
        <f t="shared" si="0"/>
        <v>100</v>
      </c>
      <c r="I18" s="21">
        <v>1.5</v>
      </c>
      <c r="J18" s="21">
        <v>1.5</v>
      </c>
      <c r="K18" s="21">
        <f t="shared" si="1"/>
        <v>6</v>
      </c>
      <c r="L18" s="21">
        <f t="shared" si="2"/>
        <v>2.25</v>
      </c>
      <c r="M18" s="21">
        <f t="shared" si="3"/>
        <v>5.4</v>
      </c>
      <c r="N18" s="19">
        <v>1.5</v>
      </c>
      <c r="O18" s="21">
        <f t="shared" si="4"/>
        <v>225</v>
      </c>
      <c r="P18" s="22">
        <f t="shared" si="5"/>
        <v>600</v>
      </c>
      <c r="Q18" s="22">
        <f t="shared" si="6"/>
        <v>5.4</v>
      </c>
    </row>
    <row r="19" spans="1:17" x14ac:dyDescent="0.3">
      <c r="A19" s="16" t="s">
        <v>441</v>
      </c>
      <c r="B19" s="17" t="s">
        <v>425</v>
      </c>
      <c r="C19" s="17"/>
      <c r="D19" s="17"/>
      <c r="E19" s="17">
        <v>8</v>
      </c>
      <c r="F19" s="17"/>
      <c r="G19" s="18"/>
      <c r="H19" s="20">
        <f t="shared" si="0"/>
        <v>8</v>
      </c>
      <c r="I19" s="21">
        <v>3</v>
      </c>
      <c r="J19" s="21">
        <v>1.5</v>
      </c>
      <c r="K19" s="21">
        <f t="shared" si="1"/>
        <v>9</v>
      </c>
      <c r="L19" s="21">
        <f t="shared" si="2"/>
        <v>4.5</v>
      </c>
      <c r="M19" s="21">
        <f t="shared" si="3"/>
        <v>8.1</v>
      </c>
      <c r="N19" s="19">
        <v>1.5</v>
      </c>
      <c r="O19" s="21">
        <f t="shared" si="4"/>
        <v>36</v>
      </c>
      <c r="P19" s="22">
        <f t="shared" si="5"/>
        <v>72</v>
      </c>
      <c r="Q19" s="22">
        <f t="shared" si="6"/>
        <v>8.1</v>
      </c>
    </row>
    <row r="20" spans="1:17" x14ac:dyDescent="0.3">
      <c r="A20" s="16" t="s">
        <v>442</v>
      </c>
      <c r="B20" s="17" t="s">
        <v>425</v>
      </c>
      <c r="C20" s="17"/>
      <c r="D20" s="17"/>
      <c r="E20" s="17">
        <v>2</v>
      </c>
      <c r="F20" s="17"/>
      <c r="G20" s="18"/>
      <c r="H20" s="20">
        <f t="shared" si="0"/>
        <v>2</v>
      </c>
      <c r="I20" s="21">
        <v>1.42</v>
      </c>
      <c r="J20" s="21">
        <v>1.5</v>
      </c>
      <c r="K20" s="21">
        <f t="shared" si="1"/>
        <v>5.84</v>
      </c>
      <c r="L20" s="21">
        <f t="shared" si="2"/>
        <v>2.13</v>
      </c>
      <c r="M20" s="21">
        <f t="shared" si="3"/>
        <v>5.2560000000000002</v>
      </c>
      <c r="N20" s="19">
        <v>1.5</v>
      </c>
      <c r="O20" s="21">
        <f t="shared" si="4"/>
        <v>4.26</v>
      </c>
      <c r="P20" s="22">
        <f t="shared" si="5"/>
        <v>11.68</v>
      </c>
      <c r="Q20" s="22">
        <f t="shared" si="6"/>
        <v>5.2560000000000002</v>
      </c>
    </row>
    <row r="21" spans="1:17" x14ac:dyDescent="0.3">
      <c r="A21" s="16" t="s">
        <v>443</v>
      </c>
      <c r="B21" s="17" t="s">
        <v>425</v>
      </c>
      <c r="C21" s="17"/>
      <c r="D21" s="17"/>
      <c r="E21" s="17">
        <v>2</v>
      </c>
      <c r="F21" s="17"/>
      <c r="G21" s="18"/>
      <c r="H21" s="20">
        <f t="shared" si="0"/>
        <v>2</v>
      </c>
      <c r="I21" s="21">
        <v>1.2</v>
      </c>
      <c r="J21" s="21">
        <v>0.9</v>
      </c>
      <c r="K21" s="21">
        <f t="shared" si="1"/>
        <v>4.2</v>
      </c>
      <c r="L21" s="21">
        <f t="shared" si="2"/>
        <v>1.08</v>
      </c>
      <c r="M21" s="21">
        <f t="shared" si="3"/>
        <v>3.7800000000000002</v>
      </c>
      <c r="N21" s="19">
        <v>1.5</v>
      </c>
      <c r="O21" s="21">
        <f t="shared" si="4"/>
        <v>2.16</v>
      </c>
      <c r="P21" s="22">
        <f t="shared" si="5"/>
        <v>8.4</v>
      </c>
      <c r="Q21" s="22">
        <f t="shared" si="6"/>
        <v>3.7800000000000002</v>
      </c>
    </row>
    <row r="22" spans="1:17" x14ac:dyDescent="0.3">
      <c r="A22" s="16" t="s">
        <v>444</v>
      </c>
      <c r="B22" s="17" t="s">
        <v>425</v>
      </c>
      <c r="C22" s="17"/>
      <c r="D22" s="17"/>
      <c r="E22" s="17">
        <v>4</v>
      </c>
      <c r="F22" s="17"/>
      <c r="G22" s="18"/>
      <c r="H22" s="20">
        <f t="shared" si="0"/>
        <v>4</v>
      </c>
      <c r="I22" s="21">
        <v>3</v>
      </c>
      <c r="J22" s="21">
        <v>1.5</v>
      </c>
      <c r="K22" s="21">
        <f t="shared" si="1"/>
        <v>9</v>
      </c>
      <c r="L22" s="21">
        <f t="shared" si="2"/>
        <v>4.5</v>
      </c>
      <c r="M22" s="21">
        <f t="shared" si="3"/>
        <v>8.1</v>
      </c>
      <c r="N22" s="19">
        <v>1.5</v>
      </c>
      <c r="O22" s="21">
        <f t="shared" si="4"/>
        <v>18</v>
      </c>
      <c r="P22" s="22">
        <f t="shared" si="5"/>
        <v>36</v>
      </c>
      <c r="Q22" s="22">
        <f t="shared" si="6"/>
        <v>8.1</v>
      </c>
    </row>
    <row r="23" spans="1:17" x14ac:dyDescent="0.3">
      <c r="A23" s="16" t="s">
        <v>445</v>
      </c>
      <c r="B23" s="17" t="s">
        <v>425</v>
      </c>
      <c r="C23" s="17"/>
      <c r="D23" s="17"/>
      <c r="E23" s="17">
        <v>1</v>
      </c>
      <c r="F23" s="17"/>
      <c r="G23" s="18"/>
      <c r="H23" s="20">
        <f t="shared" si="0"/>
        <v>1</v>
      </c>
      <c r="I23" s="21">
        <v>1.4</v>
      </c>
      <c r="J23" s="21">
        <v>1.35</v>
      </c>
      <c r="K23" s="21">
        <f t="shared" si="1"/>
        <v>5.5</v>
      </c>
      <c r="L23" s="21">
        <f t="shared" si="2"/>
        <v>1.89</v>
      </c>
      <c r="M23" s="21">
        <f t="shared" si="3"/>
        <v>4.95</v>
      </c>
      <c r="N23" s="19">
        <v>1.5</v>
      </c>
      <c r="O23" s="21">
        <f t="shared" si="4"/>
        <v>1.89</v>
      </c>
      <c r="P23" s="22">
        <f t="shared" si="5"/>
        <v>5.5</v>
      </c>
      <c r="Q23" s="22">
        <f t="shared" si="6"/>
        <v>4.95</v>
      </c>
    </row>
    <row r="24" spans="1:17" x14ac:dyDescent="0.3">
      <c r="A24" s="16" t="s">
        <v>446</v>
      </c>
      <c r="B24" s="17" t="s">
        <v>425</v>
      </c>
      <c r="C24" s="17"/>
      <c r="D24" s="17"/>
      <c r="E24" s="17">
        <v>5</v>
      </c>
      <c r="F24" s="17"/>
      <c r="G24" s="18"/>
      <c r="H24" s="20">
        <f t="shared" si="0"/>
        <v>5</v>
      </c>
      <c r="I24" s="21">
        <v>2.7</v>
      </c>
      <c r="J24" s="21">
        <v>1.5</v>
      </c>
      <c r="K24" s="21">
        <f t="shared" si="1"/>
        <v>8.4</v>
      </c>
      <c r="L24" s="21">
        <f t="shared" si="2"/>
        <v>4.0500000000000007</v>
      </c>
      <c r="M24" s="21">
        <f t="shared" si="3"/>
        <v>7.5600000000000005</v>
      </c>
      <c r="N24" s="19">
        <v>1.5</v>
      </c>
      <c r="O24" s="21">
        <f t="shared" si="4"/>
        <v>20.250000000000004</v>
      </c>
      <c r="P24" s="22">
        <f t="shared" si="5"/>
        <v>42</v>
      </c>
      <c r="Q24" s="22">
        <f t="shared" si="6"/>
        <v>7.5600000000000005</v>
      </c>
    </row>
    <row r="25" spans="1:17" x14ac:dyDescent="0.3">
      <c r="A25" s="16" t="s">
        <v>447</v>
      </c>
      <c r="B25" s="17" t="s">
        <v>425</v>
      </c>
      <c r="C25" s="17"/>
      <c r="D25" s="17"/>
      <c r="E25" s="17"/>
      <c r="F25" s="17">
        <v>1</v>
      </c>
      <c r="G25" s="18"/>
      <c r="H25" s="20">
        <f t="shared" si="0"/>
        <v>1</v>
      </c>
      <c r="I25" s="21">
        <v>1.8</v>
      </c>
      <c r="J25" s="21">
        <v>2.2000000000000002</v>
      </c>
      <c r="K25" s="21">
        <f t="shared" si="1"/>
        <v>8</v>
      </c>
      <c r="L25" s="21">
        <f t="shared" si="2"/>
        <v>3.9600000000000004</v>
      </c>
      <c r="M25" s="21">
        <f t="shared" si="3"/>
        <v>7.2</v>
      </c>
      <c r="N25" s="19">
        <v>1.5</v>
      </c>
      <c r="O25" s="21">
        <f t="shared" si="4"/>
        <v>3.9600000000000004</v>
      </c>
      <c r="P25" s="22">
        <f t="shared" si="5"/>
        <v>8</v>
      </c>
      <c r="Q25" s="22">
        <f t="shared" si="6"/>
        <v>7.2</v>
      </c>
    </row>
    <row r="26" spans="1:17" x14ac:dyDescent="0.3">
      <c r="A26" s="16" t="s">
        <v>448</v>
      </c>
      <c r="B26" s="17" t="s">
        <v>425</v>
      </c>
      <c r="C26" s="17"/>
      <c r="D26" s="17"/>
      <c r="E26" s="17"/>
      <c r="F26" s="17">
        <v>3</v>
      </c>
      <c r="G26" s="18"/>
      <c r="H26" s="20">
        <f t="shared" si="0"/>
        <v>3</v>
      </c>
      <c r="I26" s="21">
        <v>2.7</v>
      </c>
      <c r="J26" s="21">
        <v>3</v>
      </c>
      <c r="K26" s="21">
        <f t="shared" si="1"/>
        <v>11.4</v>
      </c>
      <c r="L26" s="21">
        <f t="shared" si="2"/>
        <v>8.1000000000000014</v>
      </c>
      <c r="M26" s="21">
        <f t="shared" si="3"/>
        <v>10.26</v>
      </c>
      <c r="N26" s="19">
        <v>1.5</v>
      </c>
      <c r="O26" s="21">
        <f t="shared" si="4"/>
        <v>24.300000000000004</v>
      </c>
      <c r="P26" s="22">
        <f t="shared" si="5"/>
        <v>34.200000000000003</v>
      </c>
      <c r="Q26" s="22">
        <f t="shared" si="6"/>
        <v>10.26</v>
      </c>
    </row>
    <row r="27" spans="1:17" x14ac:dyDescent="0.3">
      <c r="A27" s="16" t="s">
        <v>449</v>
      </c>
      <c r="B27" s="17" t="s">
        <v>425</v>
      </c>
      <c r="C27" s="17"/>
      <c r="D27" s="17"/>
      <c r="E27" s="17"/>
      <c r="F27" s="17">
        <v>4</v>
      </c>
      <c r="G27" s="18"/>
      <c r="H27" s="20">
        <f t="shared" si="0"/>
        <v>4</v>
      </c>
      <c r="I27" s="21">
        <v>2.7</v>
      </c>
      <c r="J27" s="21">
        <v>1.5</v>
      </c>
      <c r="K27" s="21">
        <f t="shared" si="1"/>
        <v>8.4</v>
      </c>
      <c r="L27" s="21">
        <f t="shared" si="2"/>
        <v>4.0500000000000007</v>
      </c>
      <c r="M27" s="21">
        <f t="shared" si="3"/>
        <v>7.5600000000000005</v>
      </c>
      <c r="N27" s="19">
        <v>1.5</v>
      </c>
      <c r="O27" s="21">
        <f t="shared" si="4"/>
        <v>16.200000000000003</v>
      </c>
      <c r="P27" s="22">
        <f t="shared" si="5"/>
        <v>33.6</v>
      </c>
      <c r="Q27" s="22">
        <f t="shared" si="6"/>
        <v>7.5600000000000005</v>
      </c>
    </row>
    <row r="28" spans="1:17" x14ac:dyDescent="0.3">
      <c r="A28" s="16" t="s">
        <v>450</v>
      </c>
      <c r="B28" s="17" t="s">
        <v>425</v>
      </c>
      <c r="C28" s="17"/>
      <c r="D28" s="17"/>
      <c r="E28" s="17"/>
      <c r="F28" s="17">
        <v>11</v>
      </c>
      <c r="G28" s="18"/>
      <c r="H28" s="20">
        <f t="shared" si="0"/>
        <v>11</v>
      </c>
      <c r="I28" s="21">
        <v>1.42</v>
      </c>
      <c r="J28" s="21">
        <v>1.5</v>
      </c>
      <c r="K28" s="21">
        <f t="shared" si="1"/>
        <v>5.84</v>
      </c>
      <c r="L28" s="21">
        <f t="shared" si="2"/>
        <v>2.13</v>
      </c>
      <c r="M28" s="21">
        <f t="shared" si="3"/>
        <v>5.2560000000000002</v>
      </c>
      <c r="N28" s="19">
        <v>1.5</v>
      </c>
      <c r="O28" s="21">
        <f t="shared" si="4"/>
        <v>23.43</v>
      </c>
      <c r="P28" s="22">
        <f t="shared" si="5"/>
        <v>64.239999999999995</v>
      </c>
      <c r="Q28" s="22">
        <f t="shared" si="6"/>
        <v>5.2560000000000002</v>
      </c>
    </row>
    <row r="29" spans="1:17" x14ac:dyDescent="0.3">
      <c r="A29" s="16" t="s">
        <v>451</v>
      </c>
      <c r="B29" s="17" t="s">
        <v>452</v>
      </c>
      <c r="C29" s="17"/>
      <c r="D29" s="17">
        <v>2</v>
      </c>
      <c r="E29" s="17"/>
      <c r="F29" s="17"/>
      <c r="G29" s="18"/>
      <c r="H29" s="20">
        <f t="shared" si="0"/>
        <v>2</v>
      </c>
      <c r="I29" s="21">
        <v>2.3250000000000002</v>
      </c>
      <c r="J29" s="21">
        <v>2.65</v>
      </c>
      <c r="K29" s="21">
        <f t="shared" si="1"/>
        <v>9.9499999999999993</v>
      </c>
      <c r="L29" s="21">
        <f t="shared" si="2"/>
        <v>6.1612499999999999</v>
      </c>
      <c r="M29" s="21">
        <f t="shared" si="3"/>
        <v>8.9550000000000001</v>
      </c>
      <c r="N29" s="19">
        <v>1.5</v>
      </c>
      <c r="O29" s="21">
        <f t="shared" si="4"/>
        <v>12.3225</v>
      </c>
      <c r="P29" s="22">
        <f t="shared" si="5"/>
        <v>19.899999999999999</v>
      </c>
      <c r="Q29" s="22">
        <f t="shared" si="6"/>
        <v>8.9550000000000001</v>
      </c>
    </row>
    <row r="30" spans="1:17" x14ac:dyDescent="0.3">
      <c r="A30" s="16" t="s">
        <v>453</v>
      </c>
      <c r="B30" s="17" t="s">
        <v>452</v>
      </c>
      <c r="C30" s="17"/>
      <c r="D30" s="17">
        <v>1</v>
      </c>
      <c r="E30" s="17"/>
      <c r="F30" s="17"/>
      <c r="G30" s="18"/>
      <c r="H30" s="20">
        <f t="shared" si="0"/>
        <v>1</v>
      </c>
      <c r="I30" s="21">
        <v>1.8</v>
      </c>
      <c r="J30" s="21">
        <v>2.0499999999999998</v>
      </c>
      <c r="K30" s="21">
        <f t="shared" si="1"/>
        <v>7.6999999999999993</v>
      </c>
      <c r="L30" s="21">
        <f t="shared" si="2"/>
        <v>3.69</v>
      </c>
      <c r="M30" s="21">
        <f t="shared" si="3"/>
        <v>6.93</v>
      </c>
      <c r="N30" s="19">
        <v>1.5</v>
      </c>
      <c r="O30" s="21">
        <f t="shared" si="4"/>
        <v>3.69</v>
      </c>
      <c r="P30" s="22">
        <f t="shared" si="5"/>
        <v>7.6999999999999993</v>
      </c>
      <c r="Q30" s="22">
        <f t="shared" si="6"/>
        <v>6.93</v>
      </c>
    </row>
    <row r="31" spans="1:17" x14ac:dyDescent="0.3">
      <c r="A31" s="16" t="s">
        <v>454</v>
      </c>
      <c r="B31" s="17" t="s">
        <v>425</v>
      </c>
      <c r="C31" s="17"/>
      <c r="D31" s="17">
        <v>10</v>
      </c>
      <c r="E31" s="17"/>
      <c r="F31" s="17"/>
      <c r="G31" s="18"/>
      <c r="H31" s="20">
        <f t="shared" si="0"/>
        <v>10</v>
      </c>
      <c r="I31" s="21">
        <v>3.45</v>
      </c>
      <c r="J31" s="21">
        <v>2.4</v>
      </c>
      <c r="K31" s="21">
        <f t="shared" si="1"/>
        <v>11.7</v>
      </c>
      <c r="L31" s="21">
        <f t="shared" si="2"/>
        <v>8.2799999999999994</v>
      </c>
      <c r="M31" s="21">
        <f t="shared" si="3"/>
        <v>10.53</v>
      </c>
      <c r="N31" s="19">
        <v>1.5</v>
      </c>
      <c r="O31" s="21">
        <f t="shared" si="4"/>
        <v>82.8</v>
      </c>
      <c r="P31" s="22">
        <f t="shared" si="5"/>
        <v>117</v>
      </c>
      <c r="Q31" s="22">
        <f t="shared" si="6"/>
        <v>10.53</v>
      </c>
    </row>
    <row r="32" spans="1:17" x14ac:dyDescent="0.3">
      <c r="A32" s="16" t="s">
        <v>455</v>
      </c>
      <c r="B32" s="17" t="s">
        <v>425</v>
      </c>
      <c r="C32" s="17"/>
      <c r="D32" s="17">
        <v>1</v>
      </c>
      <c r="E32" s="17"/>
      <c r="F32" s="17"/>
      <c r="G32" s="18"/>
      <c r="H32" s="20">
        <f t="shared" si="0"/>
        <v>1</v>
      </c>
      <c r="I32" s="21">
        <v>3.45</v>
      </c>
      <c r="J32" s="21">
        <v>2.2999999999999998</v>
      </c>
      <c r="K32" s="21">
        <f t="shared" si="1"/>
        <v>11.5</v>
      </c>
      <c r="L32" s="21">
        <f t="shared" si="2"/>
        <v>7.9349999999999996</v>
      </c>
      <c r="M32" s="21">
        <f t="shared" si="3"/>
        <v>10.35</v>
      </c>
      <c r="N32" s="19">
        <v>1.5</v>
      </c>
      <c r="O32" s="21">
        <f t="shared" si="4"/>
        <v>7.9349999999999996</v>
      </c>
      <c r="P32" s="22">
        <f t="shared" si="5"/>
        <v>11.5</v>
      </c>
      <c r="Q32" s="22">
        <f t="shared" si="6"/>
        <v>10.35</v>
      </c>
    </row>
    <row r="33" spans="1:17" x14ac:dyDescent="0.3">
      <c r="A33" s="16" t="s">
        <v>456</v>
      </c>
      <c r="B33" s="17" t="s">
        <v>425</v>
      </c>
      <c r="C33" s="17"/>
      <c r="D33" s="17"/>
      <c r="E33" s="17">
        <v>10</v>
      </c>
      <c r="F33" s="17"/>
      <c r="G33" s="18"/>
      <c r="H33" s="20">
        <f t="shared" si="0"/>
        <v>10</v>
      </c>
      <c r="I33" s="21">
        <v>3.45</v>
      </c>
      <c r="J33" s="21">
        <v>2.4</v>
      </c>
      <c r="K33" s="21">
        <f t="shared" si="1"/>
        <v>11.7</v>
      </c>
      <c r="L33" s="21">
        <f t="shared" si="2"/>
        <v>8.2799999999999994</v>
      </c>
      <c r="M33" s="21">
        <f t="shared" si="3"/>
        <v>10.53</v>
      </c>
      <c r="N33" s="19">
        <v>1.5</v>
      </c>
      <c r="O33" s="21">
        <f t="shared" si="4"/>
        <v>82.8</v>
      </c>
      <c r="P33" s="22">
        <f t="shared" si="5"/>
        <v>117</v>
      </c>
      <c r="Q33" s="22">
        <f t="shared" si="6"/>
        <v>10.53</v>
      </c>
    </row>
    <row r="34" spans="1:17" x14ac:dyDescent="0.3">
      <c r="A34" s="16" t="s">
        <v>457</v>
      </c>
      <c r="B34" s="17" t="s">
        <v>425</v>
      </c>
      <c r="C34" s="17"/>
      <c r="D34" s="17"/>
      <c r="E34" s="17">
        <v>1</v>
      </c>
      <c r="F34" s="17"/>
      <c r="G34" s="18"/>
      <c r="H34" s="20">
        <f t="shared" si="0"/>
        <v>1</v>
      </c>
      <c r="I34" s="21">
        <v>3.45</v>
      </c>
      <c r="J34" s="21">
        <v>2.2999999999999998</v>
      </c>
      <c r="K34" s="21">
        <f t="shared" si="1"/>
        <v>11.5</v>
      </c>
      <c r="L34" s="21">
        <f t="shared" si="2"/>
        <v>7.9349999999999996</v>
      </c>
      <c r="M34" s="21">
        <f t="shared" si="3"/>
        <v>10.35</v>
      </c>
      <c r="N34" s="19">
        <v>1.5</v>
      </c>
      <c r="O34" s="21">
        <f t="shared" si="4"/>
        <v>7.9349999999999996</v>
      </c>
      <c r="P34" s="22">
        <f t="shared" si="5"/>
        <v>11.5</v>
      </c>
      <c r="Q34" s="22">
        <f t="shared" si="6"/>
        <v>10.35</v>
      </c>
    </row>
    <row r="35" spans="1:17" x14ac:dyDescent="0.3">
      <c r="A35" s="16" t="s">
        <v>458</v>
      </c>
      <c r="B35" s="17" t="s">
        <v>452</v>
      </c>
      <c r="C35" s="17"/>
      <c r="D35" s="17">
        <v>1</v>
      </c>
      <c r="E35" s="17"/>
      <c r="F35" s="17"/>
      <c r="G35" s="18"/>
      <c r="H35" s="20">
        <f t="shared" si="0"/>
        <v>1</v>
      </c>
      <c r="I35" s="21">
        <v>3.45</v>
      </c>
      <c r="J35" s="21">
        <v>2.65</v>
      </c>
      <c r="K35" s="21">
        <f t="shared" si="1"/>
        <v>12.2</v>
      </c>
      <c r="L35" s="21">
        <f t="shared" si="2"/>
        <v>9.1425000000000001</v>
      </c>
      <c r="M35" s="21">
        <f t="shared" si="3"/>
        <v>10.98</v>
      </c>
      <c r="N35" s="19">
        <v>1.5</v>
      </c>
      <c r="O35" s="21">
        <f t="shared" si="4"/>
        <v>9.1425000000000001</v>
      </c>
      <c r="P35" s="22">
        <f t="shared" si="5"/>
        <v>12.2</v>
      </c>
      <c r="Q35" s="22">
        <f t="shared" si="6"/>
        <v>10.98</v>
      </c>
    </row>
    <row r="36" spans="1:17" x14ac:dyDescent="0.3">
      <c r="A36" s="16" t="s">
        <v>459</v>
      </c>
      <c r="B36" s="17" t="s">
        <v>452</v>
      </c>
      <c r="C36" s="17"/>
      <c r="D36" s="17">
        <v>1</v>
      </c>
      <c r="E36" s="17"/>
      <c r="F36" s="17"/>
      <c r="G36" s="18"/>
      <c r="H36" s="20">
        <f t="shared" si="0"/>
        <v>1</v>
      </c>
      <c r="I36" s="21">
        <v>4.8</v>
      </c>
      <c r="J36" s="21">
        <v>3.6</v>
      </c>
      <c r="K36" s="21">
        <f t="shared" si="1"/>
        <v>16.8</v>
      </c>
      <c r="L36" s="21">
        <f t="shared" si="2"/>
        <v>17.28</v>
      </c>
      <c r="M36" s="21">
        <f t="shared" si="3"/>
        <v>15.120000000000001</v>
      </c>
      <c r="N36" s="19">
        <v>1.5</v>
      </c>
      <c r="O36" s="21">
        <f t="shared" si="4"/>
        <v>17.28</v>
      </c>
      <c r="P36" s="22">
        <f t="shared" si="5"/>
        <v>16.8</v>
      </c>
      <c r="Q36" s="22">
        <f t="shared" si="6"/>
        <v>15.120000000000001</v>
      </c>
    </row>
    <row r="37" spans="1:17" x14ac:dyDescent="0.3">
      <c r="A37" s="16" t="s">
        <v>460</v>
      </c>
      <c r="B37" s="17" t="s">
        <v>452</v>
      </c>
      <c r="C37" s="17"/>
      <c r="D37" s="17"/>
      <c r="E37" s="17"/>
      <c r="F37" s="17">
        <v>1</v>
      </c>
      <c r="G37" s="18"/>
      <c r="H37" s="20">
        <f>SUM(C37:G37)</f>
        <v>1</v>
      </c>
      <c r="I37" s="21">
        <v>2.4</v>
      </c>
      <c r="J37" s="21">
        <v>3.6</v>
      </c>
      <c r="K37" s="21">
        <f>2*(I37+J37)</f>
        <v>12</v>
      </c>
      <c r="L37" s="21">
        <f>I37*J37</f>
        <v>8.64</v>
      </c>
      <c r="M37" s="21">
        <f t="shared" si="3"/>
        <v>10.8</v>
      </c>
      <c r="N37" s="19">
        <v>1.5</v>
      </c>
      <c r="O37" s="21">
        <f>L37*H37</f>
        <v>8.64</v>
      </c>
      <c r="P37" s="22">
        <f>K37*H37</f>
        <v>12</v>
      </c>
      <c r="Q37" s="22">
        <f>M37</f>
        <v>10.8</v>
      </c>
    </row>
    <row r="38" spans="1:17" x14ac:dyDescent="0.3">
      <c r="A38" s="16" t="s">
        <v>461</v>
      </c>
      <c r="B38" s="17" t="s">
        <v>425</v>
      </c>
      <c r="C38" s="17"/>
      <c r="D38" s="17"/>
      <c r="E38" s="17"/>
      <c r="F38" s="17"/>
      <c r="G38" s="18">
        <v>6</v>
      </c>
      <c r="H38" s="20">
        <f>SUM(C38:G38)</f>
        <v>6</v>
      </c>
      <c r="I38" s="21">
        <v>5.57</v>
      </c>
      <c r="J38" s="21">
        <v>1.67</v>
      </c>
      <c r="K38" s="21">
        <f>2*(I38+J38)</f>
        <v>14.48</v>
      </c>
      <c r="L38" s="21">
        <f>I38*J38</f>
        <v>9.3018999999999998</v>
      </c>
      <c r="M38" s="21">
        <f t="shared" si="3"/>
        <v>13.032</v>
      </c>
      <c r="N38" s="19">
        <v>1.5</v>
      </c>
      <c r="O38" s="21">
        <f>L38*H38</f>
        <v>55.811399999999999</v>
      </c>
      <c r="P38" s="22">
        <f>K38*H38</f>
        <v>86.88</v>
      </c>
      <c r="Q38" s="22">
        <f>M38</f>
        <v>13.032</v>
      </c>
    </row>
    <row r="39" spans="1:17" x14ac:dyDescent="0.3">
      <c r="A39" s="16"/>
      <c r="B39" s="17"/>
      <c r="C39" s="17"/>
      <c r="D39" s="17"/>
      <c r="E39" s="17"/>
      <c r="F39" s="17"/>
      <c r="G39" s="18"/>
      <c r="H39" s="20"/>
      <c r="I39" s="21"/>
      <c r="J39" s="21"/>
      <c r="K39" s="21"/>
      <c r="L39" s="21"/>
      <c r="M39" s="21"/>
      <c r="N39" s="19"/>
      <c r="O39" s="21"/>
      <c r="P39" s="22"/>
      <c r="Q39" s="22"/>
    </row>
    <row r="40" spans="1:17" x14ac:dyDescent="0.3">
      <c r="A40" s="16"/>
      <c r="B40" s="17"/>
      <c r="C40" s="17"/>
      <c r="D40" s="17"/>
      <c r="E40" s="17"/>
      <c r="F40" s="17"/>
      <c r="G40" s="18"/>
      <c r="H40" s="20"/>
      <c r="I40" s="21"/>
      <c r="J40" s="21"/>
      <c r="K40" s="21"/>
      <c r="L40" s="21"/>
      <c r="M40" s="21"/>
      <c r="N40" s="19"/>
      <c r="O40" s="21"/>
      <c r="P40" s="22"/>
      <c r="Q40" s="22"/>
    </row>
    <row r="41" spans="1:17" x14ac:dyDescent="0.3">
      <c r="A41" s="402" t="s">
        <v>462</v>
      </c>
      <c r="B41" s="403"/>
      <c r="C41" s="134">
        <f>SUMPRODUCT(C3:C40,L3:L40)</f>
        <v>83.009999999999991</v>
      </c>
      <c r="D41" s="134">
        <f>SUMPRODUCT(D3:D40,L3:L40)</f>
        <v>459.6</v>
      </c>
      <c r="E41" s="134">
        <f>SUMPRODUCT(E3:E40,L3:L40)</f>
        <v>451.84500000000003</v>
      </c>
      <c r="F41" s="134">
        <f>SUMPRODUCT(F3:F40,L3:L40)</f>
        <v>76.530000000000015</v>
      </c>
      <c r="G41" s="134">
        <f>SUMPRODUCT(G3:G40,L3:L40)</f>
        <v>55.811399999999999</v>
      </c>
      <c r="H41" s="227">
        <f>SUM(H3:H36)</f>
        <v>341</v>
      </c>
    </row>
    <row r="42" spans="1:17" ht="15" x14ac:dyDescent="0.35">
      <c r="A42" s="397" t="s">
        <v>399</v>
      </c>
      <c r="B42" s="397" t="s">
        <v>400</v>
      </c>
      <c r="C42" s="398" t="s">
        <v>401</v>
      </c>
      <c r="D42" s="399"/>
      <c r="E42" s="399"/>
      <c r="F42" s="399"/>
      <c r="G42" s="400"/>
      <c r="H42" s="251" t="s">
        <v>402</v>
      </c>
      <c r="I42" s="401" t="s">
        <v>403</v>
      </c>
      <c r="J42" s="401"/>
      <c r="K42" s="15" t="s">
        <v>404</v>
      </c>
      <c r="L42" s="15" t="s">
        <v>405</v>
      </c>
      <c r="M42" s="15" t="s">
        <v>406</v>
      </c>
      <c r="N42" s="15" t="s">
        <v>407</v>
      </c>
      <c r="O42" s="395" t="s">
        <v>408</v>
      </c>
      <c r="P42" s="395" t="s">
        <v>409</v>
      </c>
      <c r="Q42" s="395" t="s">
        <v>410</v>
      </c>
    </row>
    <row r="43" spans="1:17" x14ac:dyDescent="0.3">
      <c r="A43" s="397"/>
      <c r="B43" s="397"/>
      <c r="C43" s="250" t="str">
        <f>C2</f>
        <v>J</v>
      </c>
      <c r="D43" s="250" t="str">
        <f>D2</f>
        <v>V</v>
      </c>
      <c r="E43" s="250" t="str">
        <f>E2</f>
        <v>Z</v>
      </c>
      <c r="F43" s="250" t="str">
        <f>F2</f>
        <v>S</v>
      </c>
      <c r="G43" s="250" t="str">
        <f>G2</f>
        <v>H</v>
      </c>
      <c r="H43" s="251" t="s">
        <v>417</v>
      </c>
      <c r="I43" s="251" t="s">
        <v>418</v>
      </c>
      <c r="J43" s="251" t="s">
        <v>419</v>
      </c>
      <c r="K43" s="251" t="s">
        <v>420</v>
      </c>
      <c r="L43" s="251" t="s">
        <v>421</v>
      </c>
      <c r="M43" s="251" t="s">
        <v>422</v>
      </c>
      <c r="N43" s="15" t="s">
        <v>423</v>
      </c>
      <c r="O43" s="396"/>
      <c r="P43" s="396"/>
      <c r="Q43" s="396"/>
    </row>
    <row r="44" spans="1:17" x14ac:dyDescent="0.3">
      <c r="A44" s="16" t="s">
        <v>463</v>
      </c>
      <c r="B44" s="17" t="s">
        <v>425</v>
      </c>
      <c r="C44" s="17"/>
      <c r="D44" s="17">
        <v>100</v>
      </c>
      <c r="E44" s="17"/>
      <c r="F44" s="17"/>
      <c r="G44" s="18"/>
      <c r="H44" s="20">
        <f>SUM(C44:G44)</f>
        <v>100</v>
      </c>
      <c r="I44" s="21">
        <v>1</v>
      </c>
      <c r="J44" s="21">
        <v>2.4</v>
      </c>
      <c r="K44" s="21">
        <v>2.3628</v>
      </c>
      <c r="L44" s="21">
        <f>I44*J44</f>
        <v>2.4</v>
      </c>
      <c r="M44" s="21">
        <f t="shared" ref="M44:M56" si="7">0.9*(2*I44+2*J44)</f>
        <v>6.12</v>
      </c>
      <c r="N44" s="19">
        <v>1.5</v>
      </c>
      <c r="O44" s="21">
        <f>L44*H44</f>
        <v>240</v>
      </c>
      <c r="P44" s="22">
        <f>K44*H44</f>
        <v>236.28</v>
      </c>
      <c r="Q44" s="22">
        <f>M44</f>
        <v>6.12</v>
      </c>
    </row>
    <row r="45" spans="1:17" ht="15" customHeight="1" x14ac:dyDescent="0.3">
      <c r="A45" s="16" t="s">
        <v>464</v>
      </c>
      <c r="B45" s="17" t="s">
        <v>425</v>
      </c>
      <c r="C45" s="17"/>
      <c r="D45" s="17">
        <v>1</v>
      </c>
      <c r="E45" s="17"/>
      <c r="F45" s="17"/>
      <c r="G45" s="18"/>
      <c r="H45" s="20">
        <f t="shared" ref="H45:H56" si="8">SUM(C45:G45)</f>
        <v>1</v>
      </c>
      <c r="I45" s="21">
        <v>2.1</v>
      </c>
      <c r="J45" s="21">
        <v>2.4</v>
      </c>
      <c r="K45" s="21">
        <v>4.4278000000000004</v>
      </c>
      <c r="L45" s="21">
        <f t="shared" ref="L45:L56" si="9">I45*J45</f>
        <v>5.04</v>
      </c>
      <c r="M45" s="21">
        <f t="shared" si="7"/>
        <v>8.1</v>
      </c>
      <c r="N45" s="19">
        <v>1.5</v>
      </c>
      <c r="O45" s="21">
        <f t="shared" ref="O45:O56" si="10">L45*H45</f>
        <v>5.04</v>
      </c>
      <c r="P45" s="22">
        <f t="shared" ref="P45:P56" si="11">K45*H45</f>
        <v>4.4278000000000004</v>
      </c>
      <c r="Q45" s="22">
        <f t="shared" ref="Q45:Q56" si="12">M45</f>
        <v>8.1</v>
      </c>
    </row>
    <row r="46" spans="1:17" ht="15" customHeight="1" x14ac:dyDescent="0.3">
      <c r="A46" s="16" t="s">
        <v>465</v>
      </c>
      <c r="B46" s="17" t="s">
        <v>425</v>
      </c>
      <c r="C46" s="17"/>
      <c r="D46" s="17"/>
      <c r="E46" s="17">
        <v>100</v>
      </c>
      <c r="F46" s="17"/>
      <c r="G46" s="18"/>
      <c r="H46" s="20">
        <f t="shared" si="8"/>
        <v>100</v>
      </c>
      <c r="I46" s="21">
        <v>1.05</v>
      </c>
      <c r="J46" s="21">
        <v>2.04</v>
      </c>
      <c r="K46" s="21">
        <v>1.4592000000000001</v>
      </c>
      <c r="L46" s="21">
        <f t="shared" si="9"/>
        <v>2.1420000000000003</v>
      </c>
      <c r="M46" s="21">
        <f t="shared" si="7"/>
        <v>5.5620000000000003</v>
      </c>
      <c r="N46" s="19">
        <v>1.5</v>
      </c>
      <c r="O46" s="21">
        <f t="shared" si="10"/>
        <v>214.20000000000005</v>
      </c>
      <c r="P46" s="22">
        <f t="shared" si="11"/>
        <v>145.92000000000002</v>
      </c>
      <c r="Q46" s="22">
        <f t="shared" si="12"/>
        <v>5.5620000000000003</v>
      </c>
    </row>
    <row r="47" spans="1:17" ht="15" customHeight="1" x14ac:dyDescent="0.3">
      <c r="A47" s="16" t="s">
        <v>466</v>
      </c>
      <c r="B47" s="17" t="s">
        <v>425</v>
      </c>
      <c r="C47" s="17"/>
      <c r="D47" s="17"/>
      <c r="E47" s="17">
        <v>1</v>
      </c>
      <c r="F47" s="17"/>
      <c r="G47" s="18"/>
      <c r="H47" s="20">
        <f t="shared" si="8"/>
        <v>1</v>
      </c>
      <c r="I47" s="21">
        <v>0.8</v>
      </c>
      <c r="J47" s="21">
        <v>2.0499999999999998</v>
      </c>
      <c r="K47" s="21">
        <v>2.5488</v>
      </c>
      <c r="L47" s="21">
        <f t="shared" si="9"/>
        <v>1.64</v>
      </c>
      <c r="M47" s="21">
        <f t="shared" si="7"/>
        <v>5.13</v>
      </c>
      <c r="N47" s="19">
        <v>1.5</v>
      </c>
      <c r="O47" s="21">
        <f t="shared" si="10"/>
        <v>1.64</v>
      </c>
      <c r="P47" s="22">
        <f t="shared" si="11"/>
        <v>2.5488</v>
      </c>
      <c r="Q47" s="22">
        <f t="shared" si="12"/>
        <v>5.13</v>
      </c>
    </row>
    <row r="48" spans="1:17" x14ac:dyDescent="0.3">
      <c r="A48" s="16" t="s">
        <v>467</v>
      </c>
      <c r="B48" s="17" t="s">
        <v>425</v>
      </c>
      <c r="C48" s="17"/>
      <c r="D48" s="17"/>
      <c r="E48" s="17"/>
      <c r="F48" s="17">
        <v>1</v>
      </c>
      <c r="G48" s="18"/>
      <c r="H48" s="20">
        <f t="shared" si="8"/>
        <v>1</v>
      </c>
      <c r="I48" s="21">
        <v>0.8</v>
      </c>
      <c r="J48" s="21">
        <v>1.97</v>
      </c>
      <c r="K48" s="21">
        <v>4.9055999999999997</v>
      </c>
      <c r="L48" s="21">
        <f t="shared" si="9"/>
        <v>1.5760000000000001</v>
      </c>
      <c r="M48" s="21">
        <f t="shared" si="7"/>
        <v>4.9859999999999998</v>
      </c>
      <c r="N48" s="19">
        <v>1.5</v>
      </c>
      <c r="O48" s="21">
        <f t="shared" si="10"/>
        <v>1.5760000000000001</v>
      </c>
      <c r="P48" s="22">
        <f t="shared" si="11"/>
        <v>4.9055999999999997</v>
      </c>
      <c r="Q48" s="22">
        <f t="shared" si="12"/>
        <v>4.9859999999999998</v>
      </c>
    </row>
    <row r="49" spans="1:17" x14ac:dyDescent="0.3">
      <c r="A49" s="16" t="s">
        <v>468</v>
      </c>
      <c r="B49" s="17" t="s">
        <v>425</v>
      </c>
      <c r="C49" s="17">
        <v>1</v>
      </c>
      <c r="D49" s="17"/>
      <c r="E49" s="17"/>
      <c r="F49" s="17"/>
      <c r="G49" s="18"/>
      <c r="H49" s="20">
        <f t="shared" si="8"/>
        <v>1</v>
      </c>
      <c r="I49" s="21">
        <v>0.8</v>
      </c>
      <c r="J49" s="21">
        <v>1.97</v>
      </c>
      <c r="K49" s="21">
        <v>2.9328000000000003</v>
      </c>
      <c r="L49" s="21">
        <f t="shared" si="9"/>
        <v>1.5760000000000001</v>
      </c>
      <c r="M49" s="21">
        <f t="shared" si="7"/>
        <v>4.9859999999999998</v>
      </c>
      <c r="N49" s="19">
        <v>1.5</v>
      </c>
      <c r="O49" s="21">
        <f t="shared" si="10"/>
        <v>1.5760000000000001</v>
      </c>
      <c r="P49" s="22">
        <f t="shared" si="11"/>
        <v>2.9328000000000003</v>
      </c>
      <c r="Q49" s="22">
        <f t="shared" si="12"/>
        <v>4.9859999999999998</v>
      </c>
    </row>
    <row r="50" spans="1:17" x14ac:dyDescent="0.3">
      <c r="A50" s="16" t="s">
        <v>469</v>
      </c>
      <c r="B50" s="17" t="s">
        <v>470</v>
      </c>
      <c r="C50" s="17">
        <v>1</v>
      </c>
      <c r="D50" s="17"/>
      <c r="E50" s="17"/>
      <c r="F50" s="17"/>
      <c r="G50" s="18"/>
      <c r="H50" s="20">
        <f t="shared" si="8"/>
        <v>1</v>
      </c>
      <c r="I50" s="21">
        <v>1.05</v>
      </c>
      <c r="J50" s="21">
        <v>2.1</v>
      </c>
      <c r="K50" s="21">
        <v>2</v>
      </c>
      <c r="L50" s="21">
        <f t="shared" si="9"/>
        <v>2.2050000000000001</v>
      </c>
      <c r="M50" s="21">
        <f t="shared" si="7"/>
        <v>5.6700000000000008</v>
      </c>
      <c r="N50" s="19">
        <v>1.5</v>
      </c>
      <c r="O50" s="21">
        <f t="shared" si="10"/>
        <v>2.2050000000000001</v>
      </c>
      <c r="P50" s="22">
        <f t="shared" si="11"/>
        <v>2</v>
      </c>
      <c r="Q50" s="22">
        <f t="shared" si="12"/>
        <v>5.6700000000000008</v>
      </c>
    </row>
    <row r="51" spans="1:17" x14ac:dyDescent="0.3">
      <c r="A51" s="16" t="s">
        <v>471</v>
      </c>
      <c r="B51" s="17" t="s">
        <v>470</v>
      </c>
      <c r="C51" s="17">
        <v>1</v>
      </c>
      <c r="D51" s="17"/>
      <c r="E51" s="17"/>
      <c r="F51" s="17"/>
      <c r="G51" s="18"/>
      <c r="H51" s="20">
        <f t="shared" si="8"/>
        <v>1</v>
      </c>
      <c r="I51" s="21">
        <v>1.45</v>
      </c>
      <c r="J51" s="21">
        <v>2.1</v>
      </c>
      <c r="K51" s="21">
        <v>3.94</v>
      </c>
      <c r="L51" s="21">
        <f t="shared" si="9"/>
        <v>3.0449999999999999</v>
      </c>
      <c r="M51" s="21">
        <f t="shared" si="7"/>
        <v>6.39</v>
      </c>
      <c r="N51" s="19">
        <v>1.5</v>
      </c>
      <c r="O51" s="21">
        <f t="shared" si="10"/>
        <v>3.0449999999999999</v>
      </c>
      <c r="P51" s="22">
        <f t="shared" si="11"/>
        <v>3.94</v>
      </c>
      <c r="Q51" s="22">
        <f t="shared" si="12"/>
        <v>6.39</v>
      </c>
    </row>
    <row r="52" spans="1:17" x14ac:dyDescent="0.3">
      <c r="A52" s="16" t="s">
        <v>472</v>
      </c>
      <c r="B52" s="17" t="s">
        <v>470</v>
      </c>
      <c r="C52" s="17"/>
      <c r="D52" s="17"/>
      <c r="E52" s="17"/>
      <c r="F52" s="17">
        <v>1</v>
      </c>
      <c r="G52" s="18"/>
      <c r="H52" s="20">
        <f t="shared" si="8"/>
        <v>1</v>
      </c>
      <c r="I52" s="21">
        <v>1.05</v>
      </c>
      <c r="J52" s="21">
        <v>2.1</v>
      </c>
      <c r="K52" s="21">
        <v>3.6592000000000002</v>
      </c>
      <c r="L52" s="21">
        <f t="shared" si="9"/>
        <v>2.2050000000000001</v>
      </c>
      <c r="M52" s="21">
        <f t="shared" si="7"/>
        <v>5.6700000000000008</v>
      </c>
      <c r="N52" s="19">
        <v>1.5</v>
      </c>
      <c r="O52" s="21">
        <f t="shared" si="10"/>
        <v>2.2050000000000001</v>
      </c>
      <c r="P52" s="22">
        <f t="shared" si="11"/>
        <v>3.6592000000000002</v>
      </c>
      <c r="Q52" s="22">
        <f t="shared" si="12"/>
        <v>5.6700000000000008</v>
      </c>
    </row>
    <row r="53" spans="1:17" x14ac:dyDescent="0.3">
      <c r="A53" s="16" t="s">
        <v>473</v>
      </c>
      <c r="B53" s="17" t="s">
        <v>474</v>
      </c>
      <c r="C53" s="17">
        <v>1</v>
      </c>
      <c r="D53" s="17"/>
      <c r="E53" s="17"/>
      <c r="F53" s="17"/>
      <c r="G53" s="18"/>
      <c r="H53" s="20">
        <f t="shared" si="8"/>
        <v>1</v>
      </c>
      <c r="I53" s="21">
        <v>2.1</v>
      </c>
      <c r="J53" s="21">
        <v>2.4</v>
      </c>
      <c r="K53" s="21">
        <v>1.0032000000000001</v>
      </c>
      <c r="L53" s="21">
        <f t="shared" si="9"/>
        <v>5.04</v>
      </c>
      <c r="M53" s="21">
        <f t="shared" si="7"/>
        <v>8.1</v>
      </c>
      <c r="N53" s="19">
        <v>5.6</v>
      </c>
      <c r="O53" s="21">
        <f t="shared" si="10"/>
        <v>5.04</v>
      </c>
      <c r="P53" s="22">
        <f t="shared" si="11"/>
        <v>1.0032000000000001</v>
      </c>
      <c r="Q53" s="22">
        <f t="shared" si="12"/>
        <v>8.1</v>
      </c>
    </row>
    <row r="54" spans="1:17" x14ac:dyDescent="0.3">
      <c r="A54" s="16" t="s">
        <v>475</v>
      </c>
      <c r="B54" s="17" t="s">
        <v>474</v>
      </c>
      <c r="C54" s="17"/>
      <c r="D54" s="17"/>
      <c r="E54" s="17">
        <v>1</v>
      </c>
      <c r="F54" s="17"/>
      <c r="G54" s="18"/>
      <c r="H54" s="20">
        <f t="shared" si="8"/>
        <v>1</v>
      </c>
      <c r="I54" s="21">
        <v>0.9</v>
      </c>
      <c r="J54" s="21">
        <v>2.85</v>
      </c>
      <c r="K54" s="21">
        <v>1.1748000000000001</v>
      </c>
      <c r="L54" s="21">
        <f t="shared" si="9"/>
        <v>2.5649999999999999</v>
      </c>
      <c r="M54" s="21">
        <f t="shared" si="7"/>
        <v>6.75</v>
      </c>
      <c r="N54" s="19">
        <v>5.6</v>
      </c>
      <c r="O54" s="21">
        <f t="shared" si="10"/>
        <v>2.5649999999999999</v>
      </c>
      <c r="P54" s="22">
        <f t="shared" si="11"/>
        <v>1.1748000000000001</v>
      </c>
      <c r="Q54" s="22">
        <f t="shared" si="12"/>
        <v>6.75</v>
      </c>
    </row>
    <row r="55" spans="1:17" x14ac:dyDescent="0.3">
      <c r="A55" s="16" t="s">
        <v>476</v>
      </c>
      <c r="B55" s="17" t="s">
        <v>425</v>
      </c>
      <c r="C55" s="17"/>
      <c r="D55" s="17"/>
      <c r="E55" s="17">
        <v>1</v>
      </c>
      <c r="F55" s="17"/>
      <c r="G55" s="18"/>
      <c r="H55" s="20">
        <f t="shared" si="8"/>
        <v>1</v>
      </c>
      <c r="I55" s="21">
        <v>2.7</v>
      </c>
      <c r="J55" s="21">
        <v>2.85</v>
      </c>
      <c r="K55" s="21">
        <v>2.1913</v>
      </c>
      <c r="L55" s="21">
        <f t="shared" si="9"/>
        <v>7.6950000000000012</v>
      </c>
      <c r="M55" s="21">
        <f t="shared" si="7"/>
        <v>9.990000000000002</v>
      </c>
      <c r="N55" s="19">
        <v>1.4</v>
      </c>
      <c r="O55" s="21">
        <f t="shared" si="10"/>
        <v>7.6950000000000012</v>
      </c>
      <c r="P55" s="22">
        <f t="shared" si="11"/>
        <v>2.1913</v>
      </c>
      <c r="Q55" s="22">
        <f t="shared" si="12"/>
        <v>9.990000000000002</v>
      </c>
    </row>
    <row r="56" spans="1:17" x14ac:dyDescent="0.3">
      <c r="A56" s="16" t="s">
        <v>477</v>
      </c>
      <c r="B56" s="17" t="s">
        <v>478</v>
      </c>
      <c r="C56" s="17">
        <v>2</v>
      </c>
      <c r="D56" s="17"/>
      <c r="E56" s="17"/>
      <c r="F56" s="17"/>
      <c r="G56" s="18"/>
      <c r="H56" s="20">
        <f t="shared" si="8"/>
        <v>2</v>
      </c>
      <c r="I56" s="21">
        <v>2.4</v>
      </c>
      <c r="J56" s="21">
        <v>2.4</v>
      </c>
      <c r="K56" s="21">
        <v>2.4</v>
      </c>
      <c r="L56" s="21">
        <f t="shared" si="9"/>
        <v>5.76</v>
      </c>
      <c r="M56" s="21">
        <f t="shared" si="7"/>
        <v>8.64</v>
      </c>
      <c r="N56" s="19">
        <v>1.4</v>
      </c>
      <c r="O56" s="21">
        <f t="shared" si="10"/>
        <v>11.52</v>
      </c>
      <c r="P56" s="22">
        <f t="shared" si="11"/>
        <v>4.8</v>
      </c>
      <c r="Q56" s="22">
        <f t="shared" si="12"/>
        <v>8.64</v>
      </c>
    </row>
    <row r="57" spans="1:17" x14ac:dyDescent="0.3">
      <c r="A57" s="16"/>
      <c r="B57" s="17"/>
      <c r="C57" s="17"/>
      <c r="D57" s="17"/>
      <c r="E57" s="17"/>
      <c r="F57" s="17"/>
      <c r="G57" s="18"/>
      <c r="H57" s="20"/>
      <c r="I57" s="21"/>
      <c r="J57" s="21"/>
      <c r="K57" s="21"/>
      <c r="L57" s="21"/>
      <c r="M57" s="21"/>
      <c r="N57" s="19"/>
      <c r="O57" s="21"/>
      <c r="P57" s="22"/>
      <c r="Q57" s="22"/>
    </row>
    <row r="58" spans="1:17" x14ac:dyDescent="0.3">
      <c r="A58" s="393" t="s">
        <v>479</v>
      </c>
      <c r="B58" s="394"/>
      <c r="C58" s="134">
        <f>SUMPRODUCT(C44:C57,L44:L57)</f>
        <v>23.385999999999999</v>
      </c>
      <c r="D58" s="134">
        <f>SUMPRODUCT(D44:D57,L44:L57)</f>
        <v>245.04</v>
      </c>
      <c r="E58" s="134">
        <f>SUMPRODUCT(E44:E57,L44:L57)</f>
        <v>226.10000000000002</v>
      </c>
      <c r="F58" s="134">
        <f>SUMPRODUCT(F44:F57,L44:L57)</f>
        <v>3.7810000000000001</v>
      </c>
      <c r="G58" s="134">
        <f>SUMPRODUCT(G44:G57,L44:L57)</f>
        <v>0</v>
      </c>
      <c r="H58" s="227">
        <f>SUM(H44:H57)</f>
        <v>212</v>
      </c>
    </row>
    <row r="59" spans="1:17" x14ac:dyDescent="0.3">
      <c r="H59" s="220">
        <f>H41+H58</f>
        <v>553</v>
      </c>
      <c r="J59" s="100">
        <f>H59-14.4-18.9</f>
        <v>519.70000000000005</v>
      </c>
      <c r="O59" s="231">
        <f>SUM(O1:O58)</f>
        <v>1625.1034</v>
      </c>
    </row>
  </sheetData>
  <mergeCells count="16">
    <mergeCell ref="A58:B58"/>
    <mergeCell ref="O1:O2"/>
    <mergeCell ref="P1:P2"/>
    <mergeCell ref="Q1:Q2"/>
    <mergeCell ref="A42:A43"/>
    <mergeCell ref="B42:B43"/>
    <mergeCell ref="C42:G42"/>
    <mergeCell ref="I42:J42"/>
    <mergeCell ref="O42:O43"/>
    <mergeCell ref="P42:P43"/>
    <mergeCell ref="Q42:Q43"/>
    <mergeCell ref="A1:A2"/>
    <mergeCell ref="B1:B2"/>
    <mergeCell ref="I1:J1"/>
    <mergeCell ref="C1:G1"/>
    <mergeCell ref="A41:B41"/>
  </mergeCells>
  <phoneticPr fontId="18" type="noConversion"/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9"/>
  <sheetViews>
    <sheetView workbookViewId="0">
      <selection activeCell="G28" sqref="G28"/>
    </sheetView>
  </sheetViews>
  <sheetFormatPr defaultRowHeight="14.4" x14ac:dyDescent="0.3"/>
  <sheetData>
    <row r="1" spans="2:8" x14ac:dyDescent="0.3">
      <c r="B1" s="252" t="s">
        <v>480</v>
      </c>
      <c r="C1" s="404" t="s">
        <v>481</v>
      </c>
      <c r="D1" s="404"/>
      <c r="E1" s="404"/>
      <c r="F1" s="252" t="s">
        <v>482</v>
      </c>
      <c r="G1" s="252" t="s">
        <v>405</v>
      </c>
      <c r="H1" s="252" t="s">
        <v>483</v>
      </c>
    </row>
    <row r="2" spans="2:8" x14ac:dyDescent="0.3">
      <c r="B2" t="str">
        <f>Konstrukcie!A1</f>
        <v>SO1</v>
      </c>
      <c r="C2" t="str">
        <f>Konstrukcie!B1</f>
        <v>Obvodová stena ŠD</v>
      </c>
      <c r="F2">
        <f>Konstrukcie!C10</f>
        <v>0.38150000000000001</v>
      </c>
      <c r="G2">
        <f>Konstrukcie!E1</f>
        <v>465.1</v>
      </c>
      <c r="H2" s="100">
        <f>Konstrukcie!E13</f>
        <v>0.33016272305636352</v>
      </c>
    </row>
    <row r="3" spans="2:8" x14ac:dyDescent="0.3">
      <c r="B3" t="str">
        <f>Konstrukcie!A15</f>
        <v>SO2</v>
      </c>
      <c r="C3" t="str">
        <f>Konstrukcie!B15</f>
        <v>Obvodová stena ŠD2</v>
      </c>
      <c r="F3">
        <f>Konstrukcie!C23</f>
        <v>0.54199999999999993</v>
      </c>
      <c r="G3">
        <f>Konstrukcie!E15</f>
        <v>1217.2</v>
      </c>
      <c r="H3" s="100">
        <f>Konstrukcie!E26</f>
        <v>0.31893726029240721</v>
      </c>
    </row>
    <row r="4" spans="2:8" x14ac:dyDescent="0.3">
      <c r="B4" t="str">
        <f>Konstrukcie!A28</f>
        <v>SO3</v>
      </c>
      <c r="C4" t="str">
        <f>Konstrukcie!B28</f>
        <v>Obvodová stena - Nezateplená časť</v>
      </c>
      <c r="F4">
        <f>Konstrukcie!C38</f>
        <v>0.46199999999999997</v>
      </c>
      <c r="G4">
        <f>Konstrukcie!E28</f>
        <v>307.8</v>
      </c>
      <c r="H4" s="100">
        <f>Konstrukcie!E41</f>
        <v>0.78643022359290671</v>
      </c>
    </row>
    <row r="5" spans="2:8" x14ac:dyDescent="0.3">
      <c r="B5" t="str">
        <f>Konstrukcie!I1</f>
        <v>STR1</v>
      </c>
      <c r="C5" t="str">
        <f>Konstrukcie!J1</f>
        <v>Plochá strecha ŠD</v>
      </c>
      <c r="F5">
        <f>Konstrukcie!K11</f>
        <v>0.92199999999999993</v>
      </c>
      <c r="G5">
        <f>Konstrukcie!M1</f>
        <v>825.5</v>
      </c>
      <c r="H5" s="100">
        <f>Konstrukcie!M14</f>
        <v>0.19555768862273304</v>
      </c>
    </row>
    <row r="6" spans="2:8" x14ac:dyDescent="0.3">
      <c r="B6" t="str">
        <f>Konstrukcie!Q1</f>
        <v>PDL1</v>
      </c>
      <c r="C6" t="str">
        <f>Konstrukcie!R1</f>
        <v>Podlaha na teréne ŽS</v>
      </c>
      <c r="F6">
        <f>Konstrukcie!S12</f>
        <v>0.15</v>
      </c>
      <c r="G6">
        <f>Konstrukcie!U1</f>
        <v>825.5</v>
      </c>
      <c r="H6" s="100">
        <f>Konstrukcie!U15</f>
        <v>0.26</v>
      </c>
    </row>
    <row r="8" spans="2:8" x14ac:dyDescent="0.3">
      <c r="B8" t="str">
        <f>OtvoroveKonstrukcie!A3</f>
        <v>OO1</v>
      </c>
      <c r="C8" t="str">
        <f>OtvoroveKonstrukcie!B3</f>
        <v>plastové, izolačné 2-sklo</v>
      </c>
      <c r="F8">
        <f>OtvoroveKonstrukcie!O3</f>
        <v>225</v>
      </c>
      <c r="G8">
        <f>OtvoroveKonstrukcie!O3</f>
        <v>225</v>
      </c>
      <c r="H8">
        <f>OtvoroveKonstrukcie!N3</f>
        <v>1.5</v>
      </c>
    </row>
    <row r="9" spans="2:8" x14ac:dyDescent="0.3">
      <c r="B9" t="str">
        <f>OtvoroveKonstrukcie!A44</f>
        <v>DO1</v>
      </c>
      <c r="C9" t="str">
        <f>OtvoroveKonstrukcie!B44</f>
        <v>plastové, izolačné 2-sklo</v>
      </c>
      <c r="F9">
        <f>OtvoroveKonstrukcie!O44</f>
        <v>240</v>
      </c>
      <c r="G9">
        <f>OtvoroveKonstrukcie!O44</f>
        <v>240</v>
      </c>
      <c r="H9">
        <f>OtvoroveKonstrukcie!N44</f>
        <v>1.5</v>
      </c>
    </row>
  </sheetData>
  <mergeCells count="1">
    <mergeCell ref="C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9"/>
  <sheetViews>
    <sheetView topLeftCell="A36" workbookViewId="0">
      <selection activeCell="T54" sqref="T54"/>
    </sheetView>
  </sheetViews>
  <sheetFormatPr defaultColWidth="8.88671875" defaultRowHeight="14.4" x14ac:dyDescent="0.3"/>
  <cols>
    <col min="1" max="1" width="4.88671875" customWidth="1"/>
    <col min="2" max="2" width="20" bestFit="1" customWidth="1"/>
    <col min="3" max="3" width="6.109375" customWidth="1"/>
    <col min="4" max="4" width="6" customWidth="1"/>
    <col min="5" max="5" width="6.44140625" customWidth="1"/>
    <col min="6" max="6" width="5.88671875" customWidth="1"/>
    <col min="7" max="7" width="6.33203125" customWidth="1"/>
    <col min="8" max="8" width="5.88671875" customWidth="1"/>
    <col min="9" max="9" width="5.33203125" customWidth="1"/>
    <col min="10" max="11" width="5.6640625" customWidth="1"/>
    <col min="12" max="12" width="5.33203125" customWidth="1"/>
    <col min="13" max="13" width="5.109375" customWidth="1"/>
  </cols>
  <sheetData>
    <row r="1" spans="1:19" ht="15" x14ac:dyDescent="0.35">
      <c r="A1" s="397" t="s">
        <v>399</v>
      </c>
      <c r="B1" s="397" t="s">
        <v>400</v>
      </c>
      <c r="C1" s="398" t="s">
        <v>401</v>
      </c>
      <c r="D1" s="399"/>
      <c r="E1" s="399"/>
      <c r="F1" s="399"/>
      <c r="G1" s="400"/>
      <c r="H1" s="251" t="s">
        <v>402</v>
      </c>
      <c r="I1" s="401" t="s">
        <v>403</v>
      </c>
      <c r="J1" s="401"/>
      <c r="K1" s="15" t="s">
        <v>404</v>
      </c>
      <c r="L1" s="15" t="s">
        <v>405</v>
      </c>
      <c r="M1" s="15" t="s">
        <v>406</v>
      </c>
      <c r="N1" s="15" t="s">
        <v>407</v>
      </c>
      <c r="O1" s="395" t="s">
        <v>408</v>
      </c>
      <c r="P1" s="395" t="s">
        <v>409</v>
      </c>
      <c r="Q1" s="395" t="s">
        <v>410</v>
      </c>
      <c r="S1" t="s">
        <v>411</v>
      </c>
    </row>
    <row r="2" spans="1:19" x14ac:dyDescent="0.3">
      <c r="A2" s="397"/>
      <c r="B2" s="397"/>
      <c r="C2" s="250" t="s">
        <v>412</v>
      </c>
      <c r="D2" s="250" t="s">
        <v>413</v>
      </c>
      <c r="E2" s="250" t="s">
        <v>414</v>
      </c>
      <c r="F2" s="250" t="s">
        <v>415</v>
      </c>
      <c r="G2" s="250" t="s">
        <v>416</v>
      </c>
      <c r="H2" s="251" t="s">
        <v>417</v>
      </c>
      <c r="I2" s="251" t="s">
        <v>418</v>
      </c>
      <c r="J2" s="251" t="s">
        <v>419</v>
      </c>
      <c r="K2" s="251" t="s">
        <v>420</v>
      </c>
      <c r="L2" s="251" t="s">
        <v>421</v>
      </c>
      <c r="M2" s="251" t="s">
        <v>422</v>
      </c>
      <c r="N2" s="15" t="s">
        <v>423</v>
      </c>
      <c r="O2" s="396"/>
      <c r="P2" s="396"/>
      <c r="Q2" s="396"/>
    </row>
    <row r="3" spans="1:19" x14ac:dyDescent="0.3">
      <c r="A3" s="16" t="s">
        <v>424</v>
      </c>
      <c r="B3" s="17" t="s">
        <v>425</v>
      </c>
      <c r="C3" s="17"/>
      <c r="D3" s="17">
        <v>100</v>
      </c>
      <c r="E3" s="17"/>
      <c r="F3" s="17"/>
      <c r="G3" s="18"/>
      <c r="H3" s="20">
        <f>SUM(C3:G3)</f>
        <v>100</v>
      </c>
      <c r="I3" s="21">
        <v>1.5</v>
      </c>
      <c r="J3" s="21">
        <v>1.5</v>
      </c>
      <c r="K3" s="21">
        <f>2*(I3+J3)</f>
        <v>6</v>
      </c>
      <c r="L3" s="21">
        <f>I3*J3</f>
        <v>2.25</v>
      </c>
      <c r="M3" s="21">
        <f>0.9*(2*I3+2*J3)</f>
        <v>5.4</v>
      </c>
      <c r="N3" s="19">
        <v>1</v>
      </c>
      <c r="O3" s="21">
        <f>L3*H3</f>
        <v>225</v>
      </c>
      <c r="P3" s="22">
        <f>K3*H3</f>
        <v>600</v>
      </c>
      <c r="Q3" s="22">
        <f>M3</f>
        <v>5.4</v>
      </c>
    </row>
    <row r="4" spans="1:19" x14ac:dyDescent="0.3">
      <c r="A4" s="16" t="s">
        <v>426</v>
      </c>
      <c r="B4" s="17" t="s">
        <v>425</v>
      </c>
      <c r="C4" s="17"/>
      <c r="D4" s="17">
        <v>2</v>
      </c>
      <c r="E4" s="17"/>
      <c r="F4" s="17"/>
      <c r="G4" s="18"/>
      <c r="H4" s="20">
        <f t="shared" ref="H4:H36" si="0">SUM(C4:G4)</f>
        <v>2</v>
      </c>
      <c r="I4" s="21">
        <v>0.9</v>
      </c>
      <c r="J4" s="21">
        <v>1.5</v>
      </c>
      <c r="K4" s="21">
        <f t="shared" ref="K4:K38" si="1">2*(I4+J4)</f>
        <v>4.8</v>
      </c>
      <c r="L4" s="21">
        <f t="shared" ref="L4:L38" si="2">I4*J4</f>
        <v>1.35</v>
      </c>
      <c r="M4" s="21">
        <f t="shared" ref="M4:M38" si="3">0.9*(2*I4+2*J4)</f>
        <v>4.32</v>
      </c>
      <c r="N4" s="19">
        <v>1</v>
      </c>
      <c r="O4" s="21">
        <f t="shared" ref="O4:O38" si="4">L4*H4</f>
        <v>2.7</v>
      </c>
      <c r="P4" s="22">
        <f t="shared" ref="P4:P38" si="5">K4*H4</f>
        <v>9.6</v>
      </c>
      <c r="Q4" s="22">
        <f t="shared" ref="Q4:Q38" si="6">M4</f>
        <v>4.32</v>
      </c>
    </row>
    <row r="5" spans="1:19" x14ac:dyDescent="0.3">
      <c r="A5" s="16" t="s">
        <v>427</v>
      </c>
      <c r="B5" s="17" t="s">
        <v>425</v>
      </c>
      <c r="C5" s="17"/>
      <c r="D5" s="17">
        <v>16</v>
      </c>
      <c r="E5" s="17"/>
      <c r="F5" s="17"/>
      <c r="G5" s="18"/>
      <c r="H5" s="20">
        <f t="shared" si="0"/>
        <v>16</v>
      </c>
      <c r="I5" s="21">
        <v>2.1</v>
      </c>
      <c r="J5" s="21">
        <v>1.5</v>
      </c>
      <c r="K5" s="21">
        <f t="shared" si="1"/>
        <v>7.2</v>
      </c>
      <c r="L5" s="21">
        <f t="shared" si="2"/>
        <v>3.1500000000000004</v>
      </c>
      <c r="M5" s="21">
        <f t="shared" si="3"/>
        <v>6.48</v>
      </c>
      <c r="N5" s="19">
        <v>1</v>
      </c>
      <c r="O5" s="21">
        <f t="shared" si="4"/>
        <v>50.400000000000006</v>
      </c>
      <c r="P5" s="22">
        <f t="shared" si="5"/>
        <v>115.2</v>
      </c>
      <c r="Q5" s="22">
        <f t="shared" si="6"/>
        <v>6.48</v>
      </c>
    </row>
    <row r="6" spans="1:19" x14ac:dyDescent="0.3">
      <c r="A6" s="16" t="s">
        <v>428</v>
      </c>
      <c r="B6" s="17" t="s">
        <v>425</v>
      </c>
      <c r="C6" s="17"/>
      <c r="D6" s="17">
        <v>4</v>
      </c>
      <c r="E6" s="17"/>
      <c r="F6" s="17"/>
      <c r="G6" s="18"/>
      <c r="H6" s="20">
        <f t="shared" si="0"/>
        <v>4</v>
      </c>
      <c r="I6" s="21">
        <v>3</v>
      </c>
      <c r="J6" s="21">
        <v>1.5</v>
      </c>
      <c r="K6" s="21">
        <f t="shared" si="1"/>
        <v>9</v>
      </c>
      <c r="L6" s="21">
        <f t="shared" si="2"/>
        <v>4.5</v>
      </c>
      <c r="M6" s="21">
        <f t="shared" si="3"/>
        <v>8.1</v>
      </c>
      <c r="N6" s="19">
        <v>1</v>
      </c>
      <c r="O6" s="21">
        <f t="shared" si="4"/>
        <v>18</v>
      </c>
      <c r="P6" s="22">
        <f t="shared" si="5"/>
        <v>36</v>
      </c>
      <c r="Q6" s="22">
        <f t="shared" si="6"/>
        <v>8.1</v>
      </c>
    </row>
    <row r="7" spans="1:19" x14ac:dyDescent="0.3">
      <c r="A7" s="16" t="s">
        <v>429</v>
      </c>
      <c r="B7" s="17" t="s">
        <v>425</v>
      </c>
      <c r="C7" s="17"/>
      <c r="D7" s="17">
        <v>3</v>
      </c>
      <c r="E7" s="17"/>
      <c r="F7" s="17"/>
      <c r="G7" s="18"/>
      <c r="H7" s="20">
        <f t="shared" si="0"/>
        <v>3</v>
      </c>
      <c r="I7" s="21">
        <v>1.2</v>
      </c>
      <c r="J7" s="21">
        <v>0.9</v>
      </c>
      <c r="K7" s="21">
        <f t="shared" si="1"/>
        <v>4.2</v>
      </c>
      <c r="L7" s="21">
        <f t="shared" si="2"/>
        <v>1.08</v>
      </c>
      <c r="M7" s="21">
        <f t="shared" si="3"/>
        <v>3.7800000000000002</v>
      </c>
      <c r="N7" s="19">
        <v>1</v>
      </c>
      <c r="O7" s="21">
        <f t="shared" si="4"/>
        <v>3.24</v>
      </c>
      <c r="P7" s="22">
        <f t="shared" si="5"/>
        <v>12.600000000000001</v>
      </c>
      <c r="Q7" s="22">
        <f t="shared" si="6"/>
        <v>3.7800000000000002</v>
      </c>
    </row>
    <row r="8" spans="1:19" x14ac:dyDescent="0.3">
      <c r="A8" s="16" t="s">
        <v>430</v>
      </c>
      <c r="B8" s="17" t="s">
        <v>425</v>
      </c>
      <c r="C8" s="17"/>
      <c r="D8" s="17">
        <v>1</v>
      </c>
      <c r="E8" s="17"/>
      <c r="F8" s="17"/>
      <c r="G8" s="18"/>
      <c r="H8" s="20">
        <f t="shared" si="0"/>
        <v>1</v>
      </c>
      <c r="I8" s="21">
        <v>1.4</v>
      </c>
      <c r="J8" s="21">
        <v>1.35</v>
      </c>
      <c r="K8" s="21">
        <f t="shared" si="1"/>
        <v>5.5</v>
      </c>
      <c r="L8" s="21">
        <f t="shared" si="2"/>
        <v>1.89</v>
      </c>
      <c r="M8" s="21">
        <f t="shared" si="3"/>
        <v>4.95</v>
      </c>
      <c r="N8" s="19">
        <v>1</v>
      </c>
      <c r="O8" s="21">
        <f t="shared" si="4"/>
        <v>1.89</v>
      </c>
      <c r="P8" s="22">
        <f t="shared" si="5"/>
        <v>5.5</v>
      </c>
      <c r="Q8" s="22">
        <f t="shared" si="6"/>
        <v>4.95</v>
      </c>
    </row>
    <row r="9" spans="1:19" x14ac:dyDescent="0.3">
      <c r="A9" s="16" t="s">
        <v>431</v>
      </c>
      <c r="B9" s="17" t="s">
        <v>425</v>
      </c>
      <c r="C9" s="17"/>
      <c r="D9" s="17">
        <v>4</v>
      </c>
      <c r="E9" s="17"/>
      <c r="F9" s="17"/>
      <c r="G9" s="18"/>
      <c r="H9" s="20">
        <f t="shared" si="0"/>
        <v>4</v>
      </c>
      <c r="I9" s="21">
        <v>1.35</v>
      </c>
      <c r="J9" s="21">
        <v>1.5</v>
      </c>
      <c r="K9" s="21">
        <f t="shared" si="1"/>
        <v>5.7</v>
      </c>
      <c r="L9" s="21">
        <f t="shared" si="2"/>
        <v>2.0250000000000004</v>
      </c>
      <c r="M9" s="21">
        <f t="shared" si="3"/>
        <v>5.13</v>
      </c>
      <c r="N9" s="19">
        <v>1</v>
      </c>
      <c r="O9" s="21">
        <f t="shared" si="4"/>
        <v>8.1000000000000014</v>
      </c>
      <c r="P9" s="22">
        <f t="shared" si="5"/>
        <v>22.8</v>
      </c>
      <c r="Q9" s="22">
        <f t="shared" si="6"/>
        <v>5.13</v>
      </c>
    </row>
    <row r="10" spans="1:19" x14ac:dyDescent="0.3">
      <c r="A10" s="16" t="s">
        <v>432</v>
      </c>
      <c r="B10" s="17" t="s">
        <v>425</v>
      </c>
      <c r="C10" s="17"/>
      <c r="D10" s="17">
        <v>1</v>
      </c>
      <c r="E10" s="17"/>
      <c r="F10" s="17"/>
      <c r="G10" s="18"/>
      <c r="H10" s="20">
        <f t="shared" si="0"/>
        <v>1</v>
      </c>
      <c r="I10" s="21">
        <v>0.6</v>
      </c>
      <c r="J10" s="21">
        <v>1.5</v>
      </c>
      <c r="K10" s="21">
        <f t="shared" si="1"/>
        <v>4.2</v>
      </c>
      <c r="L10" s="21">
        <f t="shared" si="2"/>
        <v>0.89999999999999991</v>
      </c>
      <c r="M10" s="21">
        <f t="shared" si="3"/>
        <v>3.7800000000000002</v>
      </c>
      <c r="N10" s="19">
        <v>1</v>
      </c>
      <c r="O10" s="21">
        <f t="shared" si="4"/>
        <v>0.89999999999999991</v>
      </c>
      <c r="P10" s="22">
        <f t="shared" si="5"/>
        <v>4.2</v>
      </c>
      <c r="Q10" s="22">
        <f t="shared" si="6"/>
        <v>3.7800000000000002</v>
      </c>
    </row>
    <row r="11" spans="1:19" x14ac:dyDescent="0.3">
      <c r="A11" s="16" t="s">
        <v>433</v>
      </c>
      <c r="B11" s="17" t="s">
        <v>425</v>
      </c>
      <c r="C11" s="17"/>
      <c r="D11" s="17">
        <v>4</v>
      </c>
      <c r="E11" s="17"/>
      <c r="F11" s="17"/>
      <c r="G11" s="18"/>
      <c r="H11" s="20">
        <f t="shared" si="0"/>
        <v>4</v>
      </c>
      <c r="I11" s="21">
        <v>2.7</v>
      </c>
      <c r="J11" s="21">
        <v>1.5</v>
      </c>
      <c r="K11" s="21">
        <f t="shared" si="1"/>
        <v>8.4</v>
      </c>
      <c r="L11" s="21">
        <f t="shared" si="2"/>
        <v>4.0500000000000007</v>
      </c>
      <c r="M11" s="21">
        <f t="shared" si="3"/>
        <v>7.5600000000000005</v>
      </c>
      <c r="N11" s="19">
        <v>1</v>
      </c>
      <c r="O11" s="21">
        <f t="shared" si="4"/>
        <v>16.200000000000003</v>
      </c>
      <c r="P11" s="22">
        <f t="shared" si="5"/>
        <v>33.6</v>
      </c>
      <c r="Q11" s="22">
        <f t="shared" si="6"/>
        <v>7.5600000000000005</v>
      </c>
    </row>
    <row r="12" spans="1:19" x14ac:dyDescent="0.3">
      <c r="A12" s="16" t="s">
        <v>434</v>
      </c>
      <c r="B12" s="17" t="s">
        <v>425</v>
      </c>
      <c r="C12" s="17">
        <v>1</v>
      </c>
      <c r="D12" s="17"/>
      <c r="E12" s="17"/>
      <c r="F12" s="17"/>
      <c r="G12" s="18"/>
      <c r="H12" s="20">
        <f t="shared" si="0"/>
        <v>1</v>
      </c>
      <c r="I12" s="21">
        <v>1.34</v>
      </c>
      <c r="J12" s="21">
        <v>1.5</v>
      </c>
      <c r="K12" s="21">
        <f t="shared" si="1"/>
        <v>5.68</v>
      </c>
      <c r="L12" s="21">
        <f t="shared" si="2"/>
        <v>2.0100000000000002</v>
      </c>
      <c r="M12" s="21">
        <f t="shared" si="3"/>
        <v>5.1120000000000001</v>
      </c>
      <c r="N12" s="19">
        <v>1</v>
      </c>
      <c r="O12" s="21">
        <f t="shared" si="4"/>
        <v>2.0100000000000002</v>
      </c>
      <c r="P12" s="22">
        <f t="shared" si="5"/>
        <v>5.68</v>
      </c>
      <c r="Q12" s="22">
        <f t="shared" si="6"/>
        <v>5.1120000000000001</v>
      </c>
    </row>
    <row r="13" spans="1:19" x14ac:dyDescent="0.3">
      <c r="A13" s="16" t="s">
        <v>435</v>
      </c>
      <c r="B13" s="17" t="s">
        <v>425</v>
      </c>
      <c r="C13" s="17">
        <v>2</v>
      </c>
      <c r="D13" s="17"/>
      <c r="E13" s="17"/>
      <c r="F13" s="17"/>
      <c r="G13" s="18"/>
      <c r="H13" s="20">
        <f t="shared" si="0"/>
        <v>2</v>
      </c>
      <c r="I13" s="21">
        <v>2.4</v>
      </c>
      <c r="J13" s="21">
        <v>2.4</v>
      </c>
      <c r="K13" s="21">
        <f t="shared" si="1"/>
        <v>9.6</v>
      </c>
      <c r="L13" s="21">
        <f t="shared" si="2"/>
        <v>5.76</v>
      </c>
      <c r="M13" s="21">
        <f t="shared" si="3"/>
        <v>8.64</v>
      </c>
      <c r="N13" s="19">
        <v>1</v>
      </c>
      <c r="O13" s="21">
        <f t="shared" si="4"/>
        <v>11.52</v>
      </c>
      <c r="P13" s="22">
        <f t="shared" si="5"/>
        <v>19.2</v>
      </c>
      <c r="Q13" s="22">
        <f t="shared" si="6"/>
        <v>8.64</v>
      </c>
    </row>
    <row r="14" spans="1:19" x14ac:dyDescent="0.3">
      <c r="A14" s="16" t="s">
        <v>436</v>
      </c>
      <c r="B14" s="17" t="s">
        <v>425</v>
      </c>
      <c r="C14" s="17">
        <v>2</v>
      </c>
      <c r="D14" s="17"/>
      <c r="E14" s="17"/>
      <c r="F14" s="17"/>
      <c r="G14" s="18"/>
      <c r="H14" s="20">
        <f t="shared" si="0"/>
        <v>2</v>
      </c>
      <c r="I14" s="21">
        <v>1.35</v>
      </c>
      <c r="J14" s="21">
        <v>1.5</v>
      </c>
      <c r="K14" s="21">
        <f t="shared" si="1"/>
        <v>5.7</v>
      </c>
      <c r="L14" s="21">
        <f t="shared" si="2"/>
        <v>2.0250000000000004</v>
      </c>
      <c r="M14" s="21">
        <f t="shared" si="3"/>
        <v>5.13</v>
      </c>
      <c r="N14" s="19">
        <v>1</v>
      </c>
      <c r="O14" s="21">
        <f t="shared" si="4"/>
        <v>4.0500000000000007</v>
      </c>
      <c r="P14" s="22">
        <f t="shared" si="5"/>
        <v>11.4</v>
      </c>
      <c r="Q14" s="22">
        <f t="shared" si="6"/>
        <v>5.13</v>
      </c>
    </row>
    <row r="15" spans="1:19" x14ac:dyDescent="0.3">
      <c r="A15" s="16" t="s">
        <v>437</v>
      </c>
      <c r="B15" s="17" t="s">
        <v>425</v>
      </c>
      <c r="C15" s="17">
        <v>11</v>
      </c>
      <c r="D15" s="17"/>
      <c r="E15" s="17"/>
      <c r="F15" s="17"/>
      <c r="G15" s="18"/>
      <c r="H15" s="20">
        <f t="shared" si="0"/>
        <v>11</v>
      </c>
      <c r="I15" s="21">
        <v>1.42</v>
      </c>
      <c r="J15" s="21">
        <v>1.5</v>
      </c>
      <c r="K15" s="21">
        <f t="shared" si="1"/>
        <v>5.84</v>
      </c>
      <c r="L15" s="21">
        <f t="shared" si="2"/>
        <v>2.13</v>
      </c>
      <c r="M15" s="21">
        <f t="shared" si="3"/>
        <v>5.2560000000000002</v>
      </c>
      <c r="N15" s="19">
        <v>1</v>
      </c>
      <c r="O15" s="21">
        <f t="shared" si="4"/>
        <v>23.43</v>
      </c>
      <c r="P15" s="22">
        <f t="shared" si="5"/>
        <v>64.239999999999995</v>
      </c>
      <c r="Q15" s="22">
        <f t="shared" si="6"/>
        <v>5.2560000000000002</v>
      </c>
    </row>
    <row r="16" spans="1:19" x14ac:dyDescent="0.3">
      <c r="A16" s="16" t="s">
        <v>438</v>
      </c>
      <c r="B16" s="17" t="s">
        <v>425</v>
      </c>
      <c r="C16" s="17">
        <v>5</v>
      </c>
      <c r="D16" s="17"/>
      <c r="E16" s="17"/>
      <c r="F16" s="17"/>
      <c r="G16" s="18"/>
      <c r="H16" s="20">
        <f t="shared" si="0"/>
        <v>5</v>
      </c>
      <c r="I16" s="21">
        <v>5.6</v>
      </c>
      <c r="J16" s="21">
        <v>1.5</v>
      </c>
      <c r="K16" s="21">
        <f t="shared" si="1"/>
        <v>14.2</v>
      </c>
      <c r="L16" s="21">
        <f t="shared" si="2"/>
        <v>8.3999999999999986</v>
      </c>
      <c r="M16" s="21">
        <f t="shared" si="3"/>
        <v>12.78</v>
      </c>
      <c r="N16" s="19">
        <v>1</v>
      </c>
      <c r="O16" s="21">
        <f t="shared" si="4"/>
        <v>41.999999999999993</v>
      </c>
      <c r="P16" s="22">
        <f t="shared" si="5"/>
        <v>71</v>
      </c>
      <c r="Q16" s="22">
        <f t="shared" si="6"/>
        <v>12.78</v>
      </c>
    </row>
    <row r="17" spans="1:17" x14ac:dyDescent="0.3">
      <c r="A17" s="16" t="s">
        <v>439</v>
      </c>
      <c r="B17" s="17" t="s">
        <v>425</v>
      </c>
      <c r="C17" s="17"/>
      <c r="D17" s="17"/>
      <c r="E17" s="17">
        <v>17</v>
      </c>
      <c r="F17" s="17"/>
      <c r="G17" s="18"/>
      <c r="H17" s="20">
        <f t="shared" si="0"/>
        <v>17</v>
      </c>
      <c r="I17" s="21">
        <v>2.1</v>
      </c>
      <c r="J17" s="21">
        <v>1.5</v>
      </c>
      <c r="K17" s="21">
        <f t="shared" si="1"/>
        <v>7.2</v>
      </c>
      <c r="L17" s="21">
        <f t="shared" si="2"/>
        <v>3.1500000000000004</v>
      </c>
      <c r="M17" s="21">
        <f t="shared" si="3"/>
        <v>6.48</v>
      </c>
      <c r="N17" s="19">
        <v>1</v>
      </c>
      <c r="O17" s="21">
        <f t="shared" si="4"/>
        <v>53.550000000000004</v>
      </c>
      <c r="P17" s="22">
        <f t="shared" si="5"/>
        <v>122.4</v>
      </c>
      <c r="Q17" s="22">
        <f t="shared" si="6"/>
        <v>6.48</v>
      </c>
    </row>
    <row r="18" spans="1:17" x14ac:dyDescent="0.3">
      <c r="A18" s="16" t="s">
        <v>440</v>
      </c>
      <c r="B18" s="17" t="s">
        <v>425</v>
      </c>
      <c r="C18" s="17"/>
      <c r="D18" s="17"/>
      <c r="E18" s="17">
        <v>100</v>
      </c>
      <c r="F18" s="17"/>
      <c r="G18" s="18"/>
      <c r="H18" s="20">
        <f t="shared" si="0"/>
        <v>100</v>
      </c>
      <c r="I18" s="21">
        <v>1.5</v>
      </c>
      <c r="J18" s="21">
        <v>1.5</v>
      </c>
      <c r="K18" s="21">
        <f t="shared" si="1"/>
        <v>6</v>
      </c>
      <c r="L18" s="21">
        <f t="shared" si="2"/>
        <v>2.25</v>
      </c>
      <c r="M18" s="21">
        <f t="shared" si="3"/>
        <v>5.4</v>
      </c>
      <c r="N18" s="19">
        <v>1</v>
      </c>
      <c r="O18" s="21">
        <f t="shared" si="4"/>
        <v>225</v>
      </c>
      <c r="P18" s="22">
        <f t="shared" si="5"/>
        <v>600</v>
      </c>
      <c r="Q18" s="22">
        <f t="shared" si="6"/>
        <v>5.4</v>
      </c>
    </row>
    <row r="19" spans="1:17" x14ac:dyDescent="0.3">
      <c r="A19" s="16" t="s">
        <v>441</v>
      </c>
      <c r="B19" s="17" t="s">
        <v>425</v>
      </c>
      <c r="C19" s="17"/>
      <c r="D19" s="17"/>
      <c r="E19" s="17">
        <v>8</v>
      </c>
      <c r="F19" s="17"/>
      <c r="G19" s="18"/>
      <c r="H19" s="20">
        <f t="shared" si="0"/>
        <v>8</v>
      </c>
      <c r="I19" s="21">
        <v>3</v>
      </c>
      <c r="J19" s="21">
        <v>1.5</v>
      </c>
      <c r="K19" s="21">
        <f t="shared" si="1"/>
        <v>9</v>
      </c>
      <c r="L19" s="21">
        <f t="shared" si="2"/>
        <v>4.5</v>
      </c>
      <c r="M19" s="21">
        <f t="shared" si="3"/>
        <v>8.1</v>
      </c>
      <c r="N19" s="19">
        <v>1</v>
      </c>
      <c r="O19" s="21">
        <f t="shared" si="4"/>
        <v>36</v>
      </c>
      <c r="P19" s="22">
        <f t="shared" si="5"/>
        <v>72</v>
      </c>
      <c r="Q19" s="22">
        <f t="shared" si="6"/>
        <v>8.1</v>
      </c>
    </row>
    <row r="20" spans="1:17" x14ac:dyDescent="0.3">
      <c r="A20" s="16" t="s">
        <v>442</v>
      </c>
      <c r="B20" s="17" t="s">
        <v>425</v>
      </c>
      <c r="C20" s="17"/>
      <c r="D20" s="17"/>
      <c r="E20" s="17">
        <v>2</v>
      </c>
      <c r="F20" s="17"/>
      <c r="G20" s="18"/>
      <c r="H20" s="20">
        <f t="shared" si="0"/>
        <v>2</v>
      </c>
      <c r="I20" s="21">
        <v>1.42</v>
      </c>
      <c r="J20" s="21">
        <v>1.5</v>
      </c>
      <c r="K20" s="21">
        <f t="shared" si="1"/>
        <v>5.84</v>
      </c>
      <c r="L20" s="21">
        <f t="shared" si="2"/>
        <v>2.13</v>
      </c>
      <c r="M20" s="21">
        <f t="shared" si="3"/>
        <v>5.2560000000000002</v>
      </c>
      <c r="N20" s="19">
        <v>1</v>
      </c>
      <c r="O20" s="21">
        <f t="shared" si="4"/>
        <v>4.26</v>
      </c>
      <c r="P20" s="22">
        <f t="shared" si="5"/>
        <v>11.68</v>
      </c>
      <c r="Q20" s="22">
        <f t="shared" si="6"/>
        <v>5.2560000000000002</v>
      </c>
    </row>
    <row r="21" spans="1:17" x14ac:dyDescent="0.3">
      <c r="A21" s="16" t="s">
        <v>443</v>
      </c>
      <c r="B21" s="17" t="s">
        <v>425</v>
      </c>
      <c r="C21" s="17"/>
      <c r="D21" s="17"/>
      <c r="E21" s="17">
        <v>2</v>
      </c>
      <c r="F21" s="17"/>
      <c r="G21" s="18"/>
      <c r="H21" s="20">
        <f t="shared" si="0"/>
        <v>2</v>
      </c>
      <c r="I21" s="21">
        <v>1.2</v>
      </c>
      <c r="J21" s="21">
        <v>0.9</v>
      </c>
      <c r="K21" s="21">
        <f t="shared" si="1"/>
        <v>4.2</v>
      </c>
      <c r="L21" s="21">
        <f t="shared" si="2"/>
        <v>1.08</v>
      </c>
      <c r="M21" s="21">
        <f t="shared" si="3"/>
        <v>3.7800000000000002</v>
      </c>
      <c r="N21" s="19">
        <v>1</v>
      </c>
      <c r="O21" s="21">
        <f t="shared" si="4"/>
        <v>2.16</v>
      </c>
      <c r="P21" s="22">
        <f t="shared" si="5"/>
        <v>8.4</v>
      </c>
      <c r="Q21" s="22">
        <f t="shared" si="6"/>
        <v>3.7800000000000002</v>
      </c>
    </row>
    <row r="22" spans="1:17" x14ac:dyDescent="0.3">
      <c r="A22" s="16" t="s">
        <v>444</v>
      </c>
      <c r="B22" s="17" t="s">
        <v>425</v>
      </c>
      <c r="C22" s="17"/>
      <c r="D22" s="17"/>
      <c r="E22" s="17">
        <v>4</v>
      </c>
      <c r="F22" s="17"/>
      <c r="G22" s="18"/>
      <c r="H22" s="20">
        <f t="shared" si="0"/>
        <v>4</v>
      </c>
      <c r="I22" s="21">
        <v>3</v>
      </c>
      <c r="J22" s="21">
        <v>1.5</v>
      </c>
      <c r="K22" s="21">
        <f t="shared" si="1"/>
        <v>9</v>
      </c>
      <c r="L22" s="21">
        <f t="shared" si="2"/>
        <v>4.5</v>
      </c>
      <c r="M22" s="21">
        <f t="shared" si="3"/>
        <v>8.1</v>
      </c>
      <c r="N22" s="19">
        <v>1</v>
      </c>
      <c r="O22" s="21">
        <f t="shared" si="4"/>
        <v>18</v>
      </c>
      <c r="P22" s="22">
        <f t="shared" si="5"/>
        <v>36</v>
      </c>
      <c r="Q22" s="22">
        <f t="shared" si="6"/>
        <v>8.1</v>
      </c>
    </row>
    <row r="23" spans="1:17" x14ac:dyDescent="0.3">
      <c r="A23" s="16" t="s">
        <v>445</v>
      </c>
      <c r="B23" s="17" t="s">
        <v>425</v>
      </c>
      <c r="C23" s="17"/>
      <c r="D23" s="17"/>
      <c r="E23" s="17">
        <v>1</v>
      </c>
      <c r="F23" s="17"/>
      <c r="G23" s="18"/>
      <c r="H23" s="20">
        <f t="shared" si="0"/>
        <v>1</v>
      </c>
      <c r="I23" s="21">
        <v>1.4</v>
      </c>
      <c r="J23" s="21">
        <v>1.35</v>
      </c>
      <c r="K23" s="21">
        <f t="shared" si="1"/>
        <v>5.5</v>
      </c>
      <c r="L23" s="21">
        <f t="shared" si="2"/>
        <v>1.89</v>
      </c>
      <c r="M23" s="21">
        <f t="shared" si="3"/>
        <v>4.95</v>
      </c>
      <c r="N23" s="19">
        <v>1</v>
      </c>
      <c r="O23" s="21">
        <f t="shared" si="4"/>
        <v>1.89</v>
      </c>
      <c r="P23" s="22">
        <f t="shared" si="5"/>
        <v>5.5</v>
      </c>
      <c r="Q23" s="22">
        <f t="shared" si="6"/>
        <v>4.95</v>
      </c>
    </row>
    <row r="24" spans="1:17" x14ac:dyDescent="0.3">
      <c r="A24" s="16" t="s">
        <v>446</v>
      </c>
      <c r="B24" s="17" t="s">
        <v>425</v>
      </c>
      <c r="C24" s="17"/>
      <c r="D24" s="17"/>
      <c r="E24" s="17">
        <v>5</v>
      </c>
      <c r="F24" s="17"/>
      <c r="G24" s="18"/>
      <c r="H24" s="20">
        <f t="shared" si="0"/>
        <v>5</v>
      </c>
      <c r="I24" s="21">
        <v>2.7</v>
      </c>
      <c r="J24" s="21">
        <v>1.5</v>
      </c>
      <c r="K24" s="21">
        <f t="shared" si="1"/>
        <v>8.4</v>
      </c>
      <c r="L24" s="21">
        <f t="shared" si="2"/>
        <v>4.0500000000000007</v>
      </c>
      <c r="M24" s="21">
        <f t="shared" si="3"/>
        <v>7.5600000000000005</v>
      </c>
      <c r="N24" s="19">
        <v>1</v>
      </c>
      <c r="O24" s="21">
        <f t="shared" si="4"/>
        <v>20.250000000000004</v>
      </c>
      <c r="P24" s="22">
        <f t="shared" si="5"/>
        <v>42</v>
      </c>
      <c r="Q24" s="22">
        <f t="shared" si="6"/>
        <v>7.5600000000000005</v>
      </c>
    </row>
    <row r="25" spans="1:17" x14ac:dyDescent="0.3">
      <c r="A25" s="16" t="s">
        <v>447</v>
      </c>
      <c r="B25" s="17" t="s">
        <v>425</v>
      </c>
      <c r="C25" s="17"/>
      <c r="D25" s="17"/>
      <c r="E25" s="17"/>
      <c r="F25" s="17">
        <v>1</v>
      </c>
      <c r="G25" s="18"/>
      <c r="H25" s="20">
        <f t="shared" si="0"/>
        <v>1</v>
      </c>
      <c r="I25" s="21">
        <v>1.8</v>
      </c>
      <c r="J25" s="21">
        <v>2.2000000000000002</v>
      </c>
      <c r="K25" s="21">
        <f t="shared" si="1"/>
        <v>8</v>
      </c>
      <c r="L25" s="21">
        <f t="shared" si="2"/>
        <v>3.9600000000000004</v>
      </c>
      <c r="M25" s="21">
        <f t="shared" si="3"/>
        <v>7.2</v>
      </c>
      <c r="N25" s="19">
        <v>1</v>
      </c>
      <c r="O25" s="21">
        <f t="shared" si="4"/>
        <v>3.9600000000000004</v>
      </c>
      <c r="P25" s="22">
        <f t="shared" si="5"/>
        <v>8</v>
      </c>
      <c r="Q25" s="22">
        <f t="shared" si="6"/>
        <v>7.2</v>
      </c>
    </row>
    <row r="26" spans="1:17" x14ac:dyDescent="0.3">
      <c r="A26" s="16" t="s">
        <v>448</v>
      </c>
      <c r="B26" s="17" t="s">
        <v>425</v>
      </c>
      <c r="C26" s="17"/>
      <c r="D26" s="17"/>
      <c r="E26" s="17"/>
      <c r="F26" s="17">
        <v>3</v>
      </c>
      <c r="G26" s="18"/>
      <c r="H26" s="20">
        <f t="shared" si="0"/>
        <v>3</v>
      </c>
      <c r="I26" s="21">
        <v>2.7</v>
      </c>
      <c r="J26" s="21">
        <v>3</v>
      </c>
      <c r="K26" s="21">
        <f t="shared" si="1"/>
        <v>11.4</v>
      </c>
      <c r="L26" s="21">
        <f t="shared" si="2"/>
        <v>8.1000000000000014</v>
      </c>
      <c r="M26" s="21">
        <f t="shared" si="3"/>
        <v>10.26</v>
      </c>
      <c r="N26" s="19">
        <v>1</v>
      </c>
      <c r="O26" s="21">
        <f t="shared" si="4"/>
        <v>24.300000000000004</v>
      </c>
      <c r="P26" s="22">
        <f t="shared" si="5"/>
        <v>34.200000000000003</v>
      </c>
      <c r="Q26" s="22">
        <f t="shared" si="6"/>
        <v>10.26</v>
      </c>
    </row>
    <row r="27" spans="1:17" x14ac:dyDescent="0.3">
      <c r="A27" s="16" t="s">
        <v>449</v>
      </c>
      <c r="B27" s="17" t="s">
        <v>425</v>
      </c>
      <c r="C27" s="17"/>
      <c r="D27" s="17"/>
      <c r="E27" s="17"/>
      <c r="F27" s="17">
        <v>4</v>
      </c>
      <c r="G27" s="18"/>
      <c r="H27" s="20">
        <f t="shared" si="0"/>
        <v>4</v>
      </c>
      <c r="I27" s="21">
        <v>2.7</v>
      </c>
      <c r="J27" s="21">
        <v>1.5</v>
      </c>
      <c r="K27" s="21">
        <f t="shared" si="1"/>
        <v>8.4</v>
      </c>
      <c r="L27" s="21">
        <f t="shared" si="2"/>
        <v>4.0500000000000007</v>
      </c>
      <c r="M27" s="21">
        <f t="shared" si="3"/>
        <v>7.5600000000000005</v>
      </c>
      <c r="N27" s="19">
        <v>1</v>
      </c>
      <c r="O27" s="21">
        <f t="shared" si="4"/>
        <v>16.200000000000003</v>
      </c>
      <c r="P27" s="22">
        <f t="shared" si="5"/>
        <v>33.6</v>
      </c>
      <c r="Q27" s="22">
        <f t="shared" si="6"/>
        <v>7.5600000000000005</v>
      </c>
    </row>
    <row r="28" spans="1:17" x14ac:dyDescent="0.3">
      <c r="A28" s="16" t="s">
        <v>450</v>
      </c>
      <c r="B28" s="17" t="s">
        <v>425</v>
      </c>
      <c r="C28" s="17"/>
      <c r="D28" s="17"/>
      <c r="E28" s="17"/>
      <c r="F28" s="17">
        <v>11</v>
      </c>
      <c r="G28" s="18"/>
      <c r="H28" s="20">
        <f t="shared" si="0"/>
        <v>11</v>
      </c>
      <c r="I28" s="21">
        <v>1.42</v>
      </c>
      <c r="J28" s="21">
        <v>1.5</v>
      </c>
      <c r="K28" s="21">
        <f t="shared" si="1"/>
        <v>5.84</v>
      </c>
      <c r="L28" s="21">
        <f t="shared" si="2"/>
        <v>2.13</v>
      </c>
      <c r="M28" s="21">
        <f t="shared" si="3"/>
        <v>5.2560000000000002</v>
      </c>
      <c r="N28" s="19">
        <v>1</v>
      </c>
      <c r="O28" s="21">
        <f t="shared" si="4"/>
        <v>23.43</v>
      </c>
      <c r="P28" s="22">
        <f t="shared" si="5"/>
        <v>64.239999999999995</v>
      </c>
      <c r="Q28" s="22">
        <f t="shared" si="6"/>
        <v>5.2560000000000002</v>
      </c>
    </row>
    <row r="29" spans="1:17" x14ac:dyDescent="0.3">
      <c r="A29" s="16" t="s">
        <v>451</v>
      </c>
      <c r="B29" s="17" t="s">
        <v>452</v>
      </c>
      <c r="C29" s="17"/>
      <c r="D29" s="17">
        <v>2</v>
      </c>
      <c r="E29" s="17"/>
      <c r="F29" s="17"/>
      <c r="G29" s="18"/>
      <c r="H29" s="20">
        <f t="shared" si="0"/>
        <v>2</v>
      </c>
      <c r="I29" s="21">
        <v>2.3250000000000002</v>
      </c>
      <c r="J29" s="21">
        <v>2.65</v>
      </c>
      <c r="K29" s="21">
        <f t="shared" si="1"/>
        <v>9.9499999999999993</v>
      </c>
      <c r="L29" s="21">
        <f t="shared" si="2"/>
        <v>6.1612499999999999</v>
      </c>
      <c r="M29" s="21">
        <f t="shared" si="3"/>
        <v>8.9550000000000001</v>
      </c>
      <c r="N29" s="19">
        <v>1</v>
      </c>
      <c r="O29" s="21">
        <f t="shared" si="4"/>
        <v>12.3225</v>
      </c>
      <c r="P29" s="22">
        <f t="shared" si="5"/>
        <v>19.899999999999999</v>
      </c>
      <c r="Q29" s="22">
        <f t="shared" si="6"/>
        <v>8.9550000000000001</v>
      </c>
    </row>
    <row r="30" spans="1:17" x14ac:dyDescent="0.3">
      <c r="A30" s="16" t="s">
        <v>453</v>
      </c>
      <c r="B30" s="17" t="s">
        <v>452</v>
      </c>
      <c r="C30" s="17"/>
      <c r="D30" s="17">
        <v>1</v>
      </c>
      <c r="E30" s="17"/>
      <c r="F30" s="17"/>
      <c r="G30" s="18"/>
      <c r="H30" s="20">
        <f t="shared" si="0"/>
        <v>1</v>
      </c>
      <c r="I30" s="21">
        <v>1.8</v>
      </c>
      <c r="J30" s="21">
        <v>2.0499999999999998</v>
      </c>
      <c r="K30" s="21">
        <f t="shared" si="1"/>
        <v>7.6999999999999993</v>
      </c>
      <c r="L30" s="21">
        <f t="shared" si="2"/>
        <v>3.69</v>
      </c>
      <c r="M30" s="21">
        <f t="shared" si="3"/>
        <v>6.93</v>
      </c>
      <c r="N30" s="19">
        <v>1</v>
      </c>
      <c r="O30" s="21">
        <f t="shared" si="4"/>
        <v>3.69</v>
      </c>
      <c r="P30" s="22">
        <f t="shared" si="5"/>
        <v>7.6999999999999993</v>
      </c>
      <c r="Q30" s="22">
        <f t="shared" si="6"/>
        <v>6.93</v>
      </c>
    </row>
    <row r="31" spans="1:17" x14ac:dyDescent="0.3">
      <c r="A31" s="16" t="s">
        <v>454</v>
      </c>
      <c r="B31" s="17" t="s">
        <v>425</v>
      </c>
      <c r="C31" s="17"/>
      <c r="D31" s="17">
        <v>10</v>
      </c>
      <c r="E31" s="17"/>
      <c r="F31" s="17"/>
      <c r="G31" s="18"/>
      <c r="H31" s="20">
        <f t="shared" si="0"/>
        <v>10</v>
      </c>
      <c r="I31" s="21">
        <v>3.45</v>
      </c>
      <c r="J31" s="21">
        <v>2.4</v>
      </c>
      <c r="K31" s="21">
        <f t="shared" si="1"/>
        <v>11.7</v>
      </c>
      <c r="L31" s="21">
        <f t="shared" si="2"/>
        <v>8.2799999999999994</v>
      </c>
      <c r="M31" s="21">
        <f t="shared" si="3"/>
        <v>10.53</v>
      </c>
      <c r="N31" s="19">
        <v>1</v>
      </c>
      <c r="O31" s="21">
        <f t="shared" si="4"/>
        <v>82.8</v>
      </c>
      <c r="P31" s="22">
        <f t="shared" si="5"/>
        <v>117</v>
      </c>
      <c r="Q31" s="22">
        <f t="shared" si="6"/>
        <v>10.53</v>
      </c>
    </row>
    <row r="32" spans="1:17" x14ac:dyDescent="0.3">
      <c r="A32" s="16" t="s">
        <v>455</v>
      </c>
      <c r="B32" s="17" t="s">
        <v>425</v>
      </c>
      <c r="C32" s="17"/>
      <c r="D32" s="17">
        <v>1</v>
      </c>
      <c r="E32" s="17"/>
      <c r="F32" s="17"/>
      <c r="G32" s="18"/>
      <c r="H32" s="20">
        <f t="shared" si="0"/>
        <v>1</v>
      </c>
      <c r="I32" s="21">
        <v>3.45</v>
      </c>
      <c r="J32" s="21">
        <v>2.2999999999999998</v>
      </c>
      <c r="K32" s="21">
        <f t="shared" si="1"/>
        <v>11.5</v>
      </c>
      <c r="L32" s="21">
        <f t="shared" si="2"/>
        <v>7.9349999999999996</v>
      </c>
      <c r="M32" s="21">
        <f t="shared" si="3"/>
        <v>10.35</v>
      </c>
      <c r="N32" s="19">
        <v>1</v>
      </c>
      <c r="O32" s="21">
        <f t="shared" si="4"/>
        <v>7.9349999999999996</v>
      </c>
      <c r="P32" s="22">
        <f t="shared" si="5"/>
        <v>11.5</v>
      </c>
      <c r="Q32" s="22">
        <f t="shared" si="6"/>
        <v>10.35</v>
      </c>
    </row>
    <row r="33" spans="1:17" x14ac:dyDescent="0.3">
      <c r="A33" s="16" t="s">
        <v>456</v>
      </c>
      <c r="B33" s="17" t="s">
        <v>425</v>
      </c>
      <c r="C33" s="17"/>
      <c r="D33" s="17"/>
      <c r="E33" s="17">
        <v>10</v>
      </c>
      <c r="F33" s="17"/>
      <c r="G33" s="18"/>
      <c r="H33" s="20">
        <f t="shared" si="0"/>
        <v>10</v>
      </c>
      <c r="I33" s="21">
        <v>3.45</v>
      </c>
      <c r="J33" s="21">
        <v>2.4</v>
      </c>
      <c r="K33" s="21">
        <f t="shared" si="1"/>
        <v>11.7</v>
      </c>
      <c r="L33" s="21">
        <f t="shared" si="2"/>
        <v>8.2799999999999994</v>
      </c>
      <c r="M33" s="21">
        <f t="shared" si="3"/>
        <v>10.53</v>
      </c>
      <c r="N33" s="19">
        <v>1</v>
      </c>
      <c r="O33" s="21">
        <f t="shared" si="4"/>
        <v>82.8</v>
      </c>
      <c r="P33" s="22">
        <f t="shared" si="5"/>
        <v>117</v>
      </c>
      <c r="Q33" s="22">
        <f t="shared" si="6"/>
        <v>10.53</v>
      </c>
    </row>
    <row r="34" spans="1:17" x14ac:dyDescent="0.3">
      <c r="A34" s="16" t="s">
        <v>457</v>
      </c>
      <c r="B34" s="17" t="s">
        <v>425</v>
      </c>
      <c r="C34" s="17"/>
      <c r="D34" s="17"/>
      <c r="E34" s="17">
        <v>1</v>
      </c>
      <c r="F34" s="17"/>
      <c r="G34" s="18"/>
      <c r="H34" s="20">
        <f t="shared" si="0"/>
        <v>1</v>
      </c>
      <c r="I34" s="21">
        <v>3.45</v>
      </c>
      <c r="J34" s="21">
        <v>2.2999999999999998</v>
      </c>
      <c r="K34" s="21">
        <f t="shared" si="1"/>
        <v>11.5</v>
      </c>
      <c r="L34" s="21">
        <f t="shared" si="2"/>
        <v>7.9349999999999996</v>
      </c>
      <c r="M34" s="21">
        <f t="shared" si="3"/>
        <v>10.35</v>
      </c>
      <c r="N34" s="19">
        <v>1</v>
      </c>
      <c r="O34" s="21">
        <f t="shared" si="4"/>
        <v>7.9349999999999996</v>
      </c>
      <c r="P34" s="22">
        <f t="shared" si="5"/>
        <v>11.5</v>
      </c>
      <c r="Q34" s="22">
        <f t="shared" si="6"/>
        <v>10.35</v>
      </c>
    </row>
    <row r="35" spans="1:17" x14ac:dyDescent="0.3">
      <c r="A35" s="16" t="s">
        <v>458</v>
      </c>
      <c r="B35" s="17" t="s">
        <v>452</v>
      </c>
      <c r="C35" s="17"/>
      <c r="D35" s="17">
        <v>1</v>
      </c>
      <c r="E35" s="17"/>
      <c r="F35" s="17"/>
      <c r="G35" s="18"/>
      <c r="H35" s="20">
        <f t="shared" si="0"/>
        <v>1</v>
      </c>
      <c r="I35" s="21">
        <v>3.45</v>
      </c>
      <c r="J35" s="21">
        <v>2.65</v>
      </c>
      <c r="K35" s="21">
        <f t="shared" si="1"/>
        <v>12.2</v>
      </c>
      <c r="L35" s="21">
        <f t="shared" si="2"/>
        <v>9.1425000000000001</v>
      </c>
      <c r="M35" s="21">
        <f t="shared" si="3"/>
        <v>10.98</v>
      </c>
      <c r="N35" s="19">
        <v>1</v>
      </c>
      <c r="O35" s="21">
        <f t="shared" si="4"/>
        <v>9.1425000000000001</v>
      </c>
      <c r="P35" s="22">
        <f t="shared" si="5"/>
        <v>12.2</v>
      </c>
      <c r="Q35" s="22">
        <f t="shared" si="6"/>
        <v>10.98</v>
      </c>
    </row>
    <row r="36" spans="1:17" x14ac:dyDescent="0.3">
      <c r="A36" s="16" t="s">
        <v>459</v>
      </c>
      <c r="B36" s="17" t="s">
        <v>452</v>
      </c>
      <c r="C36" s="17"/>
      <c r="D36" s="17">
        <v>1</v>
      </c>
      <c r="E36" s="17"/>
      <c r="F36" s="17"/>
      <c r="G36" s="18"/>
      <c r="H36" s="20">
        <f t="shared" si="0"/>
        <v>1</v>
      </c>
      <c r="I36" s="21">
        <v>4.8</v>
      </c>
      <c r="J36" s="21">
        <v>3.6</v>
      </c>
      <c r="K36" s="21">
        <f t="shared" si="1"/>
        <v>16.8</v>
      </c>
      <c r="L36" s="21">
        <f t="shared" si="2"/>
        <v>17.28</v>
      </c>
      <c r="M36" s="21">
        <f t="shared" si="3"/>
        <v>15.120000000000001</v>
      </c>
      <c r="N36" s="19">
        <v>1</v>
      </c>
      <c r="O36" s="21">
        <f t="shared" si="4"/>
        <v>17.28</v>
      </c>
      <c r="P36" s="22">
        <f t="shared" si="5"/>
        <v>16.8</v>
      </c>
      <c r="Q36" s="22">
        <f t="shared" si="6"/>
        <v>15.120000000000001</v>
      </c>
    </row>
    <row r="37" spans="1:17" x14ac:dyDescent="0.3">
      <c r="A37" s="16" t="s">
        <v>460</v>
      </c>
      <c r="B37" s="17" t="s">
        <v>452</v>
      </c>
      <c r="C37" s="17"/>
      <c r="D37" s="17"/>
      <c r="E37" s="17"/>
      <c r="F37" s="17">
        <v>1</v>
      </c>
      <c r="G37" s="18"/>
      <c r="H37" s="20">
        <f>SUM(C37:G37)</f>
        <v>1</v>
      </c>
      <c r="I37" s="21">
        <v>2.4</v>
      </c>
      <c r="J37" s="21">
        <v>3.6</v>
      </c>
      <c r="K37" s="21">
        <f t="shared" si="1"/>
        <v>12</v>
      </c>
      <c r="L37" s="21">
        <f t="shared" si="2"/>
        <v>8.64</v>
      </c>
      <c r="M37" s="21">
        <f t="shared" si="3"/>
        <v>10.8</v>
      </c>
      <c r="N37" s="19">
        <v>1</v>
      </c>
      <c r="O37" s="21">
        <f t="shared" si="4"/>
        <v>8.64</v>
      </c>
      <c r="P37" s="22">
        <f t="shared" si="5"/>
        <v>12</v>
      </c>
      <c r="Q37" s="22">
        <f t="shared" si="6"/>
        <v>10.8</v>
      </c>
    </row>
    <row r="38" spans="1:17" x14ac:dyDescent="0.3">
      <c r="A38" s="16" t="s">
        <v>461</v>
      </c>
      <c r="B38" s="17" t="s">
        <v>425</v>
      </c>
      <c r="C38" s="17"/>
      <c r="D38" s="17"/>
      <c r="E38" s="17"/>
      <c r="F38" s="17"/>
      <c r="G38" s="18">
        <v>6</v>
      </c>
      <c r="H38" s="20">
        <f>SUM(C38:G38)</f>
        <v>6</v>
      </c>
      <c r="I38" s="21">
        <v>5.57</v>
      </c>
      <c r="J38" s="21">
        <v>1.67</v>
      </c>
      <c r="K38" s="21">
        <f t="shared" si="1"/>
        <v>14.48</v>
      </c>
      <c r="L38" s="21">
        <f t="shared" si="2"/>
        <v>9.3018999999999998</v>
      </c>
      <c r="M38" s="21">
        <f t="shared" si="3"/>
        <v>13.032</v>
      </c>
      <c r="N38" s="19">
        <v>1</v>
      </c>
      <c r="O38" s="21">
        <f t="shared" si="4"/>
        <v>55.811399999999999</v>
      </c>
      <c r="P38" s="22">
        <f t="shared" si="5"/>
        <v>86.88</v>
      </c>
      <c r="Q38" s="22">
        <f t="shared" si="6"/>
        <v>13.032</v>
      </c>
    </row>
    <row r="39" spans="1:17" x14ac:dyDescent="0.3">
      <c r="A39" s="16"/>
      <c r="B39" s="17"/>
      <c r="C39" s="17"/>
      <c r="D39" s="17"/>
      <c r="E39" s="17"/>
      <c r="F39" s="17"/>
      <c r="G39" s="18"/>
      <c r="H39" s="20"/>
      <c r="I39" s="21"/>
      <c r="J39" s="21"/>
      <c r="K39" s="21"/>
      <c r="L39" s="21"/>
      <c r="M39" s="21"/>
      <c r="N39" s="19"/>
      <c r="O39" s="21"/>
      <c r="P39" s="22"/>
      <c r="Q39" s="22"/>
    </row>
    <row r="40" spans="1:17" x14ac:dyDescent="0.3">
      <c r="A40" s="16"/>
      <c r="B40" s="17"/>
      <c r="C40" s="17"/>
      <c r="D40" s="17"/>
      <c r="E40" s="17"/>
      <c r="F40" s="17"/>
      <c r="G40" s="18"/>
      <c r="H40" s="20"/>
      <c r="I40" s="21"/>
      <c r="J40" s="21"/>
      <c r="K40" s="21"/>
      <c r="L40" s="21"/>
      <c r="M40" s="21"/>
      <c r="N40" s="19"/>
      <c r="O40" s="21"/>
      <c r="P40" s="22"/>
      <c r="Q40" s="22"/>
    </row>
    <row r="41" spans="1:17" x14ac:dyDescent="0.3">
      <c r="A41" s="402" t="s">
        <v>462</v>
      </c>
      <c r="B41" s="403"/>
      <c r="C41" s="134">
        <f>SUMPRODUCT(C3:C40,L3:L40)</f>
        <v>83.009999999999991</v>
      </c>
      <c r="D41" s="134">
        <f>SUMPRODUCT(D3:D40,L3:L40)</f>
        <v>459.6</v>
      </c>
      <c r="E41" s="134">
        <f>SUMPRODUCT(E3:E40,L3:L40)</f>
        <v>451.84500000000003</v>
      </c>
      <c r="F41" s="134">
        <f>SUMPRODUCT(F3:F40,L3:L40)</f>
        <v>76.530000000000015</v>
      </c>
      <c r="G41" s="134">
        <f>SUMPRODUCT(G3:G40,L3:L40)</f>
        <v>55.811399999999999</v>
      </c>
      <c r="H41" s="227">
        <f>SUM(H3:H36)</f>
        <v>341</v>
      </c>
    </row>
    <row r="42" spans="1:17" ht="15" x14ac:dyDescent="0.35">
      <c r="A42" s="397" t="s">
        <v>399</v>
      </c>
      <c r="B42" s="397" t="s">
        <v>400</v>
      </c>
      <c r="C42" s="398" t="s">
        <v>401</v>
      </c>
      <c r="D42" s="399"/>
      <c r="E42" s="399"/>
      <c r="F42" s="399"/>
      <c r="G42" s="400"/>
      <c r="H42" s="251" t="s">
        <v>402</v>
      </c>
      <c r="I42" s="401" t="s">
        <v>403</v>
      </c>
      <c r="J42" s="401"/>
      <c r="K42" s="15" t="s">
        <v>404</v>
      </c>
      <c r="L42" s="15" t="s">
        <v>405</v>
      </c>
      <c r="M42" s="15" t="s">
        <v>406</v>
      </c>
      <c r="N42" s="15" t="s">
        <v>407</v>
      </c>
      <c r="O42" s="395" t="s">
        <v>408</v>
      </c>
      <c r="P42" s="395" t="s">
        <v>409</v>
      </c>
      <c r="Q42" s="395" t="s">
        <v>410</v>
      </c>
    </row>
    <row r="43" spans="1:17" x14ac:dyDescent="0.3">
      <c r="A43" s="397"/>
      <c r="B43" s="397"/>
      <c r="C43" s="250" t="str">
        <f>C2</f>
        <v>J</v>
      </c>
      <c r="D43" s="250" t="str">
        <f>D2</f>
        <v>V</v>
      </c>
      <c r="E43" s="250" t="str">
        <f>E2</f>
        <v>Z</v>
      </c>
      <c r="F43" s="250" t="str">
        <f>F2</f>
        <v>S</v>
      </c>
      <c r="G43" s="250" t="str">
        <f>G2</f>
        <v>H</v>
      </c>
      <c r="H43" s="251" t="s">
        <v>417</v>
      </c>
      <c r="I43" s="251" t="s">
        <v>418</v>
      </c>
      <c r="J43" s="251" t="s">
        <v>419</v>
      </c>
      <c r="K43" s="251" t="s">
        <v>420</v>
      </c>
      <c r="L43" s="251" t="s">
        <v>421</v>
      </c>
      <c r="M43" s="251" t="s">
        <v>422</v>
      </c>
      <c r="N43" s="15" t="s">
        <v>423</v>
      </c>
      <c r="O43" s="396"/>
      <c r="P43" s="396"/>
      <c r="Q43" s="396"/>
    </row>
    <row r="44" spans="1:17" x14ac:dyDescent="0.3">
      <c r="A44" s="16" t="s">
        <v>463</v>
      </c>
      <c r="B44" s="17" t="s">
        <v>425</v>
      </c>
      <c r="C44" s="17"/>
      <c r="D44" s="17">
        <v>100</v>
      </c>
      <c r="E44" s="17"/>
      <c r="F44" s="17"/>
      <c r="G44" s="18"/>
      <c r="H44" s="20">
        <f>SUM(C44:G44)</f>
        <v>100</v>
      </c>
      <c r="I44" s="21">
        <v>1</v>
      </c>
      <c r="J44" s="21">
        <v>2.4</v>
      </c>
      <c r="K44" s="21">
        <v>2.3628</v>
      </c>
      <c r="L44" s="21">
        <f>I44*J44</f>
        <v>2.4</v>
      </c>
      <c r="M44" s="21">
        <f t="shared" ref="M44:M56" si="7">0.9*(2*I44+2*J44)</f>
        <v>6.12</v>
      </c>
      <c r="N44" s="19">
        <v>1</v>
      </c>
      <c r="O44" s="21">
        <f>L44*H44</f>
        <v>240</v>
      </c>
      <c r="P44" s="22">
        <f>K44*H44</f>
        <v>236.28</v>
      </c>
      <c r="Q44" s="22">
        <f>M44</f>
        <v>6.12</v>
      </c>
    </row>
    <row r="45" spans="1:17" ht="15" customHeight="1" x14ac:dyDescent="0.3">
      <c r="A45" s="16" t="s">
        <v>464</v>
      </c>
      <c r="B45" s="17" t="s">
        <v>425</v>
      </c>
      <c r="C45" s="17"/>
      <c r="D45" s="17">
        <v>1</v>
      </c>
      <c r="E45" s="17"/>
      <c r="F45" s="17"/>
      <c r="G45" s="18"/>
      <c r="H45" s="20">
        <f t="shared" ref="H45:H56" si="8">SUM(C45:G45)</f>
        <v>1</v>
      </c>
      <c r="I45" s="21">
        <v>2.1</v>
      </c>
      <c r="J45" s="21">
        <v>2.4</v>
      </c>
      <c r="K45" s="21">
        <v>4.4278000000000004</v>
      </c>
      <c r="L45" s="21">
        <f t="shared" ref="L45:L56" si="9">I45*J45</f>
        <v>5.04</v>
      </c>
      <c r="M45" s="21">
        <f t="shared" si="7"/>
        <v>8.1</v>
      </c>
      <c r="N45" s="19">
        <v>1</v>
      </c>
      <c r="O45" s="21">
        <f t="shared" ref="O45:O56" si="10">L45*H45</f>
        <v>5.04</v>
      </c>
      <c r="P45" s="22">
        <f t="shared" ref="P45:P56" si="11">K45*H45</f>
        <v>4.4278000000000004</v>
      </c>
      <c r="Q45" s="22">
        <f t="shared" ref="Q45:Q56" si="12">M45</f>
        <v>8.1</v>
      </c>
    </row>
    <row r="46" spans="1:17" ht="15" customHeight="1" x14ac:dyDescent="0.3">
      <c r="A46" s="16" t="s">
        <v>465</v>
      </c>
      <c r="B46" s="17" t="s">
        <v>425</v>
      </c>
      <c r="C46" s="17"/>
      <c r="D46" s="17"/>
      <c r="E46" s="17">
        <v>100</v>
      </c>
      <c r="F46" s="17"/>
      <c r="G46" s="18"/>
      <c r="H46" s="20">
        <f t="shared" si="8"/>
        <v>100</v>
      </c>
      <c r="I46" s="21">
        <v>1.05</v>
      </c>
      <c r="J46" s="21">
        <v>2.04</v>
      </c>
      <c r="K46" s="21">
        <v>1.4592000000000001</v>
      </c>
      <c r="L46" s="21">
        <f t="shared" si="9"/>
        <v>2.1420000000000003</v>
      </c>
      <c r="M46" s="21">
        <f t="shared" si="7"/>
        <v>5.5620000000000003</v>
      </c>
      <c r="N46" s="19">
        <v>1</v>
      </c>
      <c r="O46" s="21">
        <f t="shared" si="10"/>
        <v>214.20000000000005</v>
      </c>
      <c r="P46" s="22">
        <f t="shared" si="11"/>
        <v>145.92000000000002</v>
      </c>
      <c r="Q46" s="22">
        <f t="shared" si="12"/>
        <v>5.5620000000000003</v>
      </c>
    </row>
    <row r="47" spans="1:17" ht="15" customHeight="1" x14ac:dyDescent="0.3">
      <c r="A47" s="16" t="s">
        <v>466</v>
      </c>
      <c r="B47" s="17" t="s">
        <v>425</v>
      </c>
      <c r="C47" s="17"/>
      <c r="D47" s="17"/>
      <c r="E47" s="17">
        <v>1</v>
      </c>
      <c r="F47" s="17"/>
      <c r="G47" s="18"/>
      <c r="H47" s="20">
        <f t="shared" si="8"/>
        <v>1</v>
      </c>
      <c r="I47" s="21">
        <v>0.8</v>
      </c>
      <c r="J47" s="21">
        <v>2.0499999999999998</v>
      </c>
      <c r="K47" s="21">
        <v>2.5488</v>
      </c>
      <c r="L47" s="21">
        <f t="shared" si="9"/>
        <v>1.64</v>
      </c>
      <c r="M47" s="21">
        <f t="shared" si="7"/>
        <v>5.13</v>
      </c>
      <c r="N47" s="19">
        <v>1</v>
      </c>
      <c r="O47" s="21">
        <f t="shared" si="10"/>
        <v>1.64</v>
      </c>
      <c r="P47" s="22">
        <f t="shared" si="11"/>
        <v>2.5488</v>
      </c>
      <c r="Q47" s="22">
        <f t="shared" si="12"/>
        <v>5.13</v>
      </c>
    </row>
    <row r="48" spans="1:17" x14ac:dyDescent="0.3">
      <c r="A48" s="16" t="s">
        <v>467</v>
      </c>
      <c r="B48" s="17" t="s">
        <v>425</v>
      </c>
      <c r="C48" s="17"/>
      <c r="D48" s="17"/>
      <c r="E48" s="17"/>
      <c r="F48" s="17">
        <v>1</v>
      </c>
      <c r="G48" s="18"/>
      <c r="H48" s="20">
        <f t="shared" si="8"/>
        <v>1</v>
      </c>
      <c r="I48" s="21">
        <v>0.8</v>
      </c>
      <c r="J48" s="21">
        <v>1.97</v>
      </c>
      <c r="K48" s="21">
        <v>4.9055999999999997</v>
      </c>
      <c r="L48" s="21">
        <f t="shared" si="9"/>
        <v>1.5760000000000001</v>
      </c>
      <c r="M48" s="21">
        <f t="shared" si="7"/>
        <v>4.9859999999999998</v>
      </c>
      <c r="N48" s="19">
        <v>1</v>
      </c>
      <c r="O48" s="21">
        <f t="shared" si="10"/>
        <v>1.5760000000000001</v>
      </c>
      <c r="P48" s="22">
        <f t="shared" si="11"/>
        <v>4.9055999999999997</v>
      </c>
      <c r="Q48" s="22">
        <f t="shared" si="12"/>
        <v>4.9859999999999998</v>
      </c>
    </row>
    <row r="49" spans="1:17" x14ac:dyDescent="0.3">
      <c r="A49" s="16" t="s">
        <v>468</v>
      </c>
      <c r="B49" s="17" t="s">
        <v>425</v>
      </c>
      <c r="C49" s="17">
        <v>1</v>
      </c>
      <c r="D49" s="17"/>
      <c r="E49" s="17"/>
      <c r="F49" s="17"/>
      <c r="G49" s="18"/>
      <c r="H49" s="20">
        <f t="shared" si="8"/>
        <v>1</v>
      </c>
      <c r="I49" s="21">
        <v>0.8</v>
      </c>
      <c r="J49" s="21">
        <v>1.97</v>
      </c>
      <c r="K49" s="21">
        <v>2.9328000000000003</v>
      </c>
      <c r="L49" s="21">
        <f t="shared" si="9"/>
        <v>1.5760000000000001</v>
      </c>
      <c r="M49" s="21">
        <f t="shared" si="7"/>
        <v>4.9859999999999998</v>
      </c>
      <c r="N49" s="19">
        <v>1</v>
      </c>
      <c r="O49" s="21">
        <f t="shared" si="10"/>
        <v>1.5760000000000001</v>
      </c>
      <c r="P49" s="22">
        <f t="shared" si="11"/>
        <v>2.9328000000000003</v>
      </c>
      <c r="Q49" s="22">
        <f t="shared" si="12"/>
        <v>4.9859999999999998</v>
      </c>
    </row>
    <row r="50" spans="1:17" x14ac:dyDescent="0.3">
      <c r="A50" s="16" t="s">
        <v>469</v>
      </c>
      <c r="B50" s="17" t="s">
        <v>470</v>
      </c>
      <c r="C50" s="17">
        <v>1</v>
      </c>
      <c r="D50" s="17"/>
      <c r="E50" s="17"/>
      <c r="F50" s="17"/>
      <c r="G50" s="18"/>
      <c r="H50" s="20">
        <f t="shared" si="8"/>
        <v>1</v>
      </c>
      <c r="I50" s="21">
        <v>1.05</v>
      </c>
      <c r="J50" s="21">
        <v>2.1</v>
      </c>
      <c r="K50" s="21">
        <v>2</v>
      </c>
      <c r="L50" s="21">
        <f t="shared" si="9"/>
        <v>2.2050000000000001</v>
      </c>
      <c r="M50" s="21">
        <f t="shared" si="7"/>
        <v>5.6700000000000008</v>
      </c>
      <c r="N50" s="19">
        <v>1</v>
      </c>
      <c r="O50" s="21">
        <f t="shared" si="10"/>
        <v>2.2050000000000001</v>
      </c>
      <c r="P50" s="22">
        <f t="shared" si="11"/>
        <v>2</v>
      </c>
      <c r="Q50" s="22">
        <f t="shared" si="12"/>
        <v>5.6700000000000008</v>
      </c>
    </row>
    <row r="51" spans="1:17" x14ac:dyDescent="0.3">
      <c r="A51" s="16" t="s">
        <v>471</v>
      </c>
      <c r="B51" s="17" t="s">
        <v>470</v>
      </c>
      <c r="C51" s="17">
        <v>1</v>
      </c>
      <c r="D51" s="17"/>
      <c r="E51" s="17"/>
      <c r="F51" s="17"/>
      <c r="G51" s="18"/>
      <c r="H51" s="20">
        <f t="shared" si="8"/>
        <v>1</v>
      </c>
      <c r="I51" s="21">
        <v>1.45</v>
      </c>
      <c r="J51" s="21">
        <v>2.1</v>
      </c>
      <c r="K51" s="21">
        <v>3.94</v>
      </c>
      <c r="L51" s="21">
        <f t="shared" si="9"/>
        <v>3.0449999999999999</v>
      </c>
      <c r="M51" s="21">
        <f t="shared" si="7"/>
        <v>6.39</v>
      </c>
      <c r="N51" s="19">
        <v>1</v>
      </c>
      <c r="O51" s="21">
        <f t="shared" si="10"/>
        <v>3.0449999999999999</v>
      </c>
      <c r="P51" s="22">
        <f t="shared" si="11"/>
        <v>3.94</v>
      </c>
      <c r="Q51" s="22">
        <f t="shared" si="12"/>
        <v>6.39</v>
      </c>
    </row>
    <row r="52" spans="1:17" x14ac:dyDescent="0.3">
      <c r="A52" s="16" t="s">
        <v>472</v>
      </c>
      <c r="B52" s="17" t="s">
        <v>470</v>
      </c>
      <c r="C52" s="17"/>
      <c r="D52" s="17"/>
      <c r="E52" s="17"/>
      <c r="F52" s="17">
        <v>1</v>
      </c>
      <c r="G52" s="18"/>
      <c r="H52" s="20">
        <f t="shared" si="8"/>
        <v>1</v>
      </c>
      <c r="I52" s="21">
        <v>1.05</v>
      </c>
      <c r="J52" s="21">
        <v>2.1</v>
      </c>
      <c r="K52" s="21">
        <v>3.6592000000000002</v>
      </c>
      <c r="L52" s="21">
        <f t="shared" si="9"/>
        <v>2.2050000000000001</v>
      </c>
      <c r="M52" s="21">
        <f t="shared" si="7"/>
        <v>5.6700000000000008</v>
      </c>
      <c r="N52" s="19">
        <v>1</v>
      </c>
      <c r="O52" s="21">
        <f t="shared" si="10"/>
        <v>2.2050000000000001</v>
      </c>
      <c r="P52" s="22">
        <f t="shared" si="11"/>
        <v>3.6592000000000002</v>
      </c>
      <c r="Q52" s="22">
        <f t="shared" si="12"/>
        <v>5.6700000000000008</v>
      </c>
    </row>
    <row r="53" spans="1:17" x14ac:dyDescent="0.3">
      <c r="A53" s="16" t="s">
        <v>473</v>
      </c>
      <c r="B53" s="17" t="s">
        <v>474</v>
      </c>
      <c r="C53" s="17">
        <v>1</v>
      </c>
      <c r="D53" s="17"/>
      <c r="E53" s="17"/>
      <c r="F53" s="17"/>
      <c r="G53" s="18"/>
      <c r="H53" s="20">
        <f t="shared" si="8"/>
        <v>1</v>
      </c>
      <c r="I53" s="21">
        <v>2.1</v>
      </c>
      <c r="J53" s="21">
        <v>2.4</v>
      </c>
      <c r="K53" s="21">
        <v>1.0032000000000001</v>
      </c>
      <c r="L53" s="21">
        <f t="shared" si="9"/>
        <v>5.04</v>
      </c>
      <c r="M53" s="21">
        <f t="shared" si="7"/>
        <v>8.1</v>
      </c>
      <c r="N53" s="19">
        <v>1</v>
      </c>
      <c r="O53" s="21">
        <f t="shared" si="10"/>
        <v>5.04</v>
      </c>
      <c r="P53" s="22">
        <f t="shared" si="11"/>
        <v>1.0032000000000001</v>
      </c>
      <c r="Q53" s="22">
        <f t="shared" si="12"/>
        <v>8.1</v>
      </c>
    </row>
    <row r="54" spans="1:17" x14ac:dyDescent="0.3">
      <c r="A54" s="16" t="s">
        <v>475</v>
      </c>
      <c r="B54" s="17" t="s">
        <v>474</v>
      </c>
      <c r="C54" s="17"/>
      <c r="D54" s="17"/>
      <c r="E54" s="17">
        <v>1</v>
      </c>
      <c r="F54" s="17"/>
      <c r="G54" s="18"/>
      <c r="H54" s="20">
        <f t="shared" si="8"/>
        <v>1</v>
      </c>
      <c r="I54" s="21">
        <v>0.9</v>
      </c>
      <c r="J54" s="21">
        <v>2.85</v>
      </c>
      <c r="K54" s="21">
        <v>1.1748000000000001</v>
      </c>
      <c r="L54" s="21">
        <f t="shared" si="9"/>
        <v>2.5649999999999999</v>
      </c>
      <c r="M54" s="21">
        <f t="shared" si="7"/>
        <v>6.75</v>
      </c>
      <c r="N54" s="19">
        <v>1</v>
      </c>
      <c r="O54" s="21">
        <f t="shared" si="10"/>
        <v>2.5649999999999999</v>
      </c>
      <c r="P54" s="22">
        <f t="shared" si="11"/>
        <v>1.1748000000000001</v>
      </c>
      <c r="Q54" s="22">
        <f t="shared" si="12"/>
        <v>6.75</v>
      </c>
    </row>
    <row r="55" spans="1:17" x14ac:dyDescent="0.3">
      <c r="A55" s="16" t="s">
        <v>476</v>
      </c>
      <c r="B55" s="17" t="s">
        <v>425</v>
      </c>
      <c r="C55" s="17"/>
      <c r="D55" s="17"/>
      <c r="E55" s="17">
        <v>1</v>
      </c>
      <c r="F55" s="17"/>
      <c r="G55" s="18"/>
      <c r="H55" s="20">
        <f t="shared" si="8"/>
        <v>1</v>
      </c>
      <c r="I55" s="21">
        <v>2.7</v>
      </c>
      <c r="J55" s="21">
        <v>2.85</v>
      </c>
      <c r="K55" s="21">
        <v>2.1913</v>
      </c>
      <c r="L55" s="21">
        <f t="shared" si="9"/>
        <v>7.6950000000000012</v>
      </c>
      <c r="M55" s="21">
        <f t="shared" si="7"/>
        <v>9.990000000000002</v>
      </c>
      <c r="N55" s="19">
        <v>1</v>
      </c>
      <c r="O55" s="21">
        <f t="shared" si="10"/>
        <v>7.6950000000000012</v>
      </c>
      <c r="P55" s="22">
        <f t="shared" si="11"/>
        <v>2.1913</v>
      </c>
      <c r="Q55" s="22">
        <f t="shared" si="12"/>
        <v>9.990000000000002</v>
      </c>
    </row>
    <row r="56" spans="1:17" x14ac:dyDescent="0.3">
      <c r="A56" s="16" t="s">
        <v>477</v>
      </c>
      <c r="B56" s="17" t="s">
        <v>478</v>
      </c>
      <c r="C56" s="17">
        <v>2</v>
      </c>
      <c r="D56" s="17"/>
      <c r="E56" s="17"/>
      <c r="F56" s="17"/>
      <c r="G56" s="18"/>
      <c r="H56" s="20">
        <f t="shared" si="8"/>
        <v>2</v>
      </c>
      <c r="I56" s="21">
        <v>2.4</v>
      </c>
      <c r="J56" s="21">
        <v>2.4</v>
      </c>
      <c r="K56" s="21">
        <v>2.4</v>
      </c>
      <c r="L56" s="21">
        <f t="shared" si="9"/>
        <v>5.76</v>
      </c>
      <c r="M56" s="21">
        <f t="shared" si="7"/>
        <v>8.64</v>
      </c>
      <c r="N56" s="19">
        <v>1</v>
      </c>
      <c r="O56" s="21">
        <f t="shared" si="10"/>
        <v>11.52</v>
      </c>
      <c r="P56" s="22">
        <f t="shared" si="11"/>
        <v>4.8</v>
      </c>
      <c r="Q56" s="22">
        <f t="shared" si="12"/>
        <v>8.64</v>
      </c>
    </row>
    <row r="57" spans="1:17" x14ac:dyDescent="0.3">
      <c r="A57" s="16"/>
      <c r="B57" s="17"/>
      <c r="C57" s="17"/>
      <c r="D57" s="17"/>
      <c r="E57" s="17"/>
      <c r="F57" s="17"/>
      <c r="G57" s="18"/>
      <c r="H57" s="20"/>
      <c r="I57" s="21"/>
      <c r="J57" s="21"/>
      <c r="K57" s="21"/>
      <c r="L57" s="21"/>
      <c r="M57" s="21"/>
      <c r="N57" s="19"/>
      <c r="O57" s="21"/>
      <c r="P57" s="22"/>
      <c r="Q57" s="22"/>
    </row>
    <row r="58" spans="1:17" x14ac:dyDescent="0.3">
      <c r="A58" s="393" t="s">
        <v>479</v>
      </c>
      <c r="B58" s="394"/>
      <c r="C58" s="134">
        <f>SUMPRODUCT(C44:C57,L44:L57)</f>
        <v>23.385999999999999</v>
      </c>
      <c r="D58" s="134">
        <f>SUMPRODUCT(D44:D57,L44:L57)</f>
        <v>245.04</v>
      </c>
      <c r="E58" s="134">
        <f>SUMPRODUCT(E44:E57,L44:L57)</f>
        <v>226.10000000000002</v>
      </c>
      <c r="F58" s="134">
        <f>SUMPRODUCT(F44:F57,L44:L57)</f>
        <v>3.7810000000000001</v>
      </c>
      <c r="G58" s="134">
        <f>SUMPRODUCT(G44:G57,L44:L57)</f>
        <v>0</v>
      </c>
      <c r="H58" s="227">
        <f>SUM(H44:H57)</f>
        <v>212</v>
      </c>
    </row>
    <row r="59" spans="1:17" x14ac:dyDescent="0.3">
      <c r="H59" s="220">
        <f>H41+H58</f>
        <v>553</v>
      </c>
      <c r="J59" s="100">
        <f>H59-14.4-18.9</f>
        <v>519.70000000000005</v>
      </c>
      <c r="O59" s="231">
        <f>SUM(O1:O58)</f>
        <v>1625.1034</v>
      </c>
    </row>
  </sheetData>
  <mergeCells count="16">
    <mergeCell ref="Q1:Q2"/>
    <mergeCell ref="A1:A2"/>
    <mergeCell ref="B1:B2"/>
    <mergeCell ref="C1:G1"/>
    <mergeCell ref="I1:J1"/>
    <mergeCell ref="O1:O2"/>
    <mergeCell ref="P1:P2"/>
    <mergeCell ref="O42:O43"/>
    <mergeCell ref="P42:P43"/>
    <mergeCell ref="Q42:Q43"/>
    <mergeCell ref="A58:B58"/>
    <mergeCell ref="A41:B41"/>
    <mergeCell ref="A42:A43"/>
    <mergeCell ref="B42:B43"/>
    <mergeCell ref="C42:G42"/>
    <mergeCell ref="I42:J42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selection activeCell="G11" sqref="G11"/>
    </sheetView>
  </sheetViews>
  <sheetFormatPr defaultRowHeight="14.4" x14ac:dyDescent="0.3"/>
  <cols>
    <col min="7" max="7" width="10.88671875" bestFit="1" customWidth="1"/>
  </cols>
  <sheetData>
    <row r="1" spans="1:7" x14ac:dyDescent="0.3">
      <c r="A1" s="348" t="s">
        <v>484</v>
      </c>
      <c r="B1" s="348"/>
      <c r="C1" s="348"/>
      <c r="D1" s="348"/>
      <c r="E1" s="348"/>
      <c r="F1" s="348"/>
      <c r="G1" s="150" t="e">
        <f>#REF!</f>
        <v>#REF!</v>
      </c>
    </row>
    <row r="2" spans="1:7" x14ac:dyDescent="0.3">
      <c r="A2" s="348" t="s">
        <v>485</v>
      </c>
      <c r="B2" s="348"/>
      <c r="C2" s="348"/>
      <c r="D2" s="348"/>
      <c r="E2" s="348"/>
      <c r="F2" s="348"/>
      <c r="G2" s="150" t="e">
        <f>#REF!</f>
        <v>#REF!</v>
      </c>
    </row>
    <row r="3" spans="1:7" x14ac:dyDescent="0.3">
      <c r="A3" s="348" t="s">
        <v>486</v>
      </c>
      <c r="B3" s="348"/>
      <c r="C3" s="348"/>
      <c r="D3" s="348"/>
      <c r="E3" s="348"/>
      <c r="F3" s="348"/>
      <c r="G3" s="150" t="e">
        <f>#REF!</f>
        <v>#REF!</v>
      </c>
    </row>
    <row r="4" spans="1:7" x14ac:dyDescent="0.3">
      <c r="A4" s="348" t="s">
        <v>487</v>
      </c>
      <c r="B4" s="348"/>
      <c r="C4" s="348"/>
      <c r="D4" s="348"/>
      <c r="E4" s="348"/>
      <c r="F4" s="348"/>
      <c r="G4" s="150" t="e">
        <f>#REF!</f>
        <v>#REF!</v>
      </c>
    </row>
    <row r="5" spans="1:7" x14ac:dyDescent="0.3">
      <c r="A5" s="348" t="s">
        <v>488</v>
      </c>
      <c r="B5" s="348"/>
      <c r="C5" s="348"/>
      <c r="D5" s="348"/>
      <c r="E5" s="348"/>
      <c r="F5" s="348"/>
      <c r="G5" s="150" t="e">
        <f>#REF!</f>
        <v>#REF!</v>
      </c>
    </row>
    <row r="6" spans="1:7" x14ac:dyDescent="0.3">
      <c r="A6" s="117"/>
      <c r="B6" s="117"/>
      <c r="C6" s="117"/>
      <c r="D6" s="117"/>
      <c r="E6" s="117"/>
      <c r="F6" s="117"/>
      <c r="G6" s="151"/>
    </row>
    <row r="7" spans="1:7" x14ac:dyDescent="0.3">
      <c r="A7" s="348" t="s">
        <v>489</v>
      </c>
      <c r="B7" s="348"/>
      <c r="C7" s="348"/>
      <c r="D7" s="348"/>
      <c r="E7" s="348"/>
      <c r="F7" s="348"/>
      <c r="G7" s="150" t="e">
        <f>#REF!</f>
        <v>#REF!</v>
      </c>
    </row>
    <row r="8" spans="1:7" x14ac:dyDescent="0.3">
      <c r="A8" s="348" t="s">
        <v>490</v>
      </c>
      <c r="B8" s="348"/>
      <c r="C8" s="348"/>
      <c r="D8" s="348"/>
      <c r="E8" s="348"/>
      <c r="F8" s="348"/>
      <c r="G8" s="150" t="e">
        <f>#REF!</f>
        <v>#REF!</v>
      </c>
    </row>
    <row r="9" spans="1:7" x14ac:dyDescent="0.3">
      <c r="A9" s="348" t="s">
        <v>491</v>
      </c>
      <c r="B9" s="348"/>
      <c r="C9" s="348"/>
      <c r="D9" s="348"/>
      <c r="E9" s="348"/>
      <c r="F9" s="348"/>
      <c r="G9" s="150" t="e">
        <f>#REF!</f>
        <v>#REF!</v>
      </c>
    </row>
    <row r="10" spans="1:7" x14ac:dyDescent="0.3">
      <c r="A10" s="348" t="s">
        <v>492</v>
      </c>
      <c r="B10" s="348"/>
      <c r="C10" s="348"/>
      <c r="D10" s="348"/>
      <c r="E10" s="348"/>
      <c r="F10" s="348"/>
      <c r="G10" s="150" t="e">
        <f>#REF!</f>
        <v>#REF!</v>
      </c>
    </row>
    <row r="11" spans="1:7" x14ac:dyDescent="0.3">
      <c r="A11" s="348" t="s">
        <v>493</v>
      </c>
      <c r="B11" s="348"/>
      <c r="C11" s="348"/>
      <c r="D11" s="348"/>
      <c r="E11" s="348"/>
      <c r="F11" s="348"/>
      <c r="G11" s="150" t="e">
        <f>#REF!</f>
        <v>#REF!</v>
      </c>
    </row>
    <row r="12" spans="1:7" x14ac:dyDescent="0.3">
      <c r="A12" s="348" t="s">
        <v>494</v>
      </c>
      <c r="B12" s="348"/>
      <c r="C12" s="348"/>
      <c r="D12" s="348"/>
      <c r="E12" s="348"/>
      <c r="F12" s="348"/>
      <c r="G12" s="150" t="e">
        <f>'PotrebEnergieVYK 2018'!C3</f>
        <v>#REF!</v>
      </c>
    </row>
    <row r="13" spans="1:7" x14ac:dyDescent="0.3">
      <c r="A13" s="348" t="s">
        <v>495</v>
      </c>
      <c r="B13" s="348"/>
      <c r="C13" s="348"/>
      <c r="D13" s="348"/>
      <c r="E13" s="348"/>
      <c r="F13" s="348"/>
      <c r="G13" s="150" t="e">
        <f>'PotrebEnergieVYK 2018'!C4</f>
        <v>#REF!</v>
      </c>
    </row>
  </sheetData>
  <mergeCells count="12">
    <mergeCell ref="A1:F1"/>
    <mergeCell ref="A2:F2"/>
    <mergeCell ref="A3:F3"/>
    <mergeCell ref="A4:F4"/>
    <mergeCell ref="A11:F11"/>
    <mergeCell ref="A12:F12"/>
    <mergeCell ref="A13:F13"/>
    <mergeCell ref="A5:F5"/>
    <mergeCell ref="A7:F7"/>
    <mergeCell ref="A8:F8"/>
    <mergeCell ref="A9:F9"/>
    <mergeCell ref="A10:F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H65"/>
  <sheetViews>
    <sheetView topLeftCell="N22" workbookViewId="0">
      <selection activeCell="AH11" sqref="AH11"/>
    </sheetView>
  </sheetViews>
  <sheetFormatPr defaultColWidth="8.88671875" defaultRowHeight="14.4" x14ac:dyDescent="0.3"/>
  <cols>
    <col min="2" max="2" width="28.5546875" bestFit="1" customWidth="1"/>
    <col min="4" max="6" width="11.44140625" bestFit="1" customWidth="1"/>
    <col min="10" max="10" width="12.88671875" customWidth="1"/>
    <col min="11" max="12" width="9.44140625" bestFit="1" customWidth="1"/>
    <col min="13" max="13" width="10.6640625" customWidth="1"/>
    <col min="14" max="15" width="9.44140625" bestFit="1" customWidth="1"/>
    <col min="16" max="16" width="19.33203125" bestFit="1" customWidth="1"/>
    <col min="17" max="17" width="9.44140625" bestFit="1" customWidth="1"/>
    <col min="18" max="18" width="9" bestFit="1" customWidth="1"/>
    <col min="19" max="19" width="9.6640625" bestFit="1" customWidth="1"/>
    <col min="20" max="21" width="9" bestFit="1" customWidth="1"/>
    <col min="24" max="24" width="10.44140625" customWidth="1"/>
    <col min="25" max="26" width="8.88671875" style="117"/>
    <col min="27" max="27" width="9.5546875" style="117" bestFit="1" customWidth="1"/>
    <col min="28" max="32" width="8.88671875" style="117"/>
    <col min="33" max="33" width="4.88671875" style="117" customWidth="1"/>
    <col min="34" max="34" width="8.88671875" style="117"/>
  </cols>
  <sheetData>
    <row r="1" spans="2:34" x14ac:dyDescent="0.3">
      <c r="J1" t="s">
        <v>497</v>
      </c>
    </row>
    <row r="2" spans="2:34" x14ac:dyDescent="0.3">
      <c r="B2" s="472" t="s">
        <v>315</v>
      </c>
      <c r="C2" s="472"/>
      <c r="D2" s="472"/>
      <c r="F2" s="48" t="s">
        <v>498</v>
      </c>
      <c r="J2" s="430" t="s">
        <v>499</v>
      </c>
      <c r="K2" s="430"/>
      <c r="L2" s="430"/>
      <c r="M2" s="430"/>
      <c r="N2" s="430"/>
      <c r="O2" s="430"/>
      <c r="P2" s="430"/>
      <c r="Q2" s="430"/>
      <c r="R2" s="430"/>
      <c r="S2" s="430"/>
      <c r="T2" s="89"/>
      <c r="U2" s="89"/>
      <c r="W2" s="473" t="s">
        <v>500</v>
      </c>
      <c r="X2" s="474"/>
      <c r="Y2" s="474"/>
      <c r="Z2" s="474"/>
      <c r="AA2" s="474"/>
      <c r="AB2" s="474"/>
      <c r="AC2" s="474"/>
      <c r="AD2" s="474"/>
      <c r="AE2" s="474"/>
      <c r="AF2" s="474"/>
      <c r="AG2" s="474"/>
      <c r="AH2" s="475"/>
    </row>
    <row r="3" spans="2:34" x14ac:dyDescent="0.3">
      <c r="B3" s="244" t="s">
        <v>316</v>
      </c>
      <c r="C3" s="469" t="s">
        <v>270</v>
      </c>
      <c r="D3" s="469"/>
      <c r="F3" s="49" t="s">
        <v>614</v>
      </c>
      <c r="J3" s="476" t="s">
        <v>502</v>
      </c>
      <c r="K3" s="476"/>
      <c r="L3" s="476"/>
      <c r="M3" s="476"/>
      <c r="N3" s="476"/>
      <c r="O3" s="254" t="s">
        <v>503</v>
      </c>
      <c r="P3" s="99" t="s">
        <v>504</v>
      </c>
      <c r="Q3" s="99" t="s">
        <v>505</v>
      </c>
      <c r="R3" s="254" t="s">
        <v>506</v>
      </c>
      <c r="S3" s="99" t="s">
        <v>507</v>
      </c>
      <c r="T3" s="89"/>
      <c r="U3" s="89"/>
      <c r="W3" s="162"/>
      <c r="X3" s="104" t="s">
        <v>509</v>
      </c>
      <c r="Y3" s="104" t="s">
        <v>510</v>
      </c>
      <c r="Z3" s="104" t="s">
        <v>511</v>
      </c>
      <c r="AA3" s="104" t="s">
        <v>512</v>
      </c>
      <c r="AB3" s="104" t="s">
        <v>513</v>
      </c>
      <c r="AC3" s="104" t="s">
        <v>514</v>
      </c>
      <c r="AD3" s="104" t="s">
        <v>515</v>
      </c>
      <c r="AE3" s="104" t="s">
        <v>516</v>
      </c>
      <c r="AF3" s="104" t="s">
        <v>517</v>
      </c>
      <c r="AG3" s="215" t="s">
        <v>518</v>
      </c>
      <c r="AH3" s="104" t="s">
        <v>519</v>
      </c>
    </row>
    <row r="4" spans="2:34" x14ac:dyDescent="0.3">
      <c r="B4" s="244" t="s">
        <v>520</v>
      </c>
      <c r="C4" s="469"/>
      <c r="D4" s="469"/>
      <c r="J4" s="476"/>
      <c r="K4" s="476"/>
      <c r="L4" s="476"/>
      <c r="M4" s="476"/>
      <c r="N4" s="476"/>
      <c r="O4" s="76" t="s">
        <v>521</v>
      </c>
      <c r="P4" s="76" t="s">
        <v>522</v>
      </c>
      <c r="Q4" s="76" t="s">
        <v>523</v>
      </c>
      <c r="R4" s="76" t="s">
        <v>524</v>
      </c>
      <c r="S4" s="76" t="s">
        <v>523</v>
      </c>
      <c r="T4" s="90"/>
      <c r="U4" s="90"/>
      <c r="W4" s="104">
        <v>24</v>
      </c>
      <c r="X4" s="104">
        <v>10</v>
      </c>
      <c r="Y4" s="104">
        <v>67.8</v>
      </c>
      <c r="Z4" s="104" t="s">
        <v>525</v>
      </c>
      <c r="AA4" s="160">
        <f>Y4*0.024</f>
        <v>1.6272</v>
      </c>
      <c r="AB4" s="160">
        <f>S21</f>
        <v>3434.2075209118134</v>
      </c>
      <c r="AC4" s="160">
        <f>S33</f>
        <v>3829.2319375000006</v>
      </c>
      <c r="AD4" s="160">
        <f>K47*0.024*X4*D12</f>
        <v>6361.8</v>
      </c>
      <c r="AE4" s="160" t="e">
        <f>#REF!</f>
        <v>#REF!</v>
      </c>
      <c r="AF4" s="160" t="e">
        <f>AD4+AE4</f>
        <v>#REF!</v>
      </c>
      <c r="AG4" s="160">
        <v>0.95</v>
      </c>
      <c r="AH4" s="160" t="e">
        <f>(AA4*(AB4+AC4))-(AF4*AG4)</f>
        <v>#REF!</v>
      </c>
    </row>
    <row r="5" spans="2:34" x14ac:dyDescent="0.3">
      <c r="B5" s="244" t="s">
        <v>3</v>
      </c>
      <c r="C5" s="469" t="s">
        <v>26</v>
      </c>
      <c r="D5" s="469"/>
      <c r="J5" s="96" t="str">
        <f>KonstrukcieSUM!B2</f>
        <v>SO1</v>
      </c>
      <c r="K5" s="470" t="str">
        <f>KonstrukcieSUM!C2</f>
        <v>Obvodová stena ŠD</v>
      </c>
      <c r="L5" s="470"/>
      <c r="M5" s="470"/>
      <c r="N5" s="470"/>
      <c r="O5" s="91">
        <f>'Konstrukcie nové'!E1</f>
        <v>465.1</v>
      </c>
      <c r="P5" s="92">
        <f>'Konstrukcie nové'!E12</f>
        <v>4.7788095238095236</v>
      </c>
      <c r="Q5" s="93">
        <f t="shared" ref="Q5:Q12" si="0">(O5*P5)</f>
        <v>2222.6243095238096</v>
      </c>
      <c r="R5" s="242">
        <v>1</v>
      </c>
      <c r="S5" s="93">
        <f t="shared" ref="S5:S12" si="1" xml:space="preserve"> R5*Q5</f>
        <v>2222.6243095238096</v>
      </c>
      <c r="T5" s="94"/>
      <c r="U5" s="89"/>
      <c r="W5" s="104">
        <v>24</v>
      </c>
      <c r="X5" s="104">
        <v>25</v>
      </c>
      <c r="Y5" s="104">
        <v>327.9</v>
      </c>
      <c r="Z5" s="104" t="s">
        <v>526</v>
      </c>
      <c r="AA5" s="160">
        <f t="shared" ref="AA5:AA10" si="2">Y5*0.024</f>
        <v>7.8695999999999993</v>
      </c>
      <c r="AB5" s="160">
        <f>S21</f>
        <v>3434.2075209118134</v>
      </c>
      <c r="AC5" s="160">
        <f>S33</f>
        <v>3829.2319375000006</v>
      </c>
      <c r="AD5" s="160">
        <f>K47*0.024*X5*D12</f>
        <v>15904.5</v>
      </c>
      <c r="AE5" s="160" t="e">
        <f>#REF!</f>
        <v>#REF!</v>
      </c>
      <c r="AF5" s="160" t="e">
        <f t="shared" ref="AF5:AF10" si="3">AD5+AE5</f>
        <v>#REF!</v>
      </c>
      <c r="AG5" s="160">
        <v>0.95</v>
      </c>
      <c r="AH5" s="160" t="e">
        <f t="shared" ref="AH5:AH10" si="4">(AA5*(AB5+AC5))-(AF5*AG5)</f>
        <v>#REF!</v>
      </c>
    </row>
    <row r="6" spans="2:34" x14ac:dyDescent="0.3">
      <c r="B6" s="244" t="s">
        <v>320</v>
      </c>
      <c r="C6" s="471">
        <v>2020</v>
      </c>
      <c r="D6" s="471"/>
      <c r="J6" s="96" t="str">
        <f>KonstrukcieSUM!B3</f>
        <v>SO2</v>
      </c>
      <c r="K6" s="470" t="str">
        <f>KonstrukcieSUM!C3</f>
        <v>Obvodová stena ŠD2</v>
      </c>
      <c r="L6" s="470"/>
      <c r="M6" s="470"/>
      <c r="N6" s="470"/>
      <c r="O6" s="91">
        <f>'Konstrukcie nové'!E14</f>
        <v>0</v>
      </c>
      <c r="P6" s="92">
        <f>'Konstrukcie nové'!E25</f>
        <v>4.6354128993369503</v>
      </c>
      <c r="Q6" s="93">
        <f t="shared" si="0"/>
        <v>0</v>
      </c>
      <c r="R6" s="242">
        <v>1</v>
      </c>
      <c r="S6" s="93">
        <f t="shared" si="1"/>
        <v>0</v>
      </c>
      <c r="T6" s="94"/>
      <c r="U6" s="89"/>
      <c r="W6" s="104">
        <v>24</v>
      </c>
      <c r="X6" s="104">
        <v>31</v>
      </c>
      <c r="Y6" s="104">
        <v>523.20000000000005</v>
      </c>
      <c r="Z6" s="104" t="s">
        <v>527</v>
      </c>
      <c r="AA6" s="160">
        <f t="shared" si="2"/>
        <v>12.556800000000001</v>
      </c>
      <c r="AB6" s="160">
        <f>S21</f>
        <v>3434.2075209118134</v>
      </c>
      <c r="AC6" s="160">
        <f>S33</f>
        <v>3829.2319375000006</v>
      </c>
      <c r="AD6" s="160">
        <f>K47*0.024*X6*D12</f>
        <v>19721.579999999998</v>
      </c>
      <c r="AE6" s="160" t="e">
        <f>#REF!</f>
        <v>#REF!</v>
      </c>
      <c r="AF6" s="160" t="e">
        <f t="shared" si="3"/>
        <v>#REF!</v>
      </c>
      <c r="AG6" s="160">
        <v>0.95</v>
      </c>
      <c r="AH6" s="160" t="e">
        <f t="shared" si="4"/>
        <v>#REF!</v>
      </c>
    </row>
    <row r="7" spans="2:34" x14ac:dyDescent="0.3">
      <c r="B7" s="23"/>
      <c r="C7" s="24"/>
      <c r="D7" s="24"/>
      <c r="J7" s="96" t="str">
        <f>KonstrukcieSUM!B4</f>
        <v>SO3</v>
      </c>
      <c r="K7" s="470" t="str">
        <f>KonstrukcieSUM!C4</f>
        <v>Obvodová stena - Nezateplená časť</v>
      </c>
      <c r="L7" s="470"/>
      <c r="M7" s="470"/>
      <c r="N7" s="470"/>
      <c r="O7" s="91">
        <f>'Konstrukcie nové'!E27</f>
        <v>0</v>
      </c>
      <c r="P7" s="92">
        <f>'Konstrukcie nové'!E38</f>
        <v>4.6015686274509804</v>
      </c>
      <c r="Q7" s="93">
        <f t="shared" si="0"/>
        <v>0</v>
      </c>
      <c r="R7" s="242">
        <v>1</v>
      </c>
      <c r="S7" s="93">
        <f t="shared" si="1"/>
        <v>0</v>
      </c>
      <c r="T7" s="94"/>
      <c r="U7" s="89"/>
      <c r="W7" s="104">
        <v>24</v>
      </c>
      <c r="X7" s="104">
        <v>31</v>
      </c>
      <c r="Y7" s="104">
        <v>584.5</v>
      </c>
      <c r="Z7" s="104" t="s">
        <v>528</v>
      </c>
      <c r="AA7" s="160">
        <f t="shared" si="2"/>
        <v>14.028</v>
      </c>
      <c r="AB7" s="160">
        <f>S21</f>
        <v>3434.2075209118134</v>
      </c>
      <c r="AC7" s="160">
        <f>S33</f>
        <v>3829.2319375000006</v>
      </c>
      <c r="AD7" s="160">
        <f>K47*0.024*X7*D12</f>
        <v>19721.579999999998</v>
      </c>
      <c r="AE7" s="160" t="e">
        <f>#REF!</f>
        <v>#REF!</v>
      </c>
      <c r="AF7" s="160" t="e">
        <f t="shared" si="3"/>
        <v>#REF!</v>
      </c>
      <c r="AG7" s="160">
        <v>0.95</v>
      </c>
      <c r="AH7" s="160" t="e">
        <f t="shared" si="4"/>
        <v>#REF!</v>
      </c>
    </row>
    <row r="8" spans="2:34" x14ac:dyDescent="0.3">
      <c r="B8" s="472" t="s">
        <v>321</v>
      </c>
      <c r="C8" s="472"/>
      <c r="D8" s="472"/>
      <c r="J8" s="96" t="str">
        <f>KonstrukcieSUM!B5</f>
        <v>STR1</v>
      </c>
      <c r="K8" s="470" t="str">
        <f>KonstrukcieSUM!C5</f>
        <v>Plochá strecha ŠD</v>
      </c>
      <c r="L8" s="470"/>
      <c r="M8" s="470"/>
      <c r="N8" s="470"/>
      <c r="O8" s="91">
        <f>'Konstrukcie nové'!M1</f>
        <v>825.5</v>
      </c>
      <c r="P8" s="92">
        <f>'Konstrukcie nové'!M12</f>
        <v>0.04</v>
      </c>
      <c r="Q8" s="93">
        <f t="shared" si="0"/>
        <v>33.020000000000003</v>
      </c>
      <c r="R8" s="242">
        <v>1</v>
      </c>
      <c r="S8" s="93">
        <f t="shared" si="1"/>
        <v>33.020000000000003</v>
      </c>
      <c r="T8" s="94"/>
      <c r="U8" s="89"/>
      <c r="W8" s="104">
        <v>24</v>
      </c>
      <c r="X8" s="104">
        <v>28</v>
      </c>
      <c r="Y8" s="104">
        <v>411.4</v>
      </c>
      <c r="Z8" s="104" t="s">
        <v>529</v>
      </c>
      <c r="AA8" s="160">
        <f t="shared" si="2"/>
        <v>9.8735999999999997</v>
      </c>
      <c r="AB8" s="160">
        <f>S21</f>
        <v>3434.2075209118134</v>
      </c>
      <c r="AC8" s="160">
        <f>S33</f>
        <v>3829.2319375000006</v>
      </c>
      <c r="AD8" s="160">
        <f>K47*0.024*X8*D12</f>
        <v>17813.04</v>
      </c>
      <c r="AE8" s="160" t="e">
        <f>#REF!</f>
        <v>#REF!</v>
      </c>
      <c r="AF8" s="160" t="e">
        <f t="shared" si="3"/>
        <v>#REF!</v>
      </c>
      <c r="AG8" s="160">
        <v>0.95</v>
      </c>
      <c r="AH8" s="160" t="e">
        <f t="shared" si="4"/>
        <v>#REF!</v>
      </c>
    </row>
    <row r="9" spans="2:34" ht="15" thickBot="1" x14ac:dyDescent="0.35">
      <c r="B9" s="88" t="s">
        <v>322</v>
      </c>
      <c r="C9" s="243" t="s">
        <v>323</v>
      </c>
      <c r="D9" s="44">
        <v>4021</v>
      </c>
      <c r="F9" s="104" t="s">
        <v>530</v>
      </c>
      <c r="G9" s="142">
        <v>50</v>
      </c>
      <c r="H9" s="162" t="s">
        <v>114</v>
      </c>
      <c r="J9" s="96" t="str">
        <f>KonstrukcieSUM!B6</f>
        <v>PDL1</v>
      </c>
      <c r="K9" s="470" t="str">
        <f>KonstrukcieSUM!C6</f>
        <v>Podlaha na teréne ŽS</v>
      </c>
      <c r="L9" s="470"/>
      <c r="M9" s="470"/>
      <c r="N9" s="470"/>
      <c r="O9" s="91">
        <f>'Konstrukcie nové'!U1</f>
        <v>825.5</v>
      </c>
      <c r="P9" s="92">
        <f>'Konstrukcie nové'!U12</f>
        <v>1.2918936540133295</v>
      </c>
      <c r="Q9" s="93">
        <f t="shared" si="0"/>
        <v>1066.4582113880035</v>
      </c>
      <c r="R9" s="242">
        <v>1</v>
      </c>
      <c r="S9" s="93">
        <f t="shared" si="1"/>
        <v>1066.4582113880035</v>
      </c>
      <c r="T9" s="94"/>
      <c r="U9" s="89"/>
      <c r="W9" s="104">
        <v>24</v>
      </c>
      <c r="X9" s="104">
        <v>30</v>
      </c>
      <c r="Y9" s="104">
        <v>309.89999999999998</v>
      </c>
      <c r="Z9" s="104" t="s">
        <v>531</v>
      </c>
      <c r="AA9" s="160">
        <f t="shared" si="2"/>
        <v>7.4375999999999998</v>
      </c>
      <c r="AB9" s="160">
        <f>S21</f>
        <v>3434.2075209118134</v>
      </c>
      <c r="AC9" s="160">
        <f>S33</f>
        <v>3829.2319375000006</v>
      </c>
      <c r="AD9" s="160">
        <f>K47*0.024*X9*D12</f>
        <v>19085.399999999998</v>
      </c>
      <c r="AE9" s="160" t="e">
        <f>#REF!</f>
        <v>#REF!</v>
      </c>
      <c r="AF9" s="160" t="e">
        <f t="shared" si="3"/>
        <v>#REF!</v>
      </c>
      <c r="AG9" s="160">
        <v>0.95</v>
      </c>
      <c r="AH9" s="160" t="e">
        <f t="shared" si="4"/>
        <v>#REF!</v>
      </c>
    </row>
    <row r="10" spans="2:34" ht="15" x14ac:dyDescent="0.35">
      <c r="B10" s="88" t="s">
        <v>324</v>
      </c>
      <c r="C10" s="243" t="s">
        <v>325</v>
      </c>
      <c r="D10" s="44">
        <v>352</v>
      </c>
      <c r="F10" s="104" t="s">
        <v>532</v>
      </c>
      <c r="G10" s="142">
        <v>20</v>
      </c>
      <c r="H10" s="162" t="s">
        <v>114</v>
      </c>
      <c r="J10" s="96"/>
      <c r="K10" s="470"/>
      <c r="L10" s="470"/>
      <c r="M10" s="470"/>
      <c r="N10" s="470"/>
      <c r="O10" s="91"/>
      <c r="P10" s="95"/>
      <c r="Q10" s="93"/>
      <c r="R10" s="242"/>
      <c r="S10" s="93"/>
      <c r="T10" s="110" t="s">
        <v>118</v>
      </c>
      <c r="U10" s="111" t="s">
        <v>549</v>
      </c>
      <c r="W10" s="104">
        <v>24</v>
      </c>
      <c r="X10" s="104">
        <v>15</v>
      </c>
      <c r="Y10" s="104">
        <v>105.7</v>
      </c>
      <c r="Z10" s="104" t="s">
        <v>533</v>
      </c>
      <c r="AA10" s="160">
        <f t="shared" si="2"/>
        <v>2.5367999999999999</v>
      </c>
      <c r="AB10" s="160">
        <f>S21</f>
        <v>3434.2075209118134</v>
      </c>
      <c r="AC10" s="160">
        <f>S33</f>
        <v>3829.2319375000006</v>
      </c>
      <c r="AD10" s="160">
        <f>K47*0.024*X10*D12</f>
        <v>9542.6999999999989</v>
      </c>
      <c r="AE10" s="160" t="e">
        <f>#REF!</f>
        <v>#REF!</v>
      </c>
      <c r="AF10" s="160" t="e">
        <f t="shared" si="3"/>
        <v>#REF!</v>
      </c>
      <c r="AG10" s="160">
        <v>0.95</v>
      </c>
      <c r="AH10" s="160" t="e">
        <f t="shared" si="4"/>
        <v>#REF!</v>
      </c>
    </row>
    <row r="11" spans="2:34" x14ac:dyDescent="0.3">
      <c r="B11" s="88" t="s">
        <v>326</v>
      </c>
      <c r="C11" s="243" t="s">
        <v>327</v>
      </c>
      <c r="D11" s="44">
        <v>26762.25</v>
      </c>
      <c r="J11" s="96" t="str">
        <f>KonstrukcieSUM!B8</f>
        <v>OO1</v>
      </c>
      <c r="K11" s="470" t="str">
        <f>KonstrukcieSUM!C8</f>
        <v>plastové, izolačné 2-sklo</v>
      </c>
      <c r="L11" s="470"/>
      <c r="M11" s="470"/>
      <c r="N11" s="470"/>
      <c r="O11" s="91">
        <f>'OtvoroveKonstrukcie nové'!H8</f>
        <v>1</v>
      </c>
      <c r="P11" s="92">
        <f>'OtvoroveKonstrukcie nové'!N8</f>
        <v>1</v>
      </c>
      <c r="Q11" s="93">
        <f t="shared" si="0"/>
        <v>1</v>
      </c>
      <c r="R11" s="242">
        <v>1</v>
      </c>
      <c r="S11" s="93">
        <f t="shared" si="1"/>
        <v>1</v>
      </c>
      <c r="T11" s="108">
        <v>1</v>
      </c>
      <c r="U11" s="109">
        <f>OtvoroveKonstrukcie!Q3</f>
        <v>5.4</v>
      </c>
      <c r="V11" s="214">
        <v>0.01</v>
      </c>
      <c r="W11" s="104"/>
      <c r="X11" s="104">
        <f>SUM(X4:X10)</f>
        <v>170</v>
      </c>
      <c r="Y11" s="104">
        <f>SUM(Y4:Y10)</f>
        <v>2330.4</v>
      </c>
      <c r="Z11" s="136" t="s">
        <v>536</v>
      </c>
      <c r="AA11" s="160"/>
      <c r="AB11" s="160"/>
      <c r="AC11" s="160"/>
      <c r="AD11" s="160"/>
      <c r="AE11" s="160"/>
      <c r="AF11" s="160"/>
      <c r="AG11" s="160"/>
      <c r="AH11" s="150" t="e">
        <f>SUM(AH4:AH10)</f>
        <v>#REF!</v>
      </c>
    </row>
    <row r="12" spans="2:34" x14ac:dyDescent="0.3">
      <c r="B12" s="88" t="s">
        <v>328</v>
      </c>
      <c r="C12" s="243" t="s">
        <v>329</v>
      </c>
      <c r="D12" s="44">
        <v>5301.5</v>
      </c>
      <c r="J12" s="96" t="str">
        <f>KonstrukcieSUM!B9</f>
        <v>DO1</v>
      </c>
      <c r="K12" s="470" t="str">
        <f>KonstrukcieSUM!C9</f>
        <v>plastové, izolačné 2-sklo</v>
      </c>
      <c r="L12" s="470"/>
      <c r="M12" s="470"/>
      <c r="N12" s="470"/>
      <c r="O12" s="91">
        <f>'OtvoroveKonstrukcie nové'!H16</f>
        <v>5</v>
      </c>
      <c r="P12" s="92">
        <f>'OtvoroveKonstrukcie nové'!N16</f>
        <v>1</v>
      </c>
      <c r="Q12" s="93">
        <f t="shared" si="0"/>
        <v>5</v>
      </c>
      <c r="R12" s="242">
        <v>1</v>
      </c>
      <c r="S12" s="93">
        <f t="shared" si="1"/>
        <v>5</v>
      </c>
      <c r="T12" s="108">
        <v>1</v>
      </c>
      <c r="U12" s="109">
        <f>OtvoroveKonstrukcie!Q44</f>
        <v>6.12</v>
      </c>
      <c r="V12" s="104">
        <f>U12*T12*0.001</f>
        <v>6.1200000000000004E-3</v>
      </c>
      <c r="X12" s="117"/>
    </row>
    <row r="13" spans="2:34" ht="15" x14ac:dyDescent="0.35">
      <c r="B13" s="245" t="s">
        <v>330</v>
      </c>
      <c r="C13" s="243" t="s">
        <v>331</v>
      </c>
      <c r="D13" s="46"/>
      <c r="J13" s="97" t="s">
        <v>551</v>
      </c>
      <c r="K13" s="356"/>
      <c r="L13" s="356"/>
      <c r="M13" s="356"/>
      <c r="N13" s="98" t="s">
        <v>552</v>
      </c>
      <c r="O13" s="112">
        <f>SUM(O5:O12)</f>
        <v>2122.1</v>
      </c>
      <c r="P13" s="79"/>
      <c r="Q13" s="467" t="s">
        <v>553</v>
      </c>
      <c r="R13" s="468"/>
      <c r="S13" s="112">
        <f xml:space="preserve"> SUM(S5:S12)</f>
        <v>3328.1025209118134</v>
      </c>
      <c r="T13" s="106"/>
      <c r="U13" s="124">
        <f>SUM(U11:U12)</f>
        <v>11.52</v>
      </c>
      <c r="V13" s="125">
        <f>SUM(V11:V12)</f>
        <v>1.6120000000000002E-2</v>
      </c>
      <c r="X13" s="117"/>
    </row>
    <row r="14" spans="2:34" x14ac:dyDescent="0.3">
      <c r="B14" s="88" t="s">
        <v>332</v>
      </c>
      <c r="C14" s="243" t="s">
        <v>333</v>
      </c>
      <c r="D14" s="47">
        <f>D13/D11</f>
        <v>0</v>
      </c>
      <c r="T14" s="106"/>
      <c r="U14" s="107"/>
    </row>
    <row r="15" spans="2:34" x14ac:dyDescent="0.3">
      <c r="B15" s="88" t="s">
        <v>546</v>
      </c>
      <c r="C15" s="243"/>
      <c r="D15" s="44">
        <v>2</v>
      </c>
      <c r="J15" s="450" t="s">
        <v>554</v>
      </c>
      <c r="K15" s="451"/>
      <c r="L15" s="451"/>
      <c r="M15" s="451"/>
      <c r="N15" s="451"/>
      <c r="O15" s="451"/>
      <c r="P15" s="451"/>
      <c r="Q15" s="451"/>
      <c r="R15" s="451"/>
      <c r="S15" s="451"/>
      <c r="T15" s="106"/>
      <c r="U15" s="107"/>
    </row>
    <row r="16" spans="2:34" x14ac:dyDescent="0.3">
      <c r="B16" s="245" t="s">
        <v>335</v>
      </c>
      <c r="C16" s="243" t="s">
        <v>336</v>
      </c>
      <c r="D16" s="45">
        <v>2.8</v>
      </c>
      <c r="J16" s="452"/>
      <c r="K16" s="453"/>
      <c r="L16" s="453"/>
      <c r="M16" s="113"/>
      <c r="N16" s="79" t="s">
        <v>555</v>
      </c>
      <c r="O16" s="458" t="s">
        <v>556</v>
      </c>
      <c r="P16" s="459"/>
      <c r="Q16" s="459"/>
      <c r="R16" s="459"/>
      <c r="S16" s="460"/>
      <c r="T16" s="106"/>
      <c r="U16" s="107"/>
    </row>
    <row r="17" spans="2:21" x14ac:dyDescent="0.3">
      <c r="J17" s="454"/>
      <c r="K17" s="455"/>
      <c r="L17" s="455"/>
      <c r="M17" s="113" t="s">
        <v>557</v>
      </c>
      <c r="N17" s="79" t="s">
        <v>558</v>
      </c>
      <c r="O17" s="242">
        <v>0.05</v>
      </c>
      <c r="P17" s="461" t="s">
        <v>559</v>
      </c>
      <c r="Q17" s="462"/>
      <c r="R17" s="98" t="s">
        <v>560</v>
      </c>
      <c r="S17" s="114">
        <v>0.05</v>
      </c>
      <c r="T17" s="106"/>
      <c r="U17" s="107"/>
    </row>
    <row r="18" spans="2:21" x14ac:dyDescent="0.3">
      <c r="B18" s="349" t="s">
        <v>337</v>
      </c>
      <c r="C18" s="350"/>
      <c r="D18" s="350"/>
      <c r="E18" s="350"/>
      <c r="F18" s="350"/>
      <c r="G18" s="351"/>
      <c r="H18" s="24"/>
      <c r="I18" s="24"/>
      <c r="J18" s="454"/>
      <c r="K18" s="455"/>
      <c r="L18" s="455"/>
      <c r="M18" s="463"/>
      <c r="N18" s="464"/>
      <c r="O18" s="242">
        <v>0.1</v>
      </c>
      <c r="P18" s="431" t="s">
        <v>561</v>
      </c>
      <c r="Q18" s="433"/>
      <c r="R18" s="98"/>
      <c r="S18" s="115"/>
      <c r="T18" s="106"/>
      <c r="U18" s="107"/>
    </row>
    <row r="19" spans="2:21" x14ac:dyDescent="0.3">
      <c r="B19" s="368" t="s">
        <v>338</v>
      </c>
      <c r="C19" s="368"/>
      <c r="D19" s="243">
        <f>C6-3</f>
        <v>2017</v>
      </c>
      <c r="E19" s="243">
        <f>C6-2</f>
        <v>2018</v>
      </c>
      <c r="F19" s="243">
        <f>C6-1</f>
        <v>2019</v>
      </c>
      <c r="G19" s="52" t="s">
        <v>339</v>
      </c>
      <c r="J19" s="456"/>
      <c r="K19" s="457"/>
      <c r="L19" s="457"/>
      <c r="M19" s="465"/>
      <c r="N19" s="466"/>
      <c r="O19" s="242">
        <v>0.2</v>
      </c>
      <c r="P19" s="431" t="s">
        <v>562</v>
      </c>
      <c r="Q19" s="433"/>
      <c r="R19" s="79"/>
      <c r="S19" s="79"/>
      <c r="T19" s="106"/>
      <c r="U19" s="107"/>
    </row>
    <row r="20" spans="2:21" ht="15" x14ac:dyDescent="0.35">
      <c r="B20" s="368" t="s">
        <v>340</v>
      </c>
      <c r="C20" s="368"/>
      <c r="D20" s="53">
        <f>VLOOKUP($C$3,Dennostupne!B1:AR81,D24,FALSE)</f>
        <v>251</v>
      </c>
      <c r="E20" s="53">
        <f>VLOOKUP($C$3,Dennostupne!B1:AR81,E24,FALSE)</f>
        <v>196</v>
      </c>
      <c r="F20" s="53">
        <f>VLOOKUP($C$3,Dennostupne!B1:AR81,F24,FALSE)</f>
        <v>233</v>
      </c>
      <c r="G20" s="54">
        <f>SUM(D20:F20)/COUNT(D20:F20)</f>
        <v>226.66666666666666</v>
      </c>
      <c r="J20" s="431" t="s">
        <v>563</v>
      </c>
      <c r="K20" s="432"/>
      <c r="L20" s="432"/>
      <c r="M20" s="433"/>
      <c r="N20" s="434" t="s">
        <v>564</v>
      </c>
      <c r="O20" s="435"/>
      <c r="P20" s="435"/>
      <c r="Q20" s="435"/>
      <c r="R20" s="436"/>
      <c r="S20" s="116">
        <f>S17*O13</f>
        <v>106.105</v>
      </c>
      <c r="T20" s="106"/>
      <c r="U20" s="107"/>
    </row>
    <row r="21" spans="2:21" ht="15" x14ac:dyDescent="0.35">
      <c r="B21" s="368" t="s">
        <v>341</v>
      </c>
      <c r="C21" s="368"/>
      <c r="D21" s="55">
        <f>VLOOKUP($C$3,Dennostupne!B3:AR81,D24+1,FALSE)</f>
        <v>3</v>
      </c>
      <c r="E21" s="55">
        <f>VLOOKUP($C$3,Dennostupne!B3:AR81,E24+1,FALSE)</f>
        <v>2.9</v>
      </c>
      <c r="F21" s="55">
        <f>VLOOKUP($C$3,Dennostupne!B3:AR81,F24+1,FALSE)</f>
        <v>5.3</v>
      </c>
      <c r="G21" s="56">
        <f>SUM(D21:F21)/COUNT(D21:F21)</f>
        <v>3.7333333333333329</v>
      </c>
      <c r="J21" s="437" t="s">
        <v>565</v>
      </c>
      <c r="K21" s="438"/>
      <c r="L21" s="438"/>
      <c r="M21" s="439"/>
      <c r="N21" s="440" t="s">
        <v>566</v>
      </c>
      <c r="O21" s="441"/>
      <c r="P21" s="441"/>
      <c r="Q21" s="441"/>
      <c r="R21" s="442"/>
      <c r="S21" s="112">
        <f xml:space="preserve"> S13+S20</f>
        <v>3434.2075209118134</v>
      </c>
      <c r="T21" s="106"/>
      <c r="U21" s="107"/>
    </row>
    <row r="22" spans="2:21" x14ac:dyDescent="0.3">
      <c r="B22" s="368" t="s">
        <v>342</v>
      </c>
      <c r="C22" s="368"/>
      <c r="D22" s="57">
        <f>IF(ISNUMBER(D21),(VstupneUdaje!O16-D21)*D20,"-")</f>
        <v>4267</v>
      </c>
      <c r="E22" s="57">
        <f>IF(ISNUMBER(E21),(VstupneUdaje!O16-E21)*E20,"-")</f>
        <v>3351.6000000000004</v>
      </c>
      <c r="F22" s="57">
        <f>IF(ISNUMBER(F21),(VstupneUdaje!O16-F21)*F20,"-")</f>
        <v>3425.1</v>
      </c>
      <c r="G22" s="57">
        <f>AVERAGE(D22:F22)</f>
        <v>3681.2333333333336</v>
      </c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06"/>
      <c r="U22" s="107"/>
    </row>
    <row r="23" spans="2:21" ht="16.2" hidden="1" customHeight="1" thickBot="1" x14ac:dyDescent="0.4">
      <c r="D23" s="62">
        <f>$G22</f>
        <v>3681.2333333333336</v>
      </c>
      <c r="E23" s="62">
        <f>$G22</f>
        <v>3681.2333333333336</v>
      </c>
      <c r="F23" s="62">
        <f>$G22</f>
        <v>3681.2333333333336</v>
      </c>
      <c r="J23" s="443" t="s">
        <v>567</v>
      </c>
      <c r="K23" s="444"/>
      <c r="L23" s="444"/>
      <c r="M23" s="444"/>
      <c r="N23" s="444"/>
      <c r="O23" s="444"/>
      <c r="P23" s="445"/>
      <c r="Q23" s="79"/>
      <c r="R23" s="118" t="s">
        <v>568</v>
      </c>
      <c r="S23" s="119">
        <f>S21/O13</f>
        <v>1.6183061688477516</v>
      </c>
      <c r="T23" s="106"/>
      <c r="U23" s="107"/>
    </row>
    <row r="24" spans="2:21" ht="15" hidden="1" x14ac:dyDescent="0.35">
      <c r="D24" s="65">
        <f>MATCH(D19,Dennostupne!B1:AR1)</f>
        <v>38</v>
      </c>
      <c r="E24" s="65">
        <f>MATCH(E19,Dennostupne!B1:AR1)</f>
        <v>40</v>
      </c>
      <c r="F24" s="65">
        <f>MATCH(F19,Dennostupne!B1:AR1)</f>
        <v>42</v>
      </c>
      <c r="J24" s="120" t="s">
        <v>569</v>
      </c>
      <c r="K24" s="89"/>
      <c r="L24" s="89"/>
      <c r="M24" s="121" t="s">
        <v>570</v>
      </c>
      <c r="N24" s="122" t="s">
        <v>571</v>
      </c>
      <c r="O24" s="122" t="s">
        <v>572</v>
      </c>
      <c r="P24" s="123" t="s">
        <v>573</v>
      </c>
      <c r="Q24" s="122" t="s">
        <v>574</v>
      </c>
      <c r="R24" s="446" t="s">
        <v>575</v>
      </c>
      <c r="S24" s="447"/>
      <c r="T24" s="106"/>
      <c r="U24" s="107"/>
    </row>
    <row r="25" spans="2:21" x14ac:dyDescent="0.3">
      <c r="J25" s="448" t="s">
        <v>567</v>
      </c>
      <c r="K25" s="448"/>
      <c r="L25" s="448"/>
      <c r="M25" s="448"/>
      <c r="N25" s="448"/>
      <c r="O25" s="448"/>
      <c r="P25" s="448"/>
      <c r="Q25" s="448"/>
      <c r="R25" s="448"/>
      <c r="S25" s="448"/>
      <c r="T25" s="106"/>
      <c r="U25" s="107"/>
    </row>
    <row r="26" spans="2:21" ht="15" x14ac:dyDescent="0.35">
      <c r="J26" s="449"/>
      <c r="K26" s="449"/>
      <c r="L26" s="449"/>
      <c r="M26" s="449"/>
      <c r="N26" s="449"/>
      <c r="O26" s="449"/>
      <c r="P26" s="449"/>
      <c r="Q26" s="79"/>
      <c r="R26" s="118" t="s">
        <v>568</v>
      </c>
      <c r="S26" s="119">
        <f>S21/O13</f>
        <v>1.6183061688477516</v>
      </c>
      <c r="T26" s="106"/>
      <c r="U26" s="107"/>
    </row>
    <row r="27" spans="2:21" x14ac:dyDescent="0.3">
      <c r="T27" s="106"/>
      <c r="U27" s="107"/>
    </row>
    <row r="28" spans="2:21" x14ac:dyDescent="0.3">
      <c r="J28" s="430" t="s">
        <v>576</v>
      </c>
      <c r="K28" s="430"/>
      <c r="L28" s="430"/>
      <c r="M28" s="430"/>
      <c r="N28" s="430"/>
      <c r="O28" s="430"/>
      <c r="P28" s="430"/>
      <c r="Q28" s="430"/>
      <c r="R28" s="430"/>
      <c r="S28" s="430"/>
      <c r="T28" s="106"/>
      <c r="U28" s="107"/>
    </row>
    <row r="29" spans="2:21" x14ac:dyDescent="0.3">
      <c r="J29" s="375" t="s">
        <v>577</v>
      </c>
      <c r="K29" s="375"/>
      <c r="L29" s="375"/>
      <c r="M29" s="375"/>
      <c r="N29" s="375"/>
      <c r="O29" s="375"/>
      <c r="P29" s="375"/>
      <c r="Q29" s="375"/>
      <c r="R29" s="375"/>
      <c r="S29" s="126">
        <v>0.85</v>
      </c>
      <c r="T29" s="106"/>
      <c r="U29" s="107"/>
    </row>
    <row r="30" spans="2:21" x14ac:dyDescent="0.3">
      <c r="J30" s="375" t="s">
        <v>578</v>
      </c>
      <c r="K30" s="375"/>
      <c r="L30" s="375"/>
      <c r="M30" s="375"/>
      <c r="N30" s="375"/>
      <c r="O30" s="375"/>
      <c r="P30" s="375"/>
      <c r="Q30" s="375"/>
      <c r="R30" s="375"/>
      <c r="S30" s="127">
        <v>1.2</v>
      </c>
      <c r="T30" s="106"/>
      <c r="U30" s="107"/>
    </row>
    <row r="31" spans="2:21" x14ac:dyDescent="0.3">
      <c r="J31" s="375" t="s">
        <v>579</v>
      </c>
      <c r="K31" s="375"/>
      <c r="L31" s="375"/>
      <c r="M31" s="375"/>
      <c r="N31" s="375"/>
      <c r="O31" s="375"/>
      <c r="P31" s="375"/>
      <c r="Q31" s="375"/>
      <c r="R31" s="375"/>
      <c r="S31" s="127">
        <v>1010</v>
      </c>
      <c r="T31" s="106"/>
      <c r="U31" s="107"/>
    </row>
    <row r="32" spans="2:21" x14ac:dyDescent="0.3">
      <c r="J32" s="375" t="s">
        <v>580</v>
      </c>
      <c r="K32" s="375"/>
      <c r="L32" s="375"/>
      <c r="M32" s="375"/>
      <c r="N32" s="375"/>
      <c r="O32" s="375"/>
      <c r="P32" s="375"/>
      <c r="Q32" s="375"/>
      <c r="R32" s="375"/>
      <c r="S32" s="128">
        <f>IF((25200*(V13/D11))&lt;0.5,0.5,(25200*(V13/D11)))</f>
        <v>0.5</v>
      </c>
      <c r="T32" s="106"/>
      <c r="U32" s="107"/>
    </row>
    <row r="33" spans="10:21" ht="15" x14ac:dyDescent="0.35">
      <c r="J33" s="422" t="s">
        <v>581</v>
      </c>
      <c r="K33" s="423"/>
      <c r="L33" s="423"/>
      <c r="M33" s="423"/>
      <c r="N33" s="423"/>
      <c r="O33" s="423"/>
      <c r="P33" s="423"/>
      <c r="Q33" s="423"/>
      <c r="R33" s="424"/>
      <c r="S33" s="129">
        <f>(S29*S30*S31*D11*S32)/3600</f>
        <v>3829.2319375000006</v>
      </c>
      <c r="T33" s="106"/>
      <c r="U33" s="107"/>
    </row>
    <row r="34" spans="10:21" x14ac:dyDescent="0.3">
      <c r="T34" s="106"/>
      <c r="U34" s="107"/>
    </row>
    <row r="35" spans="10:21" x14ac:dyDescent="0.3">
      <c r="J35" s="425" t="s">
        <v>582</v>
      </c>
      <c r="K35" s="426"/>
      <c r="L35" s="426"/>
      <c r="M35" s="426"/>
      <c r="N35" s="426"/>
      <c r="O35" s="426"/>
      <c r="P35" s="426"/>
      <c r="Q35" s="426"/>
      <c r="R35" s="426"/>
      <c r="S35" s="427"/>
      <c r="T35" s="106"/>
      <c r="U35" s="107"/>
    </row>
    <row r="36" spans="10:21" x14ac:dyDescent="0.3">
      <c r="J36" s="256" t="s">
        <v>511</v>
      </c>
      <c r="K36" s="256" t="s">
        <v>583</v>
      </c>
      <c r="L36" s="256" t="s">
        <v>584</v>
      </c>
      <c r="M36" s="256" t="s">
        <v>585</v>
      </c>
      <c r="N36" s="256" t="s">
        <v>586</v>
      </c>
      <c r="O36" s="256" t="s">
        <v>587</v>
      </c>
      <c r="P36" s="256" t="s">
        <v>588</v>
      </c>
      <c r="Q36" s="256" t="s">
        <v>589</v>
      </c>
      <c r="R36" s="428"/>
      <c r="S36" s="420" t="s">
        <v>590</v>
      </c>
      <c r="T36" s="106"/>
      <c r="U36" s="107"/>
    </row>
    <row r="37" spans="10:21" x14ac:dyDescent="0.3">
      <c r="J37" s="256" t="s">
        <v>73</v>
      </c>
      <c r="K37" s="256">
        <f>VstupneUdaje!BJ14</f>
        <v>16.219200000000001</v>
      </c>
      <c r="L37" s="256">
        <f>VstupneUdaje!BJ15</f>
        <v>13.171200000000002</v>
      </c>
      <c r="M37" s="256">
        <f>VstupneUdaje!BJ16</f>
        <v>11.457600000000001</v>
      </c>
      <c r="N37" s="256">
        <f>VstupneUdaje!BJ17</f>
        <v>7.2720000000000002</v>
      </c>
      <c r="O37" s="256">
        <f>VstupneUdaje!BJ18</f>
        <v>7.5888</v>
      </c>
      <c r="P37" s="256">
        <f>VstupneUdaje!BJ19</f>
        <v>11.304</v>
      </c>
      <c r="Q37" s="256">
        <f>VstupneUdaje!BJ20</f>
        <v>15.103200000000001</v>
      </c>
      <c r="R37" s="428"/>
      <c r="S37" s="429"/>
      <c r="T37" s="106"/>
      <c r="U37" s="107"/>
    </row>
    <row r="38" spans="10:21" x14ac:dyDescent="0.3">
      <c r="J38" s="256" t="s">
        <v>416</v>
      </c>
      <c r="K38" s="130">
        <f>S33+S21</f>
        <v>7263.4394584118145</v>
      </c>
      <c r="L38" s="130">
        <v>4558.5716155111986</v>
      </c>
      <c r="M38" s="130">
        <v>4558.5716155111986</v>
      </c>
      <c r="N38" s="130">
        <v>4558.5716155111986</v>
      </c>
      <c r="O38" s="130">
        <v>4558.5716155111986</v>
      </c>
      <c r="P38" s="130">
        <v>4558.5716155111986</v>
      </c>
      <c r="Q38" s="130">
        <v>4558.5716155111986</v>
      </c>
      <c r="R38" s="428"/>
      <c r="S38" s="421"/>
      <c r="T38" s="106"/>
      <c r="U38" s="107"/>
    </row>
    <row r="39" spans="10:21" x14ac:dyDescent="0.3">
      <c r="J39" s="257" t="s">
        <v>591</v>
      </c>
      <c r="K39" s="132">
        <f>K37*K38</f>
        <v>117807.1772638729</v>
      </c>
      <c r="L39" s="132">
        <f t="shared" ref="L39:Q39" si="5">L37*L38</f>
        <v>60041.858462221113</v>
      </c>
      <c r="M39" s="132">
        <f t="shared" si="5"/>
        <v>52230.290141881116</v>
      </c>
      <c r="N39" s="132">
        <f t="shared" si="5"/>
        <v>33149.932787997437</v>
      </c>
      <c r="O39" s="132">
        <f t="shared" si="5"/>
        <v>34594.088275791386</v>
      </c>
      <c r="P39" s="132">
        <f t="shared" si="5"/>
        <v>51530.093541738592</v>
      </c>
      <c r="Q39" s="132">
        <f t="shared" si="5"/>
        <v>68849.018823388746</v>
      </c>
      <c r="R39" s="428"/>
      <c r="S39" s="131">
        <f>SUM(K39:Q39)</f>
        <v>418202.45929689123</v>
      </c>
      <c r="T39" s="106"/>
      <c r="U39" s="107"/>
    </row>
    <row r="40" spans="10:21" x14ac:dyDescent="0.3">
      <c r="T40" s="106"/>
      <c r="U40" s="107"/>
    </row>
    <row r="41" spans="10:21" x14ac:dyDescent="0.3">
      <c r="J41" s="425" t="s">
        <v>592</v>
      </c>
      <c r="K41" s="426"/>
      <c r="L41" s="426"/>
      <c r="M41" s="426"/>
      <c r="N41" s="426"/>
      <c r="O41" s="426"/>
      <c r="P41" s="426"/>
      <c r="Q41" s="426"/>
      <c r="R41" s="426"/>
      <c r="S41" s="427"/>
      <c r="T41" s="106"/>
      <c r="U41" s="107"/>
    </row>
    <row r="42" spans="10:21" x14ac:dyDescent="0.3">
      <c r="J42" s="410" t="s">
        <v>593</v>
      </c>
      <c r="K42" s="410"/>
      <c r="L42" s="410"/>
      <c r="M42" s="410"/>
      <c r="N42" s="410"/>
      <c r="O42" s="410"/>
      <c r="P42" s="410"/>
      <c r="Q42" s="410"/>
      <c r="R42" s="410"/>
      <c r="S42" s="131">
        <f>S21+S33</f>
        <v>7263.4394584118145</v>
      </c>
      <c r="T42" s="106"/>
      <c r="U42" s="107"/>
    </row>
    <row r="43" spans="10:21" x14ac:dyDescent="0.3">
      <c r="T43" s="106"/>
      <c r="U43" s="107"/>
    </row>
    <row r="44" spans="10:21" x14ac:dyDescent="0.3">
      <c r="J44" s="425" t="s">
        <v>594</v>
      </c>
      <c r="K44" s="426"/>
      <c r="L44" s="426"/>
      <c r="M44" s="426"/>
      <c r="N44" s="426"/>
      <c r="O44" s="426"/>
      <c r="P44" s="426"/>
      <c r="Q44" s="426"/>
      <c r="R44" s="426"/>
      <c r="S44" s="427"/>
      <c r="T44" s="106"/>
      <c r="U44" s="107"/>
    </row>
    <row r="45" spans="10:21" x14ac:dyDescent="0.3">
      <c r="J45" s="417" t="s">
        <v>595</v>
      </c>
      <c r="K45" s="418"/>
      <c r="L45" s="418"/>
      <c r="M45" s="418"/>
      <c r="N45" s="418"/>
      <c r="O45" s="418"/>
      <c r="P45" s="418"/>
      <c r="Q45" s="418"/>
      <c r="R45" s="419"/>
      <c r="S45" s="420" t="s">
        <v>590</v>
      </c>
      <c r="T45" s="106"/>
      <c r="U45" s="107"/>
    </row>
    <row r="46" spans="10:21" x14ac:dyDescent="0.3">
      <c r="J46" s="135" t="s">
        <v>596</v>
      </c>
      <c r="K46" s="130">
        <f>G20</f>
        <v>226.66666666666666</v>
      </c>
      <c r="L46" s="411"/>
      <c r="M46" s="412"/>
      <c r="N46" s="412"/>
      <c r="O46" s="412"/>
      <c r="P46" s="412"/>
      <c r="Q46" s="412"/>
      <c r="R46" s="413"/>
      <c r="S46" s="421"/>
      <c r="T46" s="106"/>
      <c r="U46" s="107"/>
    </row>
    <row r="47" spans="10:21" x14ac:dyDescent="0.3">
      <c r="J47" s="135" t="s">
        <v>597</v>
      </c>
      <c r="K47" s="130">
        <v>5</v>
      </c>
      <c r="L47" s="411"/>
      <c r="M47" s="412"/>
      <c r="N47" s="412"/>
      <c r="O47" s="412"/>
      <c r="P47" s="412"/>
      <c r="Q47" s="412"/>
      <c r="R47" s="413"/>
      <c r="S47" s="131">
        <f>K46*0.024*K47*D12</f>
        <v>144200.79999999999</v>
      </c>
      <c r="T47" s="106"/>
      <c r="U47" s="107"/>
    </row>
    <row r="48" spans="10:21" ht="15" customHeight="1" x14ac:dyDescent="0.3">
      <c r="T48" s="106"/>
      <c r="U48" s="107"/>
    </row>
    <row r="49" spans="10:21" x14ac:dyDescent="0.3">
      <c r="J49" s="409" t="s">
        <v>598</v>
      </c>
      <c r="K49" s="409"/>
      <c r="L49" s="409"/>
      <c r="M49" s="409"/>
      <c r="N49" s="409"/>
      <c r="O49" s="409"/>
      <c r="P49" s="409"/>
      <c r="Q49" s="409"/>
      <c r="R49" s="409"/>
      <c r="S49" s="409"/>
      <c r="T49" s="106"/>
      <c r="U49" s="107"/>
    </row>
    <row r="50" spans="10:21" x14ac:dyDescent="0.3">
      <c r="J50" s="348" t="s">
        <v>401</v>
      </c>
      <c r="K50" s="348"/>
      <c r="L50" s="348"/>
      <c r="M50" s="253" t="str">
        <f>OtvoroveKonstrukcie!C2</f>
        <v>J</v>
      </c>
      <c r="N50" s="253" t="str">
        <f>OtvoroveKonstrukcie!D2</f>
        <v>V</v>
      </c>
      <c r="O50" s="253" t="str">
        <f>OtvoroveKonstrukcie!E2</f>
        <v>Z</v>
      </c>
      <c r="P50" s="253" t="str">
        <f>OtvoroveKonstrukcie!F2</f>
        <v>S</v>
      </c>
      <c r="Q50" s="253" t="str">
        <f>OtvoroveKonstrukcie!G2</f>
        <v>H</v>
      </c>
      <c r="R50" s="104"/>
      <c r="S50" s="414" t="s">
        <v>590</v>
      </c>
      <c r="T50" s="106"/>
      <c r="U50" s="107"/>
    </row>
    <row r="51" spans="10:21" x14ac:dyDescent="0.3">
      <c r="J51" s="348" t="s">
        <v>599</v>
      </c>
      <c r="K51" s="348"/>
      <c r="L51" s="348"/>
      <c r="M51" s="104" t="e">
        <f>#REF!</f>
        <v>#REF!</v>
      </c>
      <c r="N51" s="104" t="e">
        <f>#REF!</f>
        <v>#REF!</v>
      </c>
      <c r="O51" s="104" t="e">
        <f>#REF!</f>
        <v>#REF!</v>
      </c>
      <c r="P51" s="104" t="e">
        <f>#REF!</f>
        <v>#REF!</v>
      </c>
      <c r="Q51" s="104" t="e">
        <f>#REF!</f>
        <v>#REF!</v>
      </c>
      <c r="R51" s="104"/>
      <c r="S51" s="415"/>
      <c r="T51" s="106"/>
      <c r="U51" s="107"/>
    </row>
    <row r="52" spans="10:21" x14ac:dyDescent="0.3">
      <c r="J52" s="348" t="s">
        <v>600</v>
      </c>
      <c r="K52" s="348"/>
      <c r="L52" s="348"/>
      <c r="M52" s="104">
        <v>200</v>
      </c>
      <c r="N52" s="104">
        <v>200</v>
      </c>
      <c r="O52" s="104">
        <v>200</v>
      </c>
      <c r="P52" s="104">
        <v>200</v>
      </c>
      <c r="Q52" s="104">
        <v>200</v>
      </c>
      <c r="R52" s="104"/>
      <c r="S52" s="415"/>
      <c r="T52" s="94"/>
      <c r="U52" s="89"/>
    </row>
    <row r="53" spans="10:21" x14ac:dyDescent="0.3">
      <c r="J53" s="348" t="s">
        <v>601</v>
      </c>
      <c r="K53" s="348"/>
      <c r="L53" s="348"/>
      <c r="M53" s="104">
        <v>0.5</v>
      </c>
      <c r="N53" s="104">
        <v>0.5</v>
      </c>
      <c r="O53" s="104">
        <v>0.5</v>
      </c>
      <c r="P53" s="104">
        <v>0.5</v>
      </c>
      <c r="Q53" s="104">
        <v>0.5</v>
      </c>
      <c r="R53" s="104"/>
      <c r="S53" s="415"/>
    </row>
    <row r="54" spans="10:21" x14ac:dyDescent="0.3">
      <c r="J54" s="348" t="s">
        <v>602</v>
      </c>
      <c r="K54" s="348"/>
      <c r="L54" s="348"/>
      <c r="M54" s="104">
        <v>0.6</v>
      </c>
      <c r="N54" s="104">
        <v>0.6</v>
      </c>
      <c r="O54" s="104">
        <v>0.6</v>
      </c>
      <c r="P54" s="104">
        <v>0.6</v>
      </c>
      <c r="Q54" s="104">
        <v>0.6</v>
      </c>
      <c r="R54" s="104"/>
      <c r="S54" s="415"/>
      <c r="T54" t="s">
        <v>603</v>
      </c>
    </row>
    <row r="55" spans="10:21" x14ac:dyDescent="0.3">
      <c r="J55" s="348" t="s">
        <v>604</v>
      </c>
      <c r="K55" s="348"/>
      <c r="L55" s="348"/>
      <c r="M55" s="104">
        <f>0.8*M54*(1-0.8)*M52</f>
        <v>19.199999999999996</v>
      </c>
      <c r="N55" s="104">
        <f>0.8*N54*(1-0.8)*N52</f>
        <v>19.199999999999996</v>
      </c>
      <c r="O55" s="104">
        <f>0.8*O54*(1-0.8)*O52</f>
        <v>19.199999999999996</v>
      </c>
      <c r="P55" s="104">
        <f>0.8*P54*(1-0.8)*P52</f>
        <v>19.199999999999996</v>
      </c>
      <c r="Q55" s="104">
        <f>0.8*Q54*(1-0.8)*Q52</f>
        <v>19.199999999999996</v>
      </c>
      <c r="R55" s="104"/>
      <c r="S55" s="416"/>
      <c r="T55" t="s">
        <v>605</v>
      </c>
    </row>
    <row r="56" spans="10:21" x14ac:dyDescent="0.3">
      <c r="J56" s="408" t="s">
        <v>606</v>
      </c>
      <c r="K56" s="408"/>
      <c r="L56" s="408"/>
      <c r="M56" s="104" t="e">
        <f>M53*M55*M51</f>
        <v>#REF!</v>
      </c>
      <c r="N56" s="104" t="e">
        <f>N53*N55*N51</f>
        <v>#REF!</v>
      </c>
      <c r="O56" s="104" t="e">
        <f>O53*O55*O51</f>
        <v>#REF!</v>
      </c>
      <c r="P56" s="104" t="e">
        <f>P53*P55*P51</f>
        <v>#REF!</v>
      </c>
      <c r="Q56" s="104" t="e">
        <f>Q53*Q55*Q51</f>
        <v>#REF!</v>
      </c>
      <c r="R56" s="104"/>
      <c r="S56" s="131" t="e">
        <f>SUM(M56:Q56)</f>
        <v>#REF!</v>
      </c>
    </row>
    <row r="58" spans="10:21" x14ac:dyDescent="0.3">
      <c r="J58" s="409" t="s">
        <v>607</v>
      </c>
      <c r="K58" s="409"/>
      <c r="L58" s="409"/>
      <c r="M58" s="409"/>
      <c r="N58" s="409"/>
      <c r="O58" s="409"/>
      <c r="P58" s="409"/>
      <c r="Q58" s="409"/>
      <c r="R58" s="409"/>
      <c r="S58" s="409"/>
    </row>
    <row r="59" spans="10:21" x14ac:dyDescent="0.3">
      <c r="J59" s="410" t="s">
        <v>608</v>
      </c>
      <c r="K59" s="410"/>
      <c r="L59" s="410"/>
      <c r="M59" s="410"/>
      <c r="N59" s="410"/>
      <c r="O59" s="410"/>
      <c r="P59" s="410"/>
      <c r="Q59" s="410"/>
      <c r="R59" s="410"/>
      <c r="S59" s="131" t="e">
        <f>S47+S56</f>
        <v>#REF!</v>
      </c>
    </row>
    <row r="61" spans="10:21" x14ac:dyDescent="0.3">
      <c r="J61" s="409" t="s">
        <v>609</v>
      </c>
      <c r="K61" s="409"/>
      <c r="L61" s="409"/>
      <c r="M61" s="409"/>
      <c r="N61" s="409"/>
      <c r="O61" s="409"/>
      <c r="P61" s="409"/>
      <c r="Q61" s="409"/>
      <c r="R61" s="409"/>
      <c r="S61" s="409"/>
    </row>
    <row r="62" spans="10:21" x14ac:dyDescent="0.3">
      <c r="J62" s="405" t="s">
        <v>610</v>
      </c>
      <c r="K62" s="406"/>
      <c r="L62" s="406"/>
      <c r="M62" s="406"/>
      <c r="N62" s="406"/>
      <c r="O62" s="406"/>
      <c r="P62" s="406"/>
      <c r="Q62" s="406"/>
      <c r="R62" s="407"/>
      <c r="S62" s="131" t="e">
        <f>S42*(20-G21)*G20*0.024-0.95*S59</f>
        <v>#REF!</v>
      </c>
    </row>
    <row r="64" spans="10:21" x14ac:dyDescent="0.3">
      <c r="J64" s="409" t="s">
        <v>611</v>
      </c>
      <c r="K64" s="409"/>
      <c r="L64" s="409"/>
      <c r="M64" s="409"/>
      <c r="N64" s="409"/>
      <c r="O64" s="409"/>
      <c r="P64" s="409"/>
      <c r="Q64" s="409"/>
      <c r="R64" s="409"/>
      <c r="S64" s="409"/>
    </row>
    <row r="65" spans="10:20" x14ac:dyDescent="0.3">
      <c r="J65" s="405" t="s">
        <v>612</v>
      </c>
      <c r="K65" s="406"/>
      <c r="L65" s="406"/>
      <c r="M65" s="406"/>
      <c r="N65" s="406"/>
      <c r="O65" s="406"/>
      <c r="P65" s="406"/>
      <c r="Q65" s="406"/>
      <c r="R65" s="407"/>
      <c r="S65" s="131" t="e">
        <f>S62/D12</f>
        <v>#REF!</v>
      </c>
      <c r="T65" t="s">
        <v>613</v>
      </c>
    </row>
  </sheetData>
  <mergeCells count="70">
    <mergeCell ref="B2:D2"/>
    <mergeCell ref="J2:S2"/>
    <mergeCell ref="W2:AH2"/>
    <mergeCell ref="C3:D3"/>
    <mergeCell ref="J3:N4"/>
    <mergeCell ref="C4:D4"/>
    <mergeCell ref="Q13:R13"/>
    <mergeCell ref="C5:D5"/>
    <mergeCell ref="K5:N5"/>
    <mergeCell ref="C6:D6"/>
    <mergeCell ref="K6:N6"/>
    <mergeCell ref="K7:N7"/>
    <mergeCell ref="B8:D8"/>
    <mergeCell ref="K8:N8"/>
    <mergeCell ref="K9:N9"/>
    <mergeCell ref="K10:N10"/>
    <mergeCell ref="K11:N11"/>
    <mergeCell ref="K12:N12"/>
    <mergeCell ref="K13:M13"/>
    <mergeCell ref="J15:S15"/>
    <mergeCell ref="J16:L19"/>
    <mergeCell ref="O16:S16"/>
    <mergeCell ref="P17:Q17"/>
    <mergeCell ref="B18:G18"/>
    <mergeCell ref="M18:N19"/>
    <mergeCell ref="P18:Q18"/>
    <mergeCell ref="B19:C19"/>
    <mergeCell ref="P19:Q19"/>
    <mergeCell ref="J28:S28"/>
    <mergeCell ref="B20:C20"/>
    <mergeCell ref="J20:M20"/>
    <mergeCell ref="N20:R20"/>
    <mergeCell ref="B21:C21"/>
    <mergeCell ref="J21:M21"/>
    <mergeCell ref="N21:R21"/>
    <mergeCell ref="B22:C22"/>
    <mergeCell ref="J23:P23"/>
    <mergeCell ref="R24:S24"/>
    <mergeCell ref="J25:S25"/>
    <mergeCell ref="J26:P26"/>
    <mergeCell ref="J45:R45"/>
    <mergeCell ref="S45:S46"/>
    <mergeCell ref="L46:R46"/>
    <mergeCell ref="J29:R29"/>
    <mergeCell ref="J30:R30"/>
    <mergeCell ref="J31:R31"/>
    <mergeCell ref="J32:R32"/>
    <mergeCell ref="J33:R33"/>
    <mergeCell ref="J35:S35"/>
    <mergeCell ref="R36:R39"/>
    <mergeCell ref="S36:S38"/>
    <mergeCell ref="J41:S41"/>
    <mergeCell ref="J42:R42"/>
    <mergeCell ref="J44:S44"/>
    <mergeCell ref="L47:R47"/>
    <mergeCell ref="J49:S49"/>
    <mergeCell ref="J50:L50"/>
    <mergeCell ref="S50:S55"/>
    <mergeCell ref="J51:L51"/>
    <mergeCell ref="J52:L52"/>
    <mergeCell ref="J53:L53"/>
    <mergeCell ref="J54:L54"/>
    <mergeCell ref="J55:L55"/>
    <mergeCell ref="J65:R65"/>
    <mergeCell ref="J56:L56"/>
    <mergeCell ref="J58:S58"/>
    <mergeCell ref="J59:R59"/>
    <mergeCell ref="J61:S61"/>
    <mergeCell ref="J62:R62"/>
    <mergeCell ref="J64:S64"/>
  </mergeCells>
  <dataValidations count="4">
    <dataValidation allowBlank="1" showInputMessage="1" showErrorMessage="1" errorTitle="Hygienické minimum" error="Priemerná intenzita výmeny vzduchu nižšia ako hygienické minimum. Voliť minimum 0,5 l/h." sqref="S32" xr:uid="{00000000-0002-0000-0A00-000000000000}"/>
    <dataValidation type="list" allowBlank="1" showInputMessage="1" showErrorMessage="1" sqref="S17" xr:uid="{00000000-0002-0000-0A00-000001000000}">
      <formula1>$O$17:$O$19</formula1>
    </dataValidation>
    <dataValidation type="decimal" operator="greaterThanOrEqual" allowBlank="1" showInputMessage="1" showErrorMessage="1" errorTitle="POZOR" error="zadaj číslo &gt;=0" sqref="D9:D12 D16" xr:uid="{00000000-0002-0000-0A00-000002000000}">
      <formula1>0</formula1>
    </dataValidation>
    <dataValidation type="whole" allowBlank="1" showInputMessage="1" showErrorMessage="1" errorTitle="Rok spracovania EA" error="Zadajte štvorciferné celé číslo väčšie ako 2000 a menšie ako 2020." sqref="C6:D6" xr:uid="{00000000-0002-0000-0A00-000003000000}">
      <formula1>2011</formula1>
      <formula2>2020</formula2>
    </dataValidation>
  </dataValidations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Bytové domy = 5 W/m2_x000a_Rodinné domy = 4 W/m2_x000a_Ostatné = 6 W/m2" xr:uid="{00000000-0002-0000-0A00-000004000000}">
          <x14:formula1>
            <xm:f>VstupneUdaje!$BI$2:$BI$4</xm:f>
          </x14:formula1>
          <xm:sqref>K47</xm:sqref>
        </x14:dataValidation>
        <x14:dataValidation type="list" allowBlank="1" showInputMessage="1" showErrorMessage="1" xr:uid="{00000000-0002-0000-0A00-000005000000}">
          <x14:formula1>
            <xm:f>VstupneUdaje!$M$28:$M$40</xm:f>
          </x14:formula1>
          <xm:sqref>R5</xm:sqref>
        </x14:dataValidation>
        <x14:dataValidation type="list" allowBlank="1" showInputMessage="1" showErrorMessage="1" xr:uid="{00000000-0002-0000-0A00-000006000000}">
          <x14:formula1>
            <xm:f>Dennostupne!$B$3:$B$81</xm:f>
          </x14:formula1>
          <xm:sqref>C3:D3</xm:sqref>
        </x14:dataValidation>
        <x14:dataValidation type="list" allowBlank="1" showInputMessage="1" showErrorMessage="1" xr:uid="{00000000-0002-0000-0A00-000007000000}">
          <x14:formula1>
            <xm:f>VstupneUdaje!$L$2:$L$10</xm:f>
          </x14:formula1>
          <xm:sqref>C5:D5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R129"/>
  <sheetViews>
    <sheetView topLeftCell="R1" zoomScaleNormal="100" workbookViewId="0">
      <selection activeCell="S80" sqref="S80"/>
    </sheetView>
  </sheetViews>
  <sheetFormatPr defaultColWidth="8.88671875" defaultRowHeight="14.4" x14ac:dyDescent="0.3"/>
  <cols>
    <col min="2" max="2" width="28.5546875" bestFit="1" customWidth="1"/>
    <col min="4" max="6" width="11.44140625" bestFit="1" customWidth="1"/>
    <col min="10" max="10" width="12.88671875" customWidth="1"/>
    <col min="11" max="12" width="9.44140625" bestFit="1" customWidth="1"/>
    <col min="13" max="13" width="10.6640625" customWidth="1"/>
    <col min="14" max="15" width="9.44140625" bestFit="1" customWidth="1"/>
    <col min="16" max="16" width="19.33203125" bestFit="1" customWidth="1"/>
    <col min="17" max="17" width="9.44140625" bestFit="1" customWidth="1"/>
    <col min="18" max="18" width="9" bestFit="1" customWidth="1"/>
    <col min="19" max="19" width="9.6640625" bestFit="1" customWidth="1"/>
    <col min="20" max="21" width="9" bestFit="1" customWidth="1"/>
    <col min="25" max="25" width="10.44140625" customWidth="1"/>
    <col min="26" max="27" width="8.88671875" style="117"/>
    <col min="28" max="28" width="9.5546875" style="117" bestFit="1" customWidth="1"/>
    <col min="29" max="31" width="8.88671875" style="117"/>
    <col min="32" max="32" width="10" style="117" bestFit="1" customWidth="1"/>
    <col min="33" max="33" width="8.88671875" style="117"/>
    <col min="34" max="34" width="4.88671875" style="117" customWidth="1"/>
    <col min="35" max="35" width="11.33203125" style="117" customWidth="1"/>
    <col min="37" max="37" width="12.6640625" bestFit="1" customWidth="1"/>
    <col min="40" max="40" width="12.6640625" bestFit="1" customWidth="1"/>
    <col min="43" max="43" width="9.88671875" bestFit="1" customWidth="1"/>
    <col min="46" max="46" width="9.88671875" bestFit="1" customWidth="1"/>
  </cols>
  <sheetData>
    <row r="1" spans="2:44" x14ac:dyDescent="0.3">
      <c r="J1" s="138" t="s">
        <v>497</v>
      </c>
      <c r="X1">
        <v>2018</v>
      </c>
    </row>
    <row r="2" spans="2:44" x14ac:dyDescent="0.3">
      <c r="B2" s="472" t="s">
        <v>315</v>
      </c>
      <c r="C2" s="472"/>
      <c r="D2" s="472"/>
      <c r="F2" s="217" t="s">
        <v>498</v>
      </c>
      <c r="J2" s="430" t="s">
        <v>499</v>
      </c>
      <c r="K2" s="430"/>
      <c r="L2" s="430"/>
      <c r="M2" s="430"/>
      <c r="N2" s="430"/>
      <c r="O2" s="430"/>
      <c r="P2" s="430"/>
      <c r="Q2" s="430"/>
      <c r="R2" s="430"/>
      <c r="S2" s="430"/>
      <c r="T2" s="89"/>
      <c r="U2" s="89"/>
      <c r="X2" s="473" t="s">
        <v>500</v>
      </c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5"/>
    </row>
    <row r="3" spans="2:44" x14ac:dyDescent="0.3">
      <c r="B3" s="244" t="s">
        <v>316</v>
      </c>
      <c r="C3" s="469" t="s">
        <v>168</v>
      </c>
      <c r="D3" s="469"/>
      <c r="F3" s="218" t="s">
        <v>501</v>
      </c>
      <c r="J3" s="476" t="s">
        <v>502</v>
      </c>
      <c r="K3" s="476"/>
      <c r="L3" s="476"/>
      <c r="M3" s="476"/>
      <c r="N3" s="476"/>
      <c r="O3" s="254" t="s">
        <v>503</v>
      </c>
      <c r="P3" s="99" t="s">
        <v>504</v>
      </c>
      <c r="Q3" s="99" t="s">
        <v>505</v>
      </c>
      <c r="R3" s="254" t="s">
        <v>506</v>
      </c>
      <c r="S3" s="99" t="s">
        <v>507</v>
      </c>
      <c r="T3" s="89"/>
      <c r="U3" s="89"/>
      <c r="X3" s="162" t="s">
        <v>508</v>
      </c>
      <c r="Y3" s="104" t="s">
        <v>509</v>
      </c>
      <c r="Z3" s="104" t="s">
        <v>510</v>
      </c>
      <c r="AA3" s="104" t="s">
        <v>511</v>
      </c>
      <c r="AB3" s="104" t="s">
        <v>512</v>
      </c>
      <c r="AC3" s="104" t="s">
        <v>513</v>
      </c>
      <c r="AD3" s="104" t="s">
        <v>514</v>
      </c>
      <c r="AE3" s="104" t="s">
        <v>515</v>
      </c>
      <c r="AF3" s="104" t="s">
        <v>516</v>
      </c>
      <c r="AG3" s="104" t="s">
        <v>517</v>
      </c>
      <c r="AH3" s="215" t="s">
        <v>518</v>
      </c>
      <c r="AI3" s="104" t="s">
        <v>519</v>
      </c>
    </row>
    <row r="4" spans="2:44" x14ac:dyDescent="0.3">
      <c r="B4" s="244" t="s">
        <v>520</v>
      </c>
      <c r="C4" s="469"/>
      <c r="D4" s="469"/>
      <c r="J4" s="476"/>
      <c r="K4" s="476"/>
      <c r="L4" s="476"/>
      <c r="M4" s="476"/>
      <c r="N4" s="476"/>
      <c r="O4" s="76" t="s">
        <v>521</v>
      </c>
      <c r="P4" s="76" t="s">
        <v>522</v>
      </c>
      <c r="Q4" s="76" t="s">
        <v>523</v>
      </c>
      <c r="R4" s="76" t="s">
        <v>524</v>
      </c>
      <c r="S4" s="76" t="s">
        <v>523</v>
      </c>
      <c r="T4" s="90"/>
      <c r="U4" s="90"/>
      <c r="X4" s="104">
        <v>23.2</v>
      </c>
      <c r="Y4" s="104">
        <f>Y16</f>
        <v>30</v>
      </c>
      <c r="Z4" s="104">
        <f t="shared" ref="Z4:Z10" si="0">AA16</f>
        <v>338.99999999999994</v>
      </c>
      <c r="AA4" s="104" t="s">
        <v>525</v>
      </c>
      <c r="AB4" s="160">
        <f>Z4*0.024</f>
        <v>8.1359999999999992</v>
      </c>
      <c r="AC4" s="160">
        <f>S84</f>
        <v>4707.1973799013722</v>
      </c>
      <c r="AD4" s="160">
        <f>S96</f>
        <v>4639.7489416666667</v>
      </c>
      <c r="AE4" s="160">
        <f>Y4*0.024*5*D12</f>
        <v>40674.959999999999</v>
      </c>
      <c r="AF4" s="160" t="e">
        <f>#REF!</f>
        <v>#REF!</v>
      </c>
      <c r="AG4" s="160" t="e">
        <f t="shared" ref="AG4:AG10" si="1">AE4+AF4</f>
        <v>#REF!</v>
      </c>
      <c r="AH4" s="160" t="e">
        <f>#REF!</f>
        <v>#REF!</v>
      </c>
      <c r="AI4" s="160" t="e">
        <f t="shared" ref="AI4:AI9" si="2">(AB4*(AC4+AD4))-(AG4*AH4)</f>
        <v>#REF!</v>
      </c>
    </row>
    <row r="5" spans="2:44" x14ac:dyDescent="0.3">
      <c r="B5" s="244" t="s">
        <v>3</v>
      </c>
      <c r="C5" s="469" t="s">
        <v>30</v>
      </c>
      <c r="D5" s="469"/>
      <c r="J5" s="96" t="str">
        <f>KonstrukcieSUM!B2</f>
        <v>SO1</v>
      </c>
      <c r="K5" s="470" t="str">
        <f>KonstrukcieSUM!C2</f>
        <v>Obvodová stena ŠD</v>
      </c>
      <c r="L5" s="470"/>
      <c r="M5" s="470"/>
      <c r="N5" s="470"/>
      <c r="O5" s="91">
        <f>KonstrukcieSUM!G2</f>
        <v>465.1</v>
      </c>
      <c r="P5" s="92">
        <f>'Konstrukcie nové'!E13</f>
        <v>0.20925713716307109</v>
      </c>
      <c r="Q5" s="93">
        <f t="shared" ref="Q5:Q68" si="3">(O5*P5)</f>
        <v>97.325494494544373</v>
      </c>
      <c r="R5" s="242">
        <v>1</v>
      </c>
      <c r="S5" s="93">
        <f t="shared" ref="S5:S68" si="4" xml:space="preserve"> R5*Q5</f>
        <v>97.325494494544373</v>
      </c>
      <c r="T5" s="94"/>
      <c r="U5" s="89"/>
      <c r="X5" s="104">
        <v>20.8</v>
      </c>
      <c r="Y5" s="104">
        <f>Y17</f>
        <v>30</v>
      </c>
      <c r="Z5" s="104">
        <f t="shared" si="0"/>
        <v>447</v>
      </c>
      <c r="AA5" s="104" t="s">
        <v>526</v>
      </c>
      <c r="AB5" s="160">
        <f t="shared" ref="AB5:AB10" si="5">Z5*0.024</f>
        <v>10.728</v>
      </c>
      <c r="AC5" s="160">
        <f>S84</f>
        <v>4707.1973799013722</v>
      </c>
      <c r="AD5" s="160">
        <f>S96</f>
        <v>4639.7489416666667</v>
      </c>
      <c r="AE5" s="160">
        <f>Y5*0.024*5*D12</f>
        <v>40674.959999999999</v>
      </c>
      <c r="AF5" s="160" t="e">
        <f>#REF!</f>
        <v>#REF!</v>
      </c>
      <c r="AG5" s="160" t="e">
        <f t="shared" si="1"/>
        <v>#REF!</v>
      </c>
      <c r="AH5" s="160" t="e">
        <f>#REF!</f>
        <v>#REF!</v>
      </c>
      <c r="AI5" s="160" t="e">
        <f t="shared" si="2"/>
        <v>#REF!</v>
      </c>
    </row>
    <row r="6" spans="2:44" x14ac:dyDescent="0.3">
      <c r="B6" s="244" t="s">
        <v>320</v>
      </c>
      <c r="C6" s="471">
        <v>2018</v>
      </c>
      <c r="D6" s="471"/>
      <c r="J6" s="96" t="str">
        <f>KonstrukcieSUM!B3</f>
        <v>SO2</v>
      </c>
      <c r="K6" s="470" t="str">
        <f>KonstrukcieSUM!C3</f>
        <v>Obvodová stena ŠD2</v>
      </c>
      <c r="L6" s="470"/>
      <c r="M6" s="470"/>
      <c r="N6" s="470"/>
      <c r="O6" s="91">
        <f>KonstrukcieSUM!G3</f>
        <v>1217.2</v>
      </c>
      <c r="P6" s="92">
        <f>'Konstrukcie nové'!E26</f>
        <v>0.21573051240873065</v>
      </c>
      <c r="Q6" s="93">
        <f t="shared" si="3"/>
        <v>262.58717970390694</v>
      </c>
      <c r="R6" s="242">
        <v>1</v>
      </c>
      <c r="S6" s="93">
        <f t="shared" si="4"/>
        <v>262.58717970390694</v>
      </c>
      <c r="T6" s="94"/>
      <c r="U6" s="89"/>
      <c r="X6" s="104">
        <v>19.8</v>
      </c>
      <c r="Y6" s="104">
        <v>31</v>
      </c>
      <c r="Z6" s="104">
        <f t="shared" si="0"/>
        <v>530.1</v>
      </c>
      <c r="AA6" s="104" t="s">
        <v>527</v>
      </c>
      <c r="AB6" s="160">
        <f t="shared" si="5"/>
        <v>12.7224</v>
      </c>
      <c r="AC6" s="160">
        <f>S84</f>
        <v>4707.1973799013722</v>
      </c>
      <c r="AD6" s="160">
        <f>S96</f>
        <v>4639.7489416666667</v>
      </c>
      <c r="AE6" s="160">
        <f>Y6*0.024*5*D12</f>
        <v>42030.792000000001</v>
      </c>
      <c r="AF6" s="160" t="e">
        <f>#REF!</f>
        <v>#REF!</v>
      </c>
      <c r="AG6" s="160" t="e">
        <f t="shared" si="1"/>
        <v>#REF!</v>
      </c>
      <c r="AH6" s="160" t="e">
        <f>#REF!</f>
        <v>#REF!</v>
      </c>
      <c r="AI6" s="160" t="e">
        <f t="shared" si="2"/>
        <v>#REF!</v>
      </c>
    </row>
    <row r="7" spans="2:44" x14ac:dyDescent="0.3">
      <c r="B7" s="23"/>
      <c r="C7" s="24"/>
      <c r="D7" s="24"/>
      <c r="J7" s="96" t="str">
        <f>Konstrukcie!A28</f>
        <v>SO3</v>
      </c>
      <c r="K7" s="470" t="str">
        <f>Konstrukcie!B28</f>
        <v>Obvodová stena - Nezateplená časť</v>
      </c>
      <c r="L7" s="470"/>
      <c r="M7" s="470"/>
      <c r="N7" s="470"/>
      <c r="O7" s="91">
        <f>Konstrukcie!E28</f>
        <v>307.8</v>
      </c>
      <c r="P7" s="92">
        <f>'Konstrukcie nové'!E41</f>
        <v>0.20957468666529691</v>
      </c>
      <c r="Q7" s="93">
        <f t="shared" si="3"/>
        <v>64.507088555578392</v>
      </c>
      <c r="R7" s="242">
        <v>1</v>
      </c>
      <c r="S7" s="93">
        <f t="shared" si="4"/>
        <v>64.507088555578392</v>
      </c>
      <c r="T7" s="94"/>
      <c r="U7" s="89"/>
      <c r="X7" s="104">
        <v>21.7</v>
      </c>
      <c r="Y7" s="104">
        <v>31</v>
      </c>
      <c r="Z7" s="104">
        <f t="shared" si="0"/>
        <v>573.5</v>
      </c>
      <c r="AA7" s="104" t="s">
        <v>528</v>
      </c>
      <c r="AB7" s="160">
        <f t="shared" si="5"/>
        <v>13.764000000000001</v>
      </c>
      <c r="AC7" s="160">
        <f>S84</f>
        <v>4707.1973799013722</v>
      </c>
      <c r="AD7" s="160">
        <f>S96</f>
        <v>4639.7489416666667</v>
      </c>
      <c r="AE7" s="160">
        <f>Y7*0.024*5*D12</f>
        <v>42030.792000000001</v>
      </c>
      <c r="AF7" s="160" t="e">
        <f>#REF!</f>
        <v>#REF!</v>
      </c>
      <c r="AG7" s="160" t="e">
        <f t="shared" si="1"/>
        <v>#REF!</v>
      </c>
      <c r="AH7" s="160" t="e">
        <f>#REF!</f>
        <v>#REF!</v>
      </c>
      <c r="AI7" s="160" t="e">
        <f t="shared" si="2"/>
        <v>#REF!</v>
      </c>
    </row>
    <row r="8" spans="2:44" x14ac:dyDescent="0.3">
      <c r="B8" s="472" t="s">
        <v>321</v>
      </c>
      <c r="C8" s="472"/>
      <c r="D8" s="472"/>
      <c r="J8" s="96" t="str">
        <f>Konstrukcie!A43</f>
        <v>SO4</v>
      </c>
      <c r="K8" s="470" t="str">
        <f>Konstrukcie!B43</f>
        <v>Obvodová stena Jedáleň</v>
      </c>
      <c r="L8" s="470"/>
      <c r="M8" s="470"/>
      <c r="N8" s="470"/>
      <c r="O8" s="91">
        <f>Konstrukcie!E43</f>
        <v>333</v>
      </c>
      <c r="P8" s="92">
        <f>'Konstrukcie nové'!E54</f>
        <v>0.21852237252861603</v>
      </c>
      <c r="Q8" s="93">
        <f t="shared" si="3"/>
        <v>72.767950052029136</v>
      </c>
      <c r="R8" s="242">
        <v>1</v>
      </c>
      <c r="S8" s="93">
        <f t="shared" si="4"/>
        <v>72.767950052029136</v>
      </c>
      <c r="T8" s="94"/>
      <c r="U8" s="89"/>
      <c r="X8" s="104">
        <v>17.100000000000001</v>
      </c>
      <c r="Y8" s="104">
        <v>28</v>
      </c>
      <c r="Z8" s="104">
        <f t="shared" si="0"/>
        <v>492.80000000000007</v>
      </c>
      <c r="AA8" s="104" t="s">
        <v>529</v>
      </c>
      <c r="AB8" s="160">
        <f t="shared" si="5"/>
        <v>11.827200000000001</v>
      </c>
      <c r="AC8" s="160">
        <f>S84</f>
        <v>4707.1973799013722</v>
      </c>
      <c r="AD8" s="160">
        <f>S96</f>
        <v>4639.7489416666667</v>
      </c>
      <c r="AE8" s="160">
        <f>Y8*0.024*5*D12</f>
        <v>37963.296000000002</v>
      </c>
      <c r="AF8" s="160" t="e">
        <f>#REF!</f>
        <v>#REF!</v>
      </c>
      <c r="AG8" s="160" t="e">
        <f t="shared" si="1"/>
        <v>#REF!</v>
      </c>
      <c r="AH8" s="160" t="e">
        <f>#REF!</f>
        <v>#REF!</v>
      </c>
      <c r="AI8" s="160" t="e">
        <f t="shared" si="2"/>
        <v>#REF!</v>
      </c>
    </row>
    <row r="9" spans="2:44" x14ac:dyDescent="0.3">
      <c r="B9" s="88" t="s">
        <v>322</v>
      </c>
      <c r="C9" s="243" t="s">
        <v>323</v>
      </c>
      <c r="D9" s="44">
        <v>1930.2</v>
      </c>
      <c r="F9" s="104" t="s">
        <v>530</v>
      </c>
      <c r="G9" s="142">
        <v>50</v>
      </c>
      <c r="H9" s="162" t="s">
        <v>114</v>
      </c>
      <c r="J9" s="96" t="str">
        <f>Konstrukcie!A56</f>
        <v>SO5</v>
      </c>
      <c r="K9" s="470" t="str">
        <f>Konstrukcie!B56</f>
        <v>Obvodová stena Jedáleň2</v>
      </c>
      <c r="L9" s="470"/>
      <c r="M9" s="470"/>
      <c r="N9" s="470"/>
      <c r="O9" s="91">
        <f>Konstrukcie!E56</f>
        <v>1912.6</v>
      </c>
      <c r="P9" s="92">
        <f>'Konstrukcie nové'!E67</f>
        <v>0.22173431012369296</v>
      </c>
      <c r="Q9" s="93">
        <f t="shared" si="3"/>
        <v>424.08904154257516</v>
      </c>
      <c r="R9" s="242">
        <v>1</v>
      </c>
      <c r="S9" s="93">
        <f t="shared" si="4"/>
        <v>424.08904154257516</v>
      </c>
      <c r="T9" s="94"/>
      <c r="U9" s="89"/>
      <c r="X9" s="104">
        <v>18.600000000000001</v>
      </c>
      <c r="Y9" s="104">
        <f>Y21</f>
        <v>31</v>
      </c>
      <c r="Z9" s="104">
        <f t="shared" si="0"/>
        <v>468.1</v>
      </c>
      <c r="AA9" s="104" t="s">
        <v>531</v>
      </c>
      <c r="AB9" s="160">
        <f t="shared" si="5"/>
        <v>11.234400000000001</v>
      </c>
      <c r="AC9" s="160">
        <f>S84</f>
        <v>4707.1973799013722</v>
      </c>
      <c r="AD9" s="160">
        <f>S96</f>
        <v>4639.7489416666667</v>
      </c>
      <c r="AE9" s="160">
        <f>Y9*0.024*5*D12</f>
        <v>42030.792000000001</v>
      </c>
      <c r="AF9" s="160" t="e">
        <f>#REF!</f>
        <v>#REF!</v>
      </c>
      <c r="AG9" s="160" t="e">
        <f t="shared" si="1"/>
        <v>#REF!</v>
      </c>
      <c r="AH9" s="160" t="e">
        <f>#REF!</f>
        <v>#REF!</v>
      </c>
      <c r="AI9" s="160" t="e">
        <f t="shared" si="2"/>
        <v>#REF!</v>
      </c>
    </row>
    <row r="10" spans="2:44" x14ac:dyDescent="0.3">
      <c r="B10" s="88" t="s">
        <v>324</v>
      </c>
      <c r="C10" s="243" t="s">
        <v>325</v>
      </c>
      <c r="D10" s="44">
        <f>128+134.24</f>
        <v>262.24</v>
      </c>
      <c r="F10" s="104" t="s">
        <v>532</v>
      </c>
      <c r="G10" s="142">
        <v>20</v>
      </c>
      <c r="H10" s="162" t="s">
        <v>114</v>
      </c>
      <c r="J10" s="96"/>
      <c r="K10" s="470"/>
      <c r="L10" s="470"/>
      <c r="M10" s="470"/>
      <c r="N10" s="470"/>
      <c r="O10" s="91"/>
      <c r="P10" s="92"/>
      <c r="Q10" s="93"/>
      <c r="R10" s="242"/>
      <c r="S10" s="93"/>
      <c r="T10" s="94"/>
      <c r="U10" s="89"/>
      <c r="X10" s="239">
        <v>33</v>
      </c>
      <c r="Y10" s="239">
        <f>Y22</f>
        <v>14</v>
      </c>
      <c r="Z10" s="239">
        <f t="shared" si="0"/>
        <v>247.79999999999998</v>
      </c>
      <c r="AA10" s="239" t="s">
        <v>533</v>
      </c>
      <c r="AB10" s="240">
        <f t="shared" si="5"/>
        <v>5.9471999999999996</v>
      </c>
      <c r="AC10" s="240">
        <f>S84</f>
        <v>4707.1973799013722</v>
      </c>
      <c r="AD10" s="240">
        <f>S96</f>
        <v>4639.7489416666667</v>
      </c>
      <c r="AE10" s="240">
        <f>Y10*0.024*5*D13</f>
        <v>16331.621711999998</v>
      </c>
      <c r="AF10" s="240" t="e">
        <f>#REF!</f>
        <v>#REF!</v>
      </c>
      <c r="AG10" s="240" t="e">
        <f t="shared" si="1"/>
        <v>#REF!</v>
      </c>
      <c r="AH10" s="240" t="e">
        <f>#REF!</f>
        <v>#REF!</v>
      </c>
      <c r="AI10" s="240" t="e">
        <f>((AB10*(AC10+AD10))-(AG10*AH10))*0</f>
        <v>#REF!</v>
      </c>
      <c r="AK10" s="477" t="s">
        <v>534</v>
      </c>
      <c r="AL10" s="477"/>
      <c r="AN10" s="477" t="s">
        <v>535</v>
      </c>
      <c r="AO10" s="477"/>
    </row>
    <row r="11" spans="2:44" x14ac:dyDescent="0.3">
      <c r="B11" s="88" t="s">
        <v>326</v>
      </c>
      <c r="C11" s="243" t="s">
        <v>327</v>
      </c>
      <c r="D11" s="44">
        <v>32426.9</v>
      </c>
      <c r="J11" s="96" t="str">
        <f>Konstrukcie!I1</f>
        <v>STR1</v>
      </c>
      <c r="K11" s="470" t="str">
        <f>Konstrukcie!J1</f>
        <v>Plochá strecha ŠD</v>
      </c>
      <c r="L11" s="470"/>
      <c r="M11" s="470"/>
      <c r="N11" s="470"/>
      <c r="O11" s="91">
        <f>Konstrukcie!M1</f>
        <v>825.5</v>
      </c>
      <c r="P11" s="92">
        <f>Konstrukcie!M14</f>
        <v>0.19555768862273304</v>
      </c>
      <c r="Q11" s="93">
        <f t="shared" si="3"/>
        <v>161.43287195806613</v>
      </c>
      <c r="R11" s="242">
        <v>1</v>
      </c>
      <c r="S11" s="93">
        <f t="shared" si="4"/>
        <v>161.43287195806613</v>
      </c>
      <c r="T11" s="94"/>
      <c r="U11" s="89"/>
      <c r="X11" s="117">
        <f>AVERAGE(X4:X9)</f>
        <v>20.2</v>
      </c>
      <c r="Y11" s="104">
        <f>SUM(Y4:Y10)</f>
        <v>195</v>
      </c>
      <c r="Z11" s="104">
        <f>SUM(Z4:Z10)</f>
        <v>3098.3</v>
      </c>
      <c r="AA11" s="136" t="s">
        <v>536</v>
      </c>
      <c r="AB11" s="160"/>
      <c r="AC11" s="160"/>
      <c r="AD11" s="160"/>
      <c r="AE11" s="160"/>
      <c r="AF11" s="160"/>
      <c r="AG11" s="160"/>
      <c r="AH11" s="160" t="e">
        <f>AVERAGE(AH4:AH10)</f>
        <v>#REF!</v>
      </c>
      <c r="AI11" s="150" t="e">
        <f>SUM(AI4:AI10)</f>
        <v>#REF!</v>
      </c>
      <c r="AK11" s="160" t="e">
        <f>#REF!*1000</f>
        <v>#REF!</v>
      </c>
      <c r="AL11" s="104" t="s">
        <v>537</v>
      </c>
      <c r="AN11" s="225" t="e">
        <f>PotrebaEnergieTV!C10</f>
        <v>#REF!</v>
      </c>
      <c r="AO11" s="104" t="s">
        <v>538</v>
      </c>
    </row>
    <row r="12" spans="2:44" x14ac:dyDescent="0.3">
      <c r="B12" s="88" t="s">
        <v>328</v>
      </c>
      <c r="C12" s="243" t="s">
        <v>329</v>
      </c>
      <c r="D12" s="44">
        <v>11298.6</v>
      </c>
      <c r="J12" s="96" t="str">
        <f>Konstrukcie!I16</f>
        <v>STR2</v>
      </c>
      <c r="K12" s="470" t="str">
        <f>Konstrukcie!J16</f>
        <v>Strecha Jedáleň</v>
      </c>
      <c r="L12" s="470"/>
      <c r="M12" s="470"/>
      <c r="N12" s="470"/>
      <c r="O12" s="91">
        <f>Konstrukcie!M16</f>
        <v>1104.7</v>
      </c>
      <c r="P12" s="92">
        <f>Konstrukcie!M29</f>
        <v>0.19941579034550028</v>
      </c>
      <c r="Q12" s="93">
        <f t="shared" si="3"/>
        <v>220.29462359467416</v>
      </c>
      <c r="R12" s="242">
        <v>1</v>
      </c>
      <c r="S12" s="93">
        <f t="shared" si="4"/>
        <v>220.29462359467416</v>
      </c>
      <c r="T12" s="94"/>
      <c r="U12" s="89"/>
      <c r="W12" s="117"/>
      <c r="Y12" s="117"/>
      <c r="AI12" s="223" t="e">
        <f>AI11/D12</f>
        <v>#REF!</v>
      </c>
      <c r="AJ12" s="117" t="s">
        <v>539</v>
      </c>
      <c r="AK12" s="224">
        <v>0.8</v>
      </c>
      <c r="AL12" s="162"/>
      <c r="AN12" s="237"/>
    </row>
    <row r="13" spans="2:44" x14ac:dyDescent="0.3">
      <c r="B13" s="245" t="s">
        <v>330</v>
      </c>
      <c r="C13" s="243" t="s">
        <v>331</v>
      </c>
      <c r="D13" s="46">
        <f>O76</f>
        <v>9721.2033999999985</v>
      </c>
      <c r="J13" s="96">
        <f>Konstrukcie!I31</f>
        <v>0</v>
      </c>
      <c r="K13" s="470">
        <f>Konstrukcie!J31</f>
        <v>0</v>
      </c>
      <c r="L13" s="470"/>
      <c r="M13" s="470"/>
      <c r="N13" s="470"/>
      <c r="O13" s="91">
        <f>Konstrukcie!M31</f>
        <v>0</v>
      </c>
      <c r="P13" s="92">
        <f>Konstrukcie!M43</f>
        <v>0</v>
      </c>
      <c r="Q13" s="93">
        <f t="shared" si="3"/>
        <v>0</v>
      </c>
      <c r="R13" s="242">
        <v>1</v>
      </c>
      <c r="S13" s="93">
        <f t="shared" si="4"/>
        <v>0</v>
      </c>
      <c r="T13" s="94"/>
      <c r="U13" s="89"/>
      <c r="W13" s="117"/>
      <c r="X13" s="478" t="s">
        <v>540</v>
      </c>
      <c r="Y13" s="478"/>
      <c r="Z13" s="478"/>
      <c r="AA13" s="478"/>
      <c r="AI13" s="236"/>
      <c r="AK13" s="213" t="e">
        <f>AK11*AK12</f>
        <v>#REF!</v>
      </c>
      <c r="AL13" s="218" t="s">
        <v>537</v>
      </c>
    </row>
    <row r="14" spans="2:44" x14ac:dyDescent="0.3">
      <c r="B14" s="88" t="s">
        <v>332</v>
      </c>
      <c r="C14" s="243" t="s">
        <v>333</v>
      </c>
      <c r="D14" s="47">
        <f>D13/D11</f>
        <v>0.29978824371123969</v>
      </c>
      <c r="J14" s="96">
        <f>Konstrukcie!I45</f>
        <v>0</v>
      </c>
      <c r="K14" s="470">
        <f>Konstrukcie!J45</f>
        <v>0</v>
      </c>
      <c r="L14" s="470"/>
      <c r="M14" s="470"/>
      <c r="N14" s="470"/>
      <c r="O14" s="91">
        <f>Konstrukcie!M45</f>
        <v>0</v>
      </c>
      <c r="P14" s="92">
        <f>Konstrukcie!M58</f>
        <v>0</v>
      </c>
      <c r="Q14" s="93">
        <f t="shared" si="3"/>
        <v>0</v>
      </c>
      <c r="R14" s="242">
        <v>1</v>
      </c>
      <c r="S14" s="93">
        <f t="shared" si="4"/>
        <v>0</v>
      </c>
      <c r="T14" s="94"/>
      <c r="U14" s="89"/>
      <c r="W14" s="117"/>
      <c r="X14" s="253" t="s">
        <v>511</v>
      </c>
      <c r="Y14" s="253" t="s">
        <v>541</v>
      </c>
      <c r="Z14" s="253" t="s">
        <v>542</v>
      </c>
      <c r="AA14" s="253" t="s">
        <v>108</v>
      </c>
      <c r="AK14" s="232" t="e">
        <f>AI11+AN11</f>
        <v>#REF!</v>
      </c>
      <c r="AL14" s="228" t="s">
        <v>543</v>
      </c>
      <c r="AN14" s="477" t="s">
        <v>544</v>
      </c>
      <c r="AO14" s="477"/>
      <c r="AQ14" s="477" t="s">
        <v>545</v>
      </c>
      <c r="AR14" s="477"/>
    </row>
    <row r="15" spans="2:44" x14ac:dyDescent="0.3">
      <c r="B15" s="88" t="s">
        <v>546</v>
      </c>
      <c r="C15" s="243"/>
      <c r="D15" s="44">
        <v>3</v>
      </c>
      <c r="J15" s="96">
        <f>Konstrukcie!I60</f>
        <v>0</v>
      </c>
      <c r="K15" s="470">
        <f>Konstrukcie!J60</f>
        <v>0</v>
      </c>
      <c r="L15" s="470"/>
      <c r="M15" s="470"/>
      <c r="N15" s="470"/>
      <c r="O15" s="91">
        <f>Konstrukcie!M60</f>
        <v>0</v>
      </c>
      <c r="P15" s="92">
        <f>Konstrukcie!M72</f>
        <v>0</v>
      </c>
      <c r="Q15" s="93">
        <f t="shared" si="3"/>
        <v>0</v>
      </c>
      <c r="R15" s="242">
        <v>1</v>
      </c>
      <c r="S15" s="93">
        <f t="shared" si="4"/>
        <v>0</v>
      </c>
      <c r="T15" s="94"/>
      <c r="U15" s="89"/>
      <c r="W15" s="117"/>
      <c r="X15" s="253" t="s">
        <v>547</v>
      </c>
      <c r="Y15" s="104">
        <v>6</v>
      </c>
      <c r="Z15" s="104">
        <v>15.6</v>
      </c>
      <c r="AA15" s="104">
        <f>(20-Z15)*Y15</f>
        <v>26.400000000000002</v>
      </c>
      <c r="AF15" s="235"/>
      <c r="AK15" s="477" t="s">
        <v>615</v>
      </c>
      <c r="AL15" s="477"/>
      <c r="AN15" s="225" t="e">
        <f>'PotrebEnergieVYK 2018'!C3</f>
        <v>#REF!</v>
      </c>
      <c r="AO15" s="104" t="s">
        <v>538</v>
      </c>
      <c r="AQ15" s="225" t="e">
        <f>PotrebaEnergieTV!C3</f>
        <v>#REF!</v>
      </c>
      <c r="AR15" s="104" t="s">
        <v>538</v>
      </c>
    </row>
    <row r="16" spans="2:44" x14ac:dyDescent="0.3">
      <c r="B16" s="245" t="s">
        <v>335</v>
      </c>
      <c r="C16" s="243" t="s">
        <v>336</v>
      </c>
      <c r="D16" s="45">
        <v>2.87</v>
      </c>
      <c r="J16" s="96">
        <f>Konstrukcie!I74</f>
        <v>0</v>
      </c>
      <c r="K16" s="470">
        <f>Konstrukcie!J74</f>
        <v>0</v>
      </c>
      <c r="L16" s="470"/>
      <c r="M16" s="470"/>
      <c r="N16" s="470"/>
      <c r="O16" s="91">
        <f>Konstrukcie!M74</f>
        <v>0</v>
      </c>
      <c r="P16" s="92">
        <f>Konstrukcie!M86</f>
        <v>0</v>
      </c>
      <c r="Q16" s="93">
        <f t="shared" si="3"/>
        <v>0</v>
      </c>
      <c r="R16" s="242">
        <v>1</v>
      </c>
      <c r="S16" s="93">
        <f t="shared" si="4"/>
        <v>0</v>
      </c>
      <c r="T16" s="94"/>
      <c r="U16" s="89"/>
      <c r="W16" s="117"/>
      <c r="X16" s="136" t="s">
        <v>525</v>
      </c>
      <c r="Y16" s="136">
        <v>30</v>
      </c>
      <c r="Z16" s="136">
        <v>11.9</v>
      </c>
      <c r="AA16" s="136">
        <f t="shared" ref="AA16:AA21" si="6">(X4-Z16)*Y16</f>
        <v>338.99999999999994</v>
      </c>
      <c r="AF16" s="236"/>
      <c r="AK16" s="261" t="e">
        <f>AK13-AN11</f>
        <v>#REF!</v>
      </c>
      <c r="AL16" s="260" t="s">
        <v>543</v>
      </c>
    </row>
    <row r="17" spans="2:41" x14ac:dyDescent="0.3">
      <c r="J17" s="96"/>
      <c r="K17" s="470"/>
      <c r="L17" s="470"/>
      <c r="M17" s="470"/>
      <c r="N17" s="470"/>
      <c r="O17" s="91"/>
      <c r="P17" s="92"/>
      <c r="Q17" s="93">
        <f t="shared" si="3"/>
        <v>0</v>
      </c>
      <c r="R17" s="242">
        <v>1</v>
      </c>
      <c r="S17" s="93">
        <f t="shared" si="4"/>
        <v>0</v>
      </c>
      <c r="T17" s="94"/>
      <c r="U17" s="89"/>
      <c r="W17" s="117"/>
      <c r="X17" s="136" t="s">
        <v>526</v>
      </c>
      <c r="Y17" s="136">
        <v>30</v>
      </c>
      <c r="Z17" s="136">
        <v>5.9</v>
      </c>
      <c r="AA17" s="136">
        <f t="shared" si="6"/>
        <v>447</v>
      </c>
      <c r="AF17" s="236"/>
      <c r="AN17" s="477" t="s">
        <v>548</v>
      </c>
      <c r="AO17" s="477"/>
    </row>
    <row r="18" spans="2:41" x14ac:dyDescent="0.3">
      <c r="B18" s="349" t="s">
        <v>337</v>
      </c>
      <c r="C18" s="350"/>
      <c r="D18" s="350"/>
      <c r="E18" s="350"/>
      <c r="F18" s="350"/>
      <c r="G18" s="351"/>
      <c r="H18" s="24"/>
      <c r="I18" s="24"/>
      <c r="J18" s="96" t="str">
        <f>Konstrukcie!Q1</f>
        <v>PDL1</v>
      </c>
      <c r="K18" s="470" t="str">
        <f>Konstrukcie!R1</f>
        <v>Podlaha na teréne ŽS</v>
      </c>
      <c r="L18" s="470"/>
      <c r="M18" s="470"/>
      <c r="N18" s="470"/>
      <c r="O18" s="91">
        <f>Konstrukcie!U1</f>
        <v>825.5</v>
      </c>
      <c r="P18" s="92">
        <f>Konstrukcie!U15</f>
        <v>0.26</v>
      </c>
      <c r="Q18" s="93">
        <f t="shared" si="3"/>
        <v>214.63</v>
      </c>
      <c r="R18" s="242">
        <v>1</v>
      </c>
      <c r="S18" s="93">
        <f t="shared" si="4"/>
        <v>214.63</v>
      </c>
      <c r="T18" s="94"/>
      <c r="U18" s="89"/>
      <c r="W18" s="117"/>
      <c r="X18" s="136" t="s">
        <v>527</v>
      </c>
      <c r="Y18" s="136">
        <v>31</v>
      </c>
      <c r="Z18" s="136">
        <v>2.7</v>
      </c>
      <c r="AA18" s="136">
        <f t="shared" si="6"/>
        <v>530.1</v>
      </c>
      <c r="AN18" s="157" t="e">
        <f>AN15+AQ15</f>
        <v>#REF!</v>
      </c>
      <c r="AO18" s="153" t="s">
        <v>538</v>
      </c>
    </row>
    <row r="19" spans="2:41" x14ac:dyDescent="0.3">
      <c r="B19" s="368" t="s">
        <v>338</v>
      </c>
      <c r="C19" s="368"/>
      <c r="D19" s="243">
        <f>C6-3</f>
        <v>2015</v>
      </c>
      <c r="E19" s="243">
        <f>C6-2</f>
        <v>2016</v>
      </c>
      <c r="F19" s="243">
        <f>C6-1</f>
        <v>2017</v>
      </c>
      <c r="G19" s="52" t="s">
        <v>339</v>
      </c>
      <c r="J19" s="96" t="str">
        <f>Konstrukcie!Q17</f>
        <v>PDL2</v>
      </c>
      <c r="K19" s="470" t="str">
        <f>Konstrukcie!R17</f>
        <v>Podlaha na teréne Jedáleň</v>
      </c>
      <c r="L19" s="470"/>
      <c r="M19" s="470"/>
      <c r="N19" s="470"/>
      <c r="O19" s="91">
        <f>Konstrukcie!U17</f>
        <v>1104.7</v>
      </c>
      <c r="P19" s="92">
        <f>Konstrukcie!U28</f>
        <v>0.22</v>
      </c>
      <c r="Q19" s="93">
        <f t="shared" si="3"/>
        <v>243.03400000000002</v>
      </c>
      <c r="R19" s="242">
        <v>1</v>
      </c>
      <c r="S19" s="93">
        <f t="shared" si="4"/>
        <v>243.03400000000002</v>
      </c>
      <c r="T19" s="94"/>
      <c r="U19" s="89"/>
      <c r="W19" s="219"/>
      <c r="X19" s="136" t="s">
        <v>528</v>
      </c>
      <c r="Y19" s="136">
        <v>31</v>
      </c>
      <c r="Z19" s="136">
        <v>3.2</v>
      </c>
      <c r="AA19" s="136">
        <f t="shared" si="6"/>
        <v>573.5</v>
      </c>
    </row>
    <row r="20" spans="2:41" ht="15" thickBot="1" x14ac:dyDescent="0.35">
      <c r="B20" s="368" t="s">
        <v>340</v>
      </c>
      <c r="C20" s="368"/>
      <c r="D20" s="53">
        <f>VLOOKUP($C$3,Dennostupne!B1:AR81,D24,FALSE)</f>
        <v>183</v>
      </c>
      <c r="E20" s="53">
        <f>VLOOKUP($C$3,Dennostupne!B1:AR81,E24,FALSE)</f>
        <v>205</v>
      </c>
      <c r="F20" s="53">
        <f>VLOOKUP($C$3,Dennostupne!B1:AR81,F24,FALSE)</f>
        <v>207</v>
      </c>
      <c r="G20" s="54">
        <f>SUM(D20:F20)/COUNT(D20:F20)</f>
        <v>198.33333333333334</v>
      </c>
      <c r="J20" s="96">
        <f>Konstrukcie!Q30</f>
        <v>0</v>
      </c>
      <c r="K20" s="470">
        <f>Konstrukcie!R30</f>
        <v>0</v>
      </c>
      <c r="L20" s="470"/>
      <c r="M20" s="470"/>
      <c r="N20" s="470"/>
      <c r="O20" s="91">
        <f>Konstrukcie!U30</f>
        <v>0</v>
      </c>
      <c r="P20" s="92">
        <f>Konstrukcie!U41</f>
        <v>0</v>
      </c>
      <c r="Q20" s="93">
        <f t="shared" si="3"/>
        <v>0</v>
      </c>
      <c r="R20" s="242">
        <v>1</v>
      </c>
      <c r="S20" s="93">
        <f t="shared" si="4"/>
        <v>0</v>
      </c>
      <c r="T20" s="94"/>
      <c r="U20" s="89"/>
      <c r="X20" s="136" t="s">
        <v>529</v>
      </c>
      <c r="Y20" s="136">
        <v>28</v>
      </c>
      <c r="Z20" s="136">
        <v>-0.5</v>
      </c>
      <c r="AA20" s="136">
        <f t="shared" si="6"/>
        <v>492.80000000000007</v>
      </c>
    </row>
    <row r="21" spans="2:41" ht="15" x14ac:dyDescent="0.35">
      <c r="B21" s="368" t="s">
        <v>341</v>
      </c>
      <c r="C21" s="368"/>
      <c r="D21" s="55">
        <f>VLOOKUP($C$3,Dennostupne!B3:AR81,D24+1,FALSE)</f>
        <v>5.6</v>
      </c>
      <c r="E21" s="55">
        <f>VLOOKUP($C$3,Dennostupne!B3:AR81,E24+1,FALSE)</f>
        <v>5.3</v>
      </c>
      <c r="F21" s="55">
        <f>VLOOKUP($C$3,Dennostupne!B3:AR81,F24+1,FALSE)</f>
        <v>5.5</v>
      </c>
      <c r="G21" s="56">
        <f>SUM(D21:F21)/COUNT(D21:F21)</f>
        <v>5.4666666666666659</v>
      </c>
      <c r="J21" s="96"/>
      <c r="K21" s="470"/>
      <c r="L21" s="470"/>
      <c r="M21" s="470"/>
      <c r="N21" s="470"/>
      <c r="O21" s="91"/>
      <c r="P21" s="92"/>
      <c r="Q21" s="93"/>
      <c r="R21" s="242"/>
      <c r="S21" s="93"/>
      <c r="T21" s="110" t="s">
        <v>118</v>
      </c>
      <c r="U21" s="111" t="s">
        <v>549</v>
      </c>
      <c r="X21" s="136" t="s">
        <v>531</v>
      </c>
      <c r="Y21" s="136">
        <v>31</v>
      </c>
      <c r="Z21" s="136">
        <v>3.5</v>
      </c>
      <c r="AA21" s="136">
        <f t="shared" si="6"/>
        <v>468.1</v>
      </c>
    </row>
    <row r="22" spans="2:41" x14ac:dyDescent="0.3">
      <c r="B22" s="368" t="s">
        <v>342</v>
      </c>
      <c r="C22" s="368"/>
      <c r="D22" s="57">
        <f>IF(ISNUMBER(D21),(VstupneUdaje!O16-D21)*D20,"-")</f>
        <v>2635.2000000000003</v>
      </c>
      <c r="E22" s="57">
        <f>IF(ISNUMBER(E21),(VstupneUdaje!O16-E21)*E20,"-")</f>
        <v>3013.5</v>
      </c>
      <c r="F22" s="57">
        <f>IF(ISNUMBER(F21),(VstupneUdaje!O16-F21)*F20,"-")</f>
        <v>3001.5</v>
      </c>
      <c r="G22" s="57">
        <f>AVERAGE(D22:F22)</f>
        <v>2883.4</v>
      </c>
      <c r="J22" s="96" t="str">
        <f>OtvoroveKonstrukcie!A3</f>
        <v>OO1</v>
      </c>
      <c r="K22" s="470" t="str">
        <f>OtvoroveKonstrukcie!B3</f>
        <v>plastové, izolačné 2-sklo</v>
      </c>
      <c r="L22" s="470"/>
      <c r="M22" s="470"/>
      <c r="N22" s="470"/>
      <c r="O22" s="91">
        <f>OtvoroveKonstrukcie!O3</f>
        <v>225</v>
      </c>
      <c r="P22" s="92">
        <f>OtvoroveKonstrukcie!N3</f>
        <v>1.5</v>
      </c>
      <c r="Q22" s="93">
        <f t="shared" si="3"/>
        <v>337.5</v>
      </c>
      <c r="R22" s="242">
        <v>1</v>
      </c>
      <c r="S22" s="93">
        <f t="shared" si="4"/>
        <v>337.5</v>
      </c>
      <c r="T22" s="108">
        <v>1</v>
      </c>
      <c r="U22" s="109">
        <f>OtvoroveKonstrukcie!Q3</f>
        <v>5.4</v>
      </c>
      <c r="V22" s="104">
        <f t="shared" ref="V22:V67" si="7">(T22*U22)*0.0001</f>
        <v>5.4000000000000012E-4</v>
      </c>
      <c r="X22" s="136" t="s">
        <v>533</v>
      </c>
      <c r="Y22" s="136">
        <v>14</v>
      </c>
      <c r="Z22" s="136">
        <v>15.3</v>
      </c>
      <c r="AA22" s="136">
        <f>(X10-Z22)*Y22</f>
        <v>247.79999999999998</v>
      </c>
    </row>
    <row r="23" spans="2:41" ht="16.2" customHeight="1" x14ac:dyDescent="0.3">
      <c r="D23" s="62">
        <f>$G22</f>
        <v>2883.4</v>
      </c>
      <c r="E23" s="62">
        <f>$G22</f>
        <v>2883.4</v>
      </c>
      <c r="F23" s="62">
        <f>$G22</f>
        <v>2883.4</v>
      </c>
      <c r="J23" s="96" t="str">
        <f>OtvoroveKonstrukcie!A4</f>
        <v>OO2</v>
      </c>
      <c r="K23" s="470" t="str">
        <f>OtvoroveKonstrukcie!B4</f>
        <v>plastové, izolačné 2-sklo</v>
      </c>
      <c r="L23" s="470"/>
      <c r="M23" s="470"/>
      <c r="N23" s="470"/>
      <c r="O23" s="91">
        <f>OtvoroveKonstrukcie!O4</f>
        <v>2.7</v>
      </c>
      <c r="P23" s="92">
        <f>OtvoroveKonstrukcie!N4</f>
        <v>1.5</v>
      </c>
      <c r="Q23" s="93">
        <f t="shared" si="3"/>
        <v>4.0500000000000007</v>
      </c>
      <c r="R23" s="242">
        <v>1</v>
      </c>
      <c r="S23" s="93">
        <f t="shared" si="4"/>
        <v>4.0500000000000007</v>
      </c>
      <c r="T23" s="108">
        <v>1</v>
      </c>
      <c r="U23" s="109">
        <f>OtvoroveKonstrukcie!Q4</f>
        <v>4.32</v>
      </c>
      <c r="V23" s="104">
        <f t="shared" si="7"/>
        <v>4.3200000000000004E-4</v>
      </c>
      <c r="X23" s="104" t="s">
        <v>550</v>
      </c>
      <c r="Y23" s="104">
        <v>2</v>
      </c>
      <c r="Z23" s="104">
        <v>18.8</v>
      </c>
      <c r="AA23" s="104">
        <f>(20-Z23)*Y23</f>
        <v>2.3999999999999986</v>
      </c>
    </row>
    <row r="24" spans="2:41" x14ac:dyDescent="0.3">
      <c r="D24" s="65">
        <f>MATCH(D19,Dennostupne!B1:AR1)</f>
        <v>34</v>
      </c>
      <c r="E24" s="65">
        <f>MATCH(E19,Dennostupne!B1:AR1)</f>
        <v>36</v>
      </c>
      <c r="F24" s="65">
        <f>MATCH(F19,Dennostupne!B1:AR1)</f>
        <v>38</v>
      </c>
      <c r="J24" s="96" t="str">
        <f>OtvoroveKonstrukcie!A5</f>
        <v>OO3</v>
      </c>
      <c r="K24" s="470" t="str">
        <f>OtvoroveKonstrukcie!B5</f>
        <v>plastové, izolačné 2-sklo</v>
      </c>
      <c r="L24" s="470"/>
      <c r="M24" s="470"/>
      <c r="N24" s="470"/>
      <c r="O24" s="91">
        <f>OtvoroveKonstrukcie!O5</f>
        <v>50.400000000000006</v>
      </c>
      <c r="P24" s="92">
        <f>OtvoroveKonstrukcie!N5</f>
        <v>1.5</v>
      </c>
      <c r="Q24" s="93">
        <f t="shared" si="3"/>
        <v>75.600000000000009</v>
      </c>
      <c r="R24" s="242">
        <v>1</v>
      </c>
      <c r="S24" s="93">
        <f t="shared" si="4"/>
        <v>75.600000000000009</v>
      </c>
      <c r="T24" s="108">
        <v>1</v>
      </c>
      <c r="U24" s="109">
        <f>OtvoroveKonstrukcie!Q5</f>
        <v>6.48</v>
      </c>
      <c r="V24" s="104">
        <f t="shared" si="7"/>
        <v>6.4800000000000003E-4</v>
      </c>
      <c r="X24" s="117"/>
      <c r="Y24" s="136">
        <f>SUM(Y15:Y23)</f>
        <v>203</v>
      </c>
      <c r="Z24" s="141">
        <f>AVERAGE(Z15:Z23)</f>
        <v>8.4888888888888889</v>
      </c>
      <c r="AA24" s="136">
        <f>SUM(AA15:AA23)</f>
        <v>3127.1000000000004</v>
      </c>
    </row>
    <row r="25" spans="2:41" x14ac:dyDescent="0.3">
      <c r="J25" s="96" t="str">
        <f>OtvoroveKonstrukcie!A6</f>
        <v>OO4</v>
      </c>
      <c r="K25" s="470" t="str">
        <f>OtvoroveKonstrukcie!B6</f>
        <v>plastové, izolačné 2-sklo</v>
      </c>
      <c r="L25" s="470"/>
      <c r="M25" s="470"/>
      <c r="N25" s="470"/>
      <c r="O25" s="91">
        <f>OtvoroveKonstrukcie!O6</f>
        <v>18</v>
      </c>
      <c r="P25" s="92">
        <f>OtvoroveKonstrukcie!N6</f>
        <v>1.5</v>
      </c>
      <c r="Q25" s="93">
        <f t="shared" si="3"/>
        <v>27</v>
      </c>
      <c r="R25" s="242">
        <v>1</v>
      </c>
      <c r="S25" s="93">
        <f t="shared" si="4"/>
        <v>27</v>
      </c>
      <c r="T25" s="108">
        <v>1</v>
      </c>
      <c r="U25" s="109">
        <f>OtvoroveKonstrukcie!Q6</f>
        <v>8.1</v>
      </c>
      <c r="V25" s="104">
        <f t="shared" si="7"/>
        <v>8.0999999999999996E-4</v>
      </c>
    </row>
    <row r="26" spans="2:41" x14ac:dyDescent="0.3">
      <c r="J26" s="96" t="str">
        <f>OtvoroveKonstrukcie!A7</f>
        <v>OO5</v>
      </c>
      <c r="K26" s="470" t="str">
        <f>OtvoroveKonstrukcie!B7</f>
        <v>plastové, izolačné 2-sklo</v>
      </c>
      <c r="L26" s="470"/>
      <c r="M26" s="470"/>
      <c r="N26" s="470"/>
      <c r="O26" s="91">
        <f>OtvoroveKonstrukcie!O7</f>
        <v>3.24</v>
      </c>
      <c r="P26" s="92">
        <f>OtvoroveKonstrukcie!N7</f>
        <v>1.5</v>
      </c>
      <c r="Q26" s="93">
        <f t="shared" si="3"/>
        <v>4.8600000000000003</v>
      </c>
      <c r="R26" s="242">
        <v>1</v>
      </c>
      <c r="S26" s="93">
        <f t="shared" si="4"/>
        <v>4.8600000000000003</v>
      </c>
      <c r="T26" s="108">
        <v>1</v>
      </c>
      <c r="U26" s="109">
        <f>OtvoroveKonstrukcie!Q7</f>
        <v>3.7800000000000002</v>
      </c>
      <c r="V26" s="104">
        <f t="shared" si="7"/>
        <v>3.7800000000000003E-4</v>
      </c>
    </row>
    <row r="27" spans="2:41" x14ac:dyDescent="0.3">
      <c r="J27" s="96" t="str">
        <f>OtvoroveKonstrukcie!A8</f>
        <v>OO6</v>
      </c>
      <c r="K27" s="470" t="str">
        <f>OtvoroveKonstrukcie!B8</f>
        <v>plastové, izolačné 2-sklo</v>
      </c>
      <c r="L27" s="470"/>
      <c r="M27" s="470"/>
      <c r="N27" s="470"/>
      <c r="O27" s="91">
        <f>OtvoroveKonstrukcie!O8</f>
        <v>1.89</v>
      </c>
      <c r="P27" s="92">
        <f>OtvoroveKonstrukcie!N8</f>
        <v>1.5</v>
      </c>
      <c r="Q27" s="93">
        <f t="shared" si="3"/>
        <v>2.835</v>
      </c>
      <c r="R27" s="242">
        <v>1</v>
      </c>
      <c r="S27" s="93">
        <f t="shared" si="4"/>
        <v>2.835</v>
      </c>
      <c r="T27" s="108">
        <v>1</v>
      </c>
      <c r="U27" s="109">
        <f>OtvoroveKonstrukcie!Q8</f>
        <v>4.95</v>
      </c>
      <c r="V27" s="104">
        <f t="shared" si="7"/>
        <v>4.95E-4</v>
      </c>
    </row>
    <row r="28" spans="2:41" x14ac:dyDescent="0.3">
      <c r="J28" s="96" t="str">
        <f>OtvoroveKonstrukcie!A9</f>
        <v>OO7</v>
      </c>
      <c r="K28" s="470" t="str">
        <f>OtvoroveKonstrukcie!B9</f>
        <v>plastové, izolačné 2-sklo</v>
      </c>
      <c r="L28" s="470"/>
      <c r="M28" s="470"/>
      <c r="N28" s="470"/>
      <c r="O28" s="91">
        <f>OtvoroveKonstrukcie!O9</f>
        <v>8.1000000000000014</v>
      </c>
      <c r="P28" s="92">
        <f>OtvoroveKonstrukcie!N9</f>
        <v>1.5</v>
      </c>
      <c r="Q28" s="93">
        <f t="shared" si="3"/>
        <v>12.150000000000002</v>
      </c>
      <c r="R28" s="242">
        <v>1</v>
      </c>
      <c r="S28" s="93">
        <f t="shared" si="4"/>
        <v>12.150000000000002</v>
      </c>
      <c r="T28" s="108">
        <v>1</v>
      </c>
      <c r="U28" s="109">
        <f>OtvoroveKonstrukcie!Q9</f>
        <v>5.13</v>
      </c>
      <c r="V28" s="104">
        <f t="shared" si="7"/>
        <v>5.13E-4</v>
      </c>
      <c r="X28">
        <v>2017</v>
      </c>
    </row>
    <row r="29" spans="2:41" x14ac:dyDescent="0.3">
      <c r="J29" s="96" t="str">
        <f>OtvoroveKonstrukcie!A10</f>
        <v>OO8</v>
      </c>
      <c r="K29" s="470" t="str">
        <f>OtvoroveKonstrukcie!B10</f>
        <v>plastové, izolačné 2-sklo</v>
      </c>
      <c r="L29" s="470"/>
      <c r="M29" s="470"/>
      <c r="N29" s="470"/>
      <c r="O29" s="91">
        <f>OtvoroveKonstrukcie!O10</f>
        <v>0.89999999999999991</v>
      </c>
      <c r="P29" s="92">
        <f>OtvoroveKonstrukcie!N10</f>
        <v>1.5</v>
      </c>
      <c r="Q29" s="93">
        <f t="shared" si="3"/>
        <v>1.3499999999999999</v>
      </c>
      <c r="R29" s="242">
        <v>1</v>
      </c>
      <c r="S29" s="93">
        <f t="shared" si="4"/>
        <v>1.3499999999999999</v>
      </c>
      <c r="T29" s="108">
        <v>1</v>
      </c>
      <c r="U29" s="109">
        <f>OtvoroveKonstrukcie!Q10</f>
        <v>3.7800000000000002</v>
      </c>
      <c r="V29" s="104">
        <f t="shared" si="7"/>
        <v>3.7800000000000003E-4</v>
      </c>
      <c r="X29" s="473" t="s">
        <v>500</v>
      </c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5"/>
    </row>
    <row r="30" spans="2:41" x14ac:dyDescent="0.3">
      <c r="J30" s="96" t="str">
        <f>OtvoroveKonstrukcie!A11</f>
        <v>OO9</v>
      </c>
      <c r="K30" s="470" t="str">
        <f>OtvoroveKonstrukcie!B11</f>
        <v>plastové, izolačné 2-sklo</v>
      </c>
      <c r="L30" s="470"/>
      <c r="M30" s="470"/>
      <c r="N30" s="470"/>
      <c r="O30" s="91">
        <f>OtvoroveKonstrukcie!O11</f>
        <v>16.200000000000003</v>
      </c>
      <c r="P30" s="92">
        <f>OtvoroveKonstrukcie!N11</f>
        <v>1.5</v>
      </c>
      <c r="Q30" s="93">
        <f t="shared" si="3"/>
        <v>24.300000000000004</v>
      </c>
      <c r="R30" s="242">
        <v>1</v>
      </c>
      <c r="S30" s="93">
        <f t="shared" si="4"/>
        <v>24.300000000000004</v>
      </c>
      <c r="T30" s="108">
        <v>1</v>
      </c>
      <c r="U30" s="109">
        <f>OtvoroveKonstrukcie!Q11</f>
        <v>7.5600000000000005</v>
      </c>
      <c r="V30" s="104">
        <f t="shared" si="7"/>
        <v>7.5600000000000005E-4</v>
      </c>
      <c r="X30" s="162" t="s">
        <v>508</v>
      </c>
      <c r="Y30" s="104" t="s">
        <v>509</v>
      </c>
      <c r="Z30" s="104" t="s">
        <v>510</v>
      </c>
      <c r="AA30" s="104" t="s">
        <v>511</v>
      </c>
      <c r="AB30" s="104" t="s">
        <v>512</v>
      </c>
      <c r="AC30" s="104" t="s">
        <v>513</v>
      </c>
      <c r="AD30" s="104" t="s">
        <v>514</v>
      </c>
      <c r="AE30" s="104" t="s">
        <v>515</v>
      </c>
      <c r="AF30" s="104" t="s">
        <v>516</v>
      </c>
      <c r="AG30" s="104" t="s">
        <v>517</v>
      </c>
      <c r="AH30" s="215" t="s">
        <v>518</v>
      </c>
      <c r="AI30" s="104" t="s">
        <v>519</v>
      </c>
    </row>
    <row r="31" spans="2:41" x14ac:dyDescent="0.3">
      <c r="J31" s="96" t="str">
        <f>OtvoroveKonstrukcie!A12</f>
        <v>OO10</v>
      </c>
      <c r="K31" s="470" t="str">
        <f>OtvoroveKonstrukcie!B12</f>
        <v>plastové, izolačné 2-sklo</v>
      </c>
      <c r="L31" s="470"/>
      <c r="M31" s="470"/>
      <c r="N31" s="470"/>
      <c r="O31" s="91">
        <f>OtvoroveKonstrukcie!O12</f>
        <v>2.0100000000000002</v>
      </c>
      <c r="P31" s="92">
        <f>OtvoroveKonstrukcie!N12</f>
        <v>1.5</v>
      </c>
      <c r="Q31" s="93">
        <f t="shared" si="3"/>
        <v>3.0150000000000006</v>
      </c>
      <c r="R31" s="242">
        <v>1</v>
      </c>
      <c r="S31" s="93">
        <f t="shared" si="4"/>
        <v>3.0150000000000006</v>
      </c>
      <c r="T31" s="108">
        <v>1</v>
      </c>
      <c r="U31" s="109">
        <f>OtvoroveKonstrukcie!Q12</f>
        <v>5.1120000000000001</v>
      </c>
      <c r="V31" s="104">
        <f t="shared" si="7"/>
        <v>5.1120000000000007E-4</v>
      </c>
      <c r="X31" s="104">
        <v>23.5</v>
      </c>
      <c r="Y31" s="104">
        <v>23</v>
      </c>
      <c r="Z31" s="104">
        <f t="shared" ref="Z31:Z37" si="8">AA43</f>
        <v>348</v>
      </c>
      <c r="AA31" s="104" t="s">
        <v>525</v>
      </c>
      <c r="AB31" s="160">
        <f>Z31*0.024</f>
        <v>8.3520000000000003</v>
      </c>
      <c r="AC31" s="160">
        <f>S84</f>
        <v>4707.1973799013722</v>
      </c>
      <c r="AD31" s="160">
        <f>S96</f>
        <v>4639.7489416666667</v>
      </c>
      <c r="AE31" s="160">
        <f>Y31*0.024*5*D12</f>
        <v>31184.136000000002</v>
      </c>
      <c r="AF31" s="160" t="e">
        <f>#REF!</f>
        <v>#REF!</v>
      </c>
      <c r="AG31" s="160" t="e">
        <f t="shared" ref="AG31:AG37" si="9">AE31+AF31</f>
        <v>#REF!</v>
      </c>
      <c r="AH31" s="160" t="e">
        <f>#REF!</f>
        <v>#REF!</v>
      </c>
      <c r="AI31" s="160" t="e">
        <f t="shared" ref="AI31:AI36" si="10">(AB31*(AC31+AD31))-(AG31*AH31)</f>
        <v>#REF!</v>
      </c>
    </row>
    <row r="32" spans="2:41" x14ac:dyDescent="0.3">
      <c r="J32" s="96" t="str">
        <f>OtvoroveKonstrukcie!A13</f>
        <v>OO11</v>
      </c>
      <c r="K32" s="470" t="str">
        <f>OtvoroveKonstrukcie!B13</f>
        <v>plastové, izolačné 2-sklo</v>
      </c>
      <c r="L32" s="470"/>
      <c r="M32" s="470"/>
      <c r="N32" s="470"/>
      <c r="O32" s="91">
        <f>OtvoroveKonstrukcie!O13</f>
        <v>11.52</v>
      </c>
      <c r="P32" s="92">
        <f>OtvoroveKonstrukcie!N13</f>
        <v>1.5</v>
      </c>
      <c r="Q32" s="93">
        <f t="shared" si="3"/>
        <v>17.28</v>
      </c>
      <c r="R32" s="242">
        <v>1</v>
      </c>
      <c r="S32" s="93">
        <f t="shared" si="4"/>
        <v>17.28</v>
      </c>
      <c r="T32" s="108">
        <v>1</v>
      </c>
      <c r="U32" s="109">
        <f>OtvoroveKonstrukcie!Q13</f>
        <v>8.64</v>
      </c>
      <c r="V32" s="104">
        <f t="shared" si="7"/>
        <v>8.6400000000000008E-4</v>
      </c>
      <c r="X32" s="104">
        <v>21.5</v>
      </c>
      <c r="Y32" s="104">
        <f>Y44</f>
        <v>30</v>
      </c>
      <c r="Z32" s="104">
        <f t="shared" si="8"/>
        <v>468</v>
      </c>
      <c r="AA32" s="104" t="s">
        <v>526</v>
      </c>
      <c r="AB32" s="160">
        <f t="shared" ref="AB32:AB37" si="11">Z32*0.024</f>
        <v>11.232000000000001</v>
      </c>
      <c r="AC32" s="160">
        <f>S84</f>
        <v>4707.1973799013722</v>
      </c>
      <c r="AD32" s="160">
        <f>S96</f>
        <v>4639.7489416666667</v>
      </c>
      <c r="AE32" s="160">
        <f>Y32*0.024*5*D12</f>
        <v>40674.959999999999</v>
      </c>
      <c r="AF32" s="160" t="e">
        <f>#REF!</f>
        <v>#REF!</v>
      </c>
      <c r="AG32" s="160" t="e">
        <f t="shared" si="9"/>
        <v>#REF!</v>
      </c>
      <c r="AH32" s="160" t="e">
        <f>#REF!</f>
        <v>#REF!</v>
      </c>
      <c r="AI32" s="160" t="e">
        <f t="shared" si="10"/>
        <v>#REF!</v>
      </c>
    </row>
    <row r="33" spans="10:44" x14ac:dyDescent="0.3">
      <c r="J33" s="96" t="str">
        <f>OtvoroveKonstrukcie!A14</f>
        <v>OO12</v>
      </c>
      <c r="K33" s="470" t="str">
        <f>OtvoroveKonstrukcie!B14</f>
        <v>plastové, izolačné 2-sklo</v>
      </c>
      <c r="L33" s="470"/>
      <c r="M33" s="470"/>
      <c r="N33" s="470"/>
      <c r="O33" s="91">
        <f>OtvoroveKonstrukcie!O14</f>
        <v>4.0500000000000007</v>
      </c>
      <c r="P33" s="92">
        <f>OtvoroveKonstrukcie!N14</f>
        <v>1.5</v>
      </c>
      <c r="Q33" s="93">
        <f t="shared" si="3"/>
        <v>6.0750000000000011</v>
      </c>
      <c r="R33" s="242">
        <v>1</v>
      </c>
      <c r="S33" s="93">
        <f t="shared" si="4"/>
        <v>6.0750000000000011</v>
      </c>
      <c r="T33" s="108">
        <v>1</v>
      </c>
      <c r="U33" s="109">
        <f>OtvoroveKonstrukcie!Q14</f>
        <v>5.13</v>
      </c>
      <c r="V33" s="104">
        <f t="shared" si="7"/>
        <v>5.13E-4</v>
      </c>
      <c r="X33" s="104">
        <v>20.9</v>
      </c>
      <c r="Y33" s="104">
        <v>31</v>
      </c>
      <c r="Z33" s="104">
        <f t="shared" si="8"/>
        <v>564.19999999999993</v>
      </c>
      <c r="AA33" s="104" t="s">
        <v>527</v>
      </c>
      <c r="AB33" s="160">
        <f t="shared" si="11"/>
        <v>13.540799999999999</v>
      </c>
      <c r="AC33" s="160">
        <f>S84</f>
        <v>4707.1973799013722</v>
      </c>
      <c r="AD33" s="160">
        <f>S96</f>
        <v>4639.7489416666667</v>
      </c>
      <c r="AE33" s="160">
        <f>Y33*0.024*5*D12</f>
        <v>42030.792000000001</v>
      </c>
      <c r="AF33" s="160" t="e">
        <f>#REF!</f>
        <v>#REF!</v>
      </c>
      <c r="AG33" s="160" t="e">
        <f t="shared" si="9"/>
        <v>#REF!</v>
      </c>
      <c r="AH33" s="160" t="e">
        <f>#REF!</f>
        <v>#REF!</v>
      </c>
      <c r="AI33" s="160" t="e">
        <f t="shared" si="10"/>
        <v>#REF!</v>
      </c>
    </row>
    <row r="34" spans="10:44" x14ac:dyDescent="0.3">
      <c r="J34" s="96" t="str">
        <f>OtvoroveKonstrukcie!A15</f>
        <v>OO13</v>
      </c>
      <c r="K34" s="470" t="str">
        <f>OtvoroveKonstrukcie!B15</f>
        <v>plastové, izolačné 2-sklo</v>
      </c>
      <c r="L34" s="470"/>
      <c r="M34" s="470"/>
      <c r="N34" s="470"/>
      <c r="O34" s="91">
        <f>OtvoroveKonstrukcie!O15</f>
        <v>23.43</v>
      </c>
      <c r="P34" s="92">
        <f>OtvoroveKonstrukcie!N15</f>
        <v>1.5</v>
      </c>
      <c r="Q34" s="93">
        <f t="shared" si="3"/>
        <v>35.144999999999996</v>
      </c>
      <c r="R34" s="242">
        <v>1</v>
      </c>
      <c r="S34" s="93">
        <f t="shared" si="4"/>
        <v>35.144999999999996</v>
      </c>
      <c r="T34" s="108">
        <v>1</v>
      </c>
      <c r="U34" s="109">
        <f>OtvoroveKonstrukcie!Q15</f>
        <v>5.2560000000000002</v>
      </c>
      <c r="V34" s="104">
        <f t="shared" si="7"/>
        <v>5.2560000000000009E-4</v>
      </c>
      <c r="X34" s="104">
        <v>18.3</v>
      </c>
      <c r="Y34" s="104">
        <v>31</v>
      </c>
      <c r="Z34" s="104">
        <f t="shared" si="8"/>
        <v>722.30000000000007</v>
      </c>
      <c r="AA34" s="104" t="s">
        <v>528</v>
      </c>
      <c r="AB34" s="160">
        <f t="shared" si="11"/>
        <v>17.3352</v>
      </c>
      <c r="AC34" s="160">
        <f>S84</f>
        <v>4707.1973799013722</v>
      </c>
      <c r="AD34" s="160">
        <f>S96</f>
        <v>4639.7489416666667</v>
      </c>
      <c r="AE34" s="160">
        <f>Y34*0.024*5*D12</f>
        <v>42030.792000000001</v>
      </c>
      <c r="AF34" s="160" t="e">
        <f>#REF!</f>
        <v>#REF!</v>
      </c>
      <c r="AG34" s="160" t="e">
        <f t="shared" si="9"/>
        <v>#REF!</v>
      </c>
      <c r="AH34" s="160">
        <v>0.96</v>
      </c>
      <c r="AI34" s="160" t="e">
        <f t="shared" si="10"/>
        <v>#REF!</v>
      </c>
    </row>
    <row r="35" spans="10:44" x14ac:dyDescent="0.3">
      <c r="J35" s="96" t="str">
        <f>OtvoroveKonstrukcie!A16</f>
        <v>OO14</v>
      </c>
      <c r="K35" s="470" t="str">
        <f>OtvoroveKonstrukcie!B16</f>
        <v>plastové, izolačné 2-sklo</v>
      </c>
      <c r="L35" s="470"/>
      <c r="M35" s="470"/>
      <c r="N35" s="470"/>
      <c r="O35" s="91">
        <f>OtvoroveKonstrukcie!O16</f>
        <v>41.999999999999993</v>
      </c>
      <c r="P35" s="92">
        <f>OtvoroveKonstrukcie!N16</f>
        <v>1.5</v>
      </c>
      <c r="Q35" s="93">
        <f t="shared" si="3"/>
        <v>62.999999999999986</v>
      </c>
      <c r="R35" s="242">
        <v>1</v>
      </c>
      <c r="S35" s="93">
        <f t="shared" si="4"/>
        <v>62.999999999999986</v>
      </c>
      <c r="T35" s="108">
        <v>1</v>
      </c>
      <c r="U35" s="109">
        <f>OtvoroveKonstrukcie!Q16</f>
        <v>12.78</v>
      </c>
      <c r="V35" s="104">
        <f t="shared" si="7"/>
        <v>1.2780000000000001E-3</v>
      </c>
      <c r="X35" s="104">
        <v>19.5</v>
      </c>
      <c r="Y35" s="104">
        <v>28</v>
      </c>
      <c r="Z35" s="104">
        <f t="shared" si="8"/>
        <v>470.40000000000003</v>
      </c>
      <c r="AA35" s="104" t="s">
        <v>529</v>
      </c>
      <c r="AB35" s="160">
        <f t="shared" si="11"/>
        <v>11.289600000000002</v>
      </c>
      <c r="AC35" s="160">
        <f>S84</f>
        <v>4707.1973799013722</v>
      </c>
      <c r="AD35" s="160">
        <f>S96</f>
        <v>4639.7489416666667</v>
      </c>
      <c r="AE35" s="160">
        <f>Y35*0.024*5*D12</f>
        <v>37963.296000000002</v>
      </c>
      <c r="AF35" s="160" t="e">
        <f>#REF!</f>
        <v>#REF!</v>
      </c>
      <c r="AG35" s="160" t="e">
        <f t="shared" si="9"/>
        <v>#REF!</v>
      </c>
      <c r="AH35" s="160" t="e">
        <f>#REF!</f>
        <v>#REF!</v>
      </c>
      <c r="AI35" s="160" t="e">
        <f t="shared" si="10"/>
        <v>#REF!</v>
      </c>
    </row>
    <row r="36" spans="10:44" x14ac:dyDescent="0.3">
      <c r="J36" s="96" t="str">
        <f>OtvoroveKonstrukcie!A17</f>
        <v>OO15</v>
      </c>
      <c r="K36" s="470" t="str">
        <f>OtvoroveKonstrukcie!B17</f>
        <v>plastové, izolačné 2-sklo</v>
      </c>
      <c r="L36" s="470"/>
      <c r="M36" s="470"/>
      <c r="N36" s="470"/>
      <c r="O36" s="91">
        <f>OtvoroveKonstrukcie!O17</f>
        <v>53.550000000000004</v>
      </c>
      <c r="P36" s="92">
        <f>OtvoroveKonstrukcie!N17</f>
        <v>1.5</v>
      </c>
      <c r="Q36" s="93">
        <f t="shared" si="3"/>
        <v>80.325000000000003</v>
      </c>
      <c r="R36" s="242">
        <v>1</v>
      </c>
      <c r="S36" s="93">
        <f t="shared" si="4"/>
        <v>80.325000000000003</v>
      </c>
      <c r="T36" s="108">
        <v>1</v>
      </c>
      <c r="U36" s="109">
        <f>OtvoroveKonstrukcie!Q17</f>
        <v>6.48</v>
      </c>
      <c r="V36" s="104">
        <f t="shared" si="7"/>
        <v>6.4800000000000003E-4</v>
      </c>
      <c r="X36" s="104">
        <v>23.3</v>
      </c>
      <c r="Y36" s="104">
        <f>Y48</f>
        <v>31</v>
      </c>
      <c r="Z36" s="104">
        <f t="shared" si="8"/>
        <v>437.1</v>
      </c>
      <c r="AA36" s="104" t="s">
        <v>531</v>
      </c>
      <c r="AB36" s="160">
        <f t="shared" si="11"/>
        <v>10.490400000000001</v>
      </c>
      <c r="AC36" s="160">
        <f>S84</f>
        <v>4707.1973799013722</v>
      </c>
      <c r="AD36" s="160">
        <f>S96</f>
        <v>4639.7489416666667</v>
      </c>
      <c r="AE36" s="160">
        <f>Y36*0.024*5*D12</f>
        <v>42030.792000000001</v>
      </c>
      <c r="AF36" s="160" t="e">
        <f>#REF!</f>
        <v>#REF!</v>
      </c>
      <c r="AG36" s="160" t="e">
        <f t="shared" si="9"/>
        <v>#REF!</v>
      </c>
      <c r="AH36" s="160">
        <v>0.77</v>
      </c>
      <c r="AI36" s="160" t="e">
        <f t="shared" si="10"/>
        <v>#REF!</v>
      </c>
    </row>
    <row r="37" spans="10:44" x14ac:dyDescent="0.3">
      <c r="J37" s="96" t="str">
        <f>OtvoroveKonstrukcie!A18</f>
        <v>OO16</v>
      </c>
      <c r="K37" s="470" t="str">
        <f>OtvoroveKonstrukcie!B18</f>
        <v>plastové, izolačné 2-sklo</v>
      </c>
      <c r="L37" s="470"/>
      <c r="M37" s="470"/>
      <c r="N37" s="470"/>
      <c r="O37" s="91">
        <f>OtvoroveKonstrukcie!O18</f>
        <v>225</v>
      </c>
      <c r="P37" s="92">
        <f>OtvoroveKonstrukcie!N18</f>
        <v>1.5</v>
      </c>
      <c r="Q37" s="93">
        <f t="shared" si="3"/>
        <v>337.5</v>
      </c>
      <c r="R37" s="242">
        <v>1</v>
      </c>
      <c r="S37" s="93">
        <f t="shared" si="4"/>
        <v>337.5</v>
      </c>
      <c r="T37" s="108">
        <v>1</v>
      </c>
      <c r="U37" s="109">
        <f>OtvoroveKonstrukcie!Q18</f>
        <v>5.4</v>
      </c>
      <c r="V37" s="104">
        <f t="shared" si="7"/>
        <v>5.4000000000000012E-4</v>
      </c>
      <c r="X37" s="104">
        <v>19.8</v>
      </c>
      <c r="Y37" s="239">
        <f>Y49</f>
        <v>14</v>
      </c>
      <c r="Z37" s="239">
        <f t="shared" si="8"/>
        <v>133</v>
      </c>
      <c r="AA37" s="239" t="s">
        <v>533</v>
      </c>
      <c r="AB37" s="240">
        <f t="shared" si="11"/>
        <v>3.1920000000000002</v>
      </c>
      <c r="AC37" s="240">
        <f>S84</f>
        <v>4707.1973799013722</v>
      </c>
      <c r="AD37" s="240">
        <f>S96</f>
        <v>4639.7489416666667</v>
      </c>
      <c r="AE37" s="240">
        <f>Y37*0.024*5*D12</f>
        <v>18981.648000000001</v>
      </c>
      <c r="AF37" s="240" t="e">
        <f>#REF!</f>
        <v>#REF!</v>
      </c>
      <c r="AG37" s="240" t="e">
        <f t="shared" si="9"/>
        <v>#REF!</v>
      </c>
      <c r="AH37" s="240" t="e">
        <f>#REF!</f>
        <v>#REF!</v>
      </c>
      <c r="AI37" s="240" t="e">
        <f>((AB37*(AC37+AD37))-(AG37*AH37))*0</f>
        <v>#REF!</v>
      </c>
      <c r="AK37" s="477" t="s">
        <v>534</v>
      </c>
      <c r="AL37" s="477"/>
      <c r="AN37" s="477" t="s">
        <v>535</v>
      </c>
      <c r="AO37" s="477"/>
    </row>
    <row r="38" spans="10:44" x14ac:dyDescent="0.3">
      <c r="J38" s="96" t="str">
        <f>OtvoroveKonstrukcie!A19</f>
        <v>OO17</v>
      </c>
      <c r="K38" s="470" t="str">
        <f>OtvoroveKonstrukcie!B19</f>
        <v>plastové, izolačné 2-sklo</v>
      </c>
      <c r="L38" s="470"/>
      <c r="M38" s="470"/>
      <c r="N38" s="470"/>
      <c r="O38" s="91">
        <f>OtvoroveKonstrukcie!O19</f>
        <v>36</v>
      </c>
      <c r="P38" s="92">
        <f>OtvoroveKonstrukcie!N19</f>
        <v>1.5</v>
      </c>
      <c r="Q38" s="93">
        <f t="shared" si="3"/>
        <v>54</v>
      </c>
      <c r="R38" s="242">
        <v>1</v>
      </c>
      <c r="S38" s="93">
        <f t="shared" si="4"/>
        <v>54</v>
      </c>
      <c r="T38" s="108">
        <v>1</v>
      </c>
      <c r="U38" s="109">
        <f>OtvoroveKonstrukcie!Q19</f>
        <v>8.1</v>
      </c>
      <c r="V38" s="104">
        <f t="shared" si="7"/>
        <v>8.0999999999999996E-4</v>
      </c>
      <c r="X38" s="117">
        <f>AVERAGE(X31:X36)</f>
        <v>21.166666666666668</v>
      </c>
      <c r="Y38" s="104">
        <f>SUM(Y31:Y37)</f>
        <v>188</v>
      </c>
      <c r="Z38" s="104">
        <f>SUM(Z31:Z37)</f>
        <v>3143</v>
      </c>
      <c r="AA38" s="136" t="s">
        <v>536</v>
      </c>
      <c r="AB38" s="160"/>
      <c r="AC38" s="160"/>
      <c r="AD38" s="160"/>
      <c r="AE38" s="160"/>
      <c r="AF38" s="160"/>
      <c r="AG38" s="160"/>
      <c r="AH38" s="160" t="e">
        <f>AVERAGE(AH31:AH37)</f>
        <v>#REF!</v>
      </c>
      <c r="AI38" s="150" t="e">
        <f>SUM(AI31:AI37)</f>
        <v>#REF!</v>
      </c>
      <c r="AK38" s="160" t="e">
        <f>#REF!*1000</f>
        <v>#REF!</v>
      </c>
      <c r="AL38" s="104" t="s">
        <v>537</v>
      </c>
      <c r="AN38" s="225" t="e">
        <f>#REF!*12*1000</f>
        <v>#REF!</v>
      </c>
      <c r="AO38" s="104" t="s">
        <v>538</v>
      </c>
    </row>
    <row r="39" spans="10:44" x14ac:dyDescent="0.3">
      <c r="J39" s="96" t="str">
        <f>OtvoroveKonstrukcie!A20</f>
        <v>OO18</v>
      </c>
      <c r="K39" s="470" t="str">
        <f>OtvoroveKonstrukcie!B20</f>
        <v>plastové, izolačné 2-sklo</v>
      </c>
      <c r="L39" s="470"/>
      <c r="M39" s="470"/>
      <c r="N39" s="470"/>
      <c r="O39" s="91">
        <f>OtvoroveKonstrukcie!O20</f>
        <v>4.26</v>
      </c>
      <c r="P39" s="92">
        <f>OtvoroveKonstrukcie!N20</f>
        <v>1.5</v>
      </c>
      <c r="Q39" s="93">
        <f t="shared" si="3"/>
        <v>6.39</v>
      </c>
      <c r="R39" s="242">
        <v>1</v>
      </c>
      <c r="S39" s="93">
        <f t="shared" si="4"/>
        <v>6.39</v>
      </c>
      <c r="T39" s="108">
        <v>1</v>
      </c>
      <c r="U39" s="109">
        <f>OtvoroveKonstrukcie!Q20</f>
        <v>5.2560000000000002</v>
      </c>
      <c r="V39" s="104">
        <f t="shared" si="7"/>
        <v>5.2560000000000009E-4</v>
      </c>
      <c r="Y39" s="117"/>
      <c r="AI39" s="223" t="e">
        <f>AI38/D12</f>
        <v>#REF!</v>
      </c>
      <c r="AJ39" s="117" t="s">
        <v>539</v>
      </c>
      <c r="AK39" s="224">
        <v>0.8</v>
      </c>
      <c r="AL39" s="162"/>
    </row>
    <row r="40" spans="10:44" x14ac:dyDescent="0.3">
      <c r="J40" s="96" t="str">
        <f>OtvoroveKonstrukcie!A21</f>
        <v>OO19</v>
      </c>
      <c r="K40" s="470" t="str">
        <f>OtvoroveKonstrukcie!B21</f>
        <v>plastové, izolačné 2-sklo</v>
      </c>
      <c r="L40" s="470"/>
      <c r="M40" s="470"/>
      <c r="N40" s="470"/>
      <c r="O40" s="91">
        <f>OtvoroveKonstrukcie!O21</f>
        <v>2.16</v>
      </c>
      <c r="P40" s="92">
        <f>OtvoroveKonstrukcie!N21</f>
        <v>1.5</v>
      </c>
      <c r="Q40" s="93">
        <f t="shared" si="3"/>
        <v>3.24</v>
      </c>
      <c r="R40" s="242">
        <v>1</v>
      </c>
      <c r="S40" s="93">
        <f t="shared" si="4"/>
        <v>3.24</v>
      </c>
      <c r="T40" s="108">
        <v>1</v>
      </c>
      <c r="U40" s="109">
        <f>OtvoroveKonstrukcie!Q21</f>
        <v>3.7800000000000002</v>
      </c>
      <c r="V40" s="104">
        <f t="shared" si="7"/>
        <v>3.7800000000000003E-4</v>
      </c>
      <c r="X40" s="478" t="s">
        <v>540</v>
      </c>
      <c r="Y40" s="478"/>
      <c r="Z40" s="478"/>
      <c r="AA40" s="478"/>
      <c r="AK40" s="213" t="e">
        <f>AK39*AK38</f>
        <v>#REF!</v>
      </c>
      <c r="AL40" s="218" t="s">
        <v>537</v>
      </c>
    </row>
    <row r="41" spans="10:44" x14ac:dyDescent="0.3">
      <c r="J41" s="96" t="str">
        <f>OtvoroveKonstrukcie!A22</f>
        <v>OO20</v>
      </c>
      <c r="K41" s="470" t="str">
        <f>OtvoroveKonstrukcie!B22</f>
        <v>plastové, izolačné 2-sklo</v>
      </c>
      <c r="L41" s="470"/>
      <c r="M41" s="470"/>
      <c r="N41" s="470"/>
      <c r="O41" s="91">
        <f>OtvoroveKonstrukcie!O22</f>
        <v>18</v>
      </c>
      <c r="P41" s="92">
        <f>OtvoroveKonstrukcie!N22</f>
        <v>1.5</v>
      </c>
      <c r="Q41" s="93">
        <f t="shared" si="3"/>
        <v>27</v>
      </c>
      <c r="R41" s="242">
        <v>1</v>
      </c>
      <c r="S41" s="93">
        <f t="shared" si="4"/>
        <v>27</v>
      </c>
      <c r="T41" s="108">
        <v>1</v>
      </c>
      <c r="U41" s="109">
        <f>OtvoroveKonstrukcie!Q22</f>
        <v>8.1</v>
      </c>
      <c r="V41" s="104">
        <f t="shared" si="7"/>
        <v>8.0999999999999996E-4</v>
      </c>
      <c r="X41" s="253" t="s">
        <v>511</v>
      </c>
      <c r="Y41" s="253" t="s">
        <v>541</v>
      </c>
      <c r="Z41" s="253" t="s">
        <v>542</v>
      </c>
      <c r="AA41" s="253" t="s">
        <v>108</v>
      </c>
      <c r="AK41" s="232" t="e">
        <f>AI38+AN38</f>
        <v>#REF!</v>
      </c>
      <c r="AL41" s="228" t="s">
        <v>543</v>
      </c>
      <c r="AN41" s="477" t="s">
        <v>544</v>
      </c>
      <c r="AO41" s="477"/>
      <c r="AQ41" s="477" t="s">
        <v>545</v>
      </c>
      <c r="AR41" s="477"/>
    </row>
    <row r="42" spans="10:44" x14ac:dyDescent="0.3">
      <c r="J42" s="96" t="str">
        <f>OtvoroveKonstrukcie!A23</f>
        <v>OO21</v>
      </c>
      <c r="K42" s="470" t="str">
        <f>OtvoroveKonstrukcie!B23</f>
        <v>plastové, izolačné 2-sklo</v>
      </c>
      <c r="L42" s="470"/>
      <c r="M42" s="470"/>
      <c r="N42" s="470"/>
      <c r="O42" s="91">
        <f>OtvoroveKonstrukcie!O23</f>
        <v>1.89</v>
      </c>
      <c r="P42" s="92">
        <f>OtvoroveKonstrukcie!N23</f>
        <v>1.5</v>
      </c>
      <c r="Q42" s="93">
        <f t="shared" si="3"/>
        <v>2.835</v>
      </c>
      <c r="R42" s="242">
        <v>1</v>
      </c>
      <c r="S42" s="93">
        <f t="shared" si="4"/>
        <v>2.835</v>
      </c>
      <c r="T42" s="108">
        <v>1</v>
      </c>
      <c r="U42" s="109">
        <f>OtvoroveKonstrukcie!Q23</f>
        <v>4.95</v>
      </c>
      <c r="V42" s="104">
        <f t="shared" si="7"/>
        <v>4.95E-4</v>
      </c>
      <c r="X42" s="253" t="s">
        <v>547</v>
      </c>
      <c r="Y42" s="104">
        <v>6</v>
      </c>
      <c r="Z42" s="104">
        <v>15.6</v>
      </c>
      <c r="AA42" s="104">
        <f>(20-Z42)*Y42</f>
        <v>26.400000000000002</v>
      </c>
      <c r="AN42" s="225" t="e">
        <f>'PotrebEnergieVYK 2017'!C3</f>
        <v>#REF!</v>
      </c>
      <c r="AO42" s="104" t="s">
        <v>538</v>
      </c>
      <c r="AQ42" s="225" t="e">
        <f>PotrebaEnergieTV!C3</f>
        <v>#REF!</v>
      </c>
      <c r="AR42" s="104" t="s">
        <v>538</v>
      </c>
    </row>
    <row r="43" spans="10:44" x14ac:dyDescent="0.3">
      <c r="J43" s="96" t="str">
        <f>OtvoroveKonstrukcie!A24</f>
        <v>OO22</v>
      </c>
      <c r="K43" s="470" t="str">
        <f>OtvoroveKonstrukcie!B24</f>
        <v>plastové, izolačné 2-sklo</v>
      </c>
      <c r="L43" s="470"/>
      <c r="M43" s="470"/>
      <c r="N43" s="470"/>
      <c r="O43" s="91">
        <f>OtvoroveKonstrukcie!O24</f>
        <v>20.250000000000004</v>
      </c>
      <c r="P43" s="92">
        <f>OtvoroveKonstrukcie!N24</f>
        <v>1.5</v>
      </c>
      <c r="Q43" s="93">
        <f t="shared" si="3"/>
        <v>30.375000000000007</v>
      </c>
      <c r="R43" s="242">
        <v>1</v>
      </c>
      <c r="S43" s="93">
        <f t="shared" si="4"/>
        <v>30.375000000000007</v>
      </c>
      <c r="T43" s="108">
        <v>1</v>
      </c>
      <c r="U43" s="109">
        <f>OtvoroveKonstrukcie!Q24</f>
        <v>7.5600000000000005</v>
      </c>
      <c r="V43" s="104">
        <f t="shared" si="7"/>
        <v>7.5600000000000005E-4</v>
      </c>
      <c r="X43" s="136" t="s">
        <v>525</v>
      </c>
      <c r="Y43" s="136">
        <v>30</v>
      </c>
      <c r="Z43" s="136">
        <v>11.9</v>
      </c>
      <c r="AA43" s="136">
        <f t="shared" ref="AA43:AA48" si="12">(X31-Z43)*Y43</f>
        <v>348</v>
      </c>
      <c r="AK43" s="477" t="s">
        <v>548</v>
      </c>
      <c r="AL43" s="477"/>
    </row>
    <row r="44" spans="10:44" x14ac:dyDescent="0.3">
      <c r="J44" s="96" t="str">
        <f>OtvoroveKonstrukcie!A25</f>
        <v>OO23</v>
      </c>
      <c r="K44" s="470" t="str">
        <f>OtvoroveKonstrukcie!B25</f>
        <v>plastové, izolačné 2-sklo</v>
      </c>
      <c r="L44" s="470"/>
      <c r="M44" s="470"/>
      <c r="N44" s="470"/>
      <c r="O44" s="91">
        <f>OtvoroveKonstrukcie!O25</f>
        <v>3.9600000000000004</v>
      </c>
      <c r="P44" s="92">
        <f>OtvoroveKonstrukcie!N25</f>
        <v>1.5</v>
      </c>
      <c r="Q44" s="93">
        <f t="shared" si="3"/>
        <v>5.94</v>
      </c>
      <c r="R44" s="242">
        <v>1</v>
      </c>
      <c r="S44" s="93">
        <f t="shared" si="4"/>
        <v>5.94</v>
      </c>
      <c r="T44" s="108">
        <v>1</v>
      </c>
      <c r="U44" s="109">
        <f>OtvoroveKonstrukcie!Q25</f>
        <v>7.2</v>
      </c>
      <c r="V44" s="104">
        <f t="shared" si="7"/>
        <v>7.2000000000000005E-4</v>
      </c>
      <c r="X44" s="136" t="s">
        <v>526</v>
      </c>
      <c r="Y44" s="136">
        <v>30</v>
      </c>
      <c r="Z44" s="136">
        <v>5.9</v>
      </c>
      <c r="AA44" s="136">
        <f t="shared" si="12"/>
        <v>468</v>
      </c>
      <c r="AK44" s="157" t="e">
        <f>AN42+AQ42</f>
        <v>#REF!</v>
      </c>
      <c r="AL44" s="153" t="s">
        <v>538</v>
      </c>
    </row>
    <row r="45" spans="10:44" x14ac:dyDescent="0.3">
      <c r="J45" s="96" t="str">
        <f>OtvoroveKonstrukcie!A26</f>
        <v>OO24</v>
      </c>
      <c r="K45" s="470" t="str">
        <f>OtvoroveKonstrukcie!B26</f>
        <v>plastové, izolačné 2-sklo</v>
      </c>
      <c r="L45" s="470"/>
      <c r="M45" s="470"/>
      <c r="N45" s="470"/>
      <c r="O45" s="91">
        <f>OtvoroveKonstrukcie!O26</f>
        <v>24.300000000000004</v>
      </c>
      <c r="P45" s="92">
        <f>OtvoroveKonstrukcie!N26</f>
        <v>1.5</v>
      </c>
      <c r="Q45" s="93">
        <f t="shared" si="3"/>
        <v>36.450000000000003</v>
      </c>
      <c r="R45" s="242">
        <v>1</v>
      </c>
      <c r="S45" s="93">
        <f t="shared" si="4"/>
        <v>36.450000000000003</v>
      </c>
      <c r="T45" s="108">
        <v>1</v>
      </c>
      <c r="U45" s="109">
        <f>OtvoroveKonstrukcie!Q26</f>
        <v>10.26</v>
      </c>
      <c r="V45" s="104">
        <f t="shared" si="7"/>
        <v>1.026E-3</v>
      </c>
      <c r="X45" s="136" t="s">
        <v>527</v>
      </c>
      <c r="Y45" s="136">
        <v>31</v>
      </c>
      <c r="Z45" s="136">
        <v>2.7</v>
      </c>
      <c r="AA45" s="136">
        <f t="shared" si="12"/>
        <v>564.19999999999993</v>
      </c>
    </row>
    <row r="46" spans="10:44" x14ac:dyDescent="0.3">
      <c r="J46" s="96" t="str">
        <f>OtvoroveKonstrukcie!A27</f>
        <v>OO25</v>
      </c>
      <c r="K46" s="470" t="str">
        <f>OtvoroveKonstrukcie!B27</f>
        <v>plastové, izolačné 2-sklo</v>
      </c>
      <c r="L46" s="470"/>
      <c r="M46" s="470"/>
      <c r="N46" s="470"/>
      <c r="O46" s="91">
        <f>OtvoroveKonstrukcie!O27</f>
        <v>16.200000000000003</v>
      </c>
      <c r="P46" s="92">
        <f>OtvoroveKonstrukcie!N27</f>
        <v>1.5</v>
      </c>
      <c r="Q46" s="93">
        <f t="shared" si="3"/>
        <v>24.300000000000004</v>
      </c>
      <c r="R46" s="242">
        <v>1</v>
      </c>
      <c r="S46" s="93">
        <f t="shared" si="4"/>
        <v>24.300000000000004</v>
      </c>
      <c r="T46" s="108">
        <v>1</v>
      </c>
      <c r="U46" s="109">
        <f>OtvoroveKonstrukcie!Q27</f>
        <v>7.5600000000000005</v>
      </c>
      <c r="V46" s="104">
        <f t="shared" si="7"/>
        <v>7.5600000000000005E-4</v>
      </c>
      <c r="X46" s="136" t="s">
        <v>528</v>
      </c>
      <c r="Y46" s="136">
        <v>31</v>
      </c>
      <c r="Z46" s="136">
        <v>-5</v>
      </c>
      <c r="AA46" s="136">
        <f t="shared" si="12"/>
        <v>722.30000000000007</v>
      </c>
    </row>
    <row r="47" spans="10:44" x14ac:dyDescent="0.3">
      <c r="J47" s="96" t="str">
        <f>OtvoroveKonstrukcie!A28</f>
        <v>OO26</v>
      </c>
      <c r="K47" s="470" t="str">
        <f>OtvoroveKonstrukcie!B28</f>
        <v>plastové, izolačné 2-sklo</v>
      </c>
      <c r="L47" s="470"/>
      <c r="M47" s="470"/>
      <c r="N47" s="470"/>
      <c r="O47" s="91">
        <f>OtvoroveKonstrukcie!O28</f>
        <v>23.43</v>
      </c>
      <c r="P47" s="92">
        <f>OtvoroveKonstrukcie!N28</f>
        <v>1.5</v>
      </c>
      <c r="Q47" s="93">
        <f t="shared" si="3"/>
        <v>35.144999999999996</v>
      </c>
      <c r="R47" s="242">
        <v>1</v>
      </c>
      <c r="S47" s="93">
        <f t="shared" si="4"/>
        <v>35.144999999999996</v>
      </c>
      <c r="T47" s="108">
        <v>1</v>
      </c>
      <c r="U47" s="109">
        <f>OtvoroveKonstrukcie!Q28</f>
        <v>5.2560000000000002</v>
      </c>
      <c r="V47" s="104">
        <f t="shared" si="7"/>
        <v>5.2560000000000009E-4</v>
      </c>
      <c r="X47" s="136" t="s">
        <v>529</v>
      </c>
      <c r="Y47" s="136">
        <v>28</v>
      </c>
      <c r="Z47" s="136">
        <v>2.7</v>
      </c>
      <c r="AA47" s="136">
        <f t="shared" si="12"/>
        <v>470.40000000000003</v>
      </c>
    </row>
    <row r="48" spans="10:44" ht="15" customHeight="1" x14ac:dyDescent="0.3">
      <c r="J48" s="96" t="str">
        <f>OtvoroveKonstrukcie!A29</f>
        <v>OO27</v>
      </c>
      <c r="K48" s="470" t="str">
        <f>OtvoroveKonstrukcie!B29</f>
        <v>hliník, izolačné 2-sklo</v>
      </c>
      <c r="L48" s="470"/>
      <c r="M48" s="470"/>
      <c r="N48" s="470"/>
      <c r="O48" s="91">
        <f>OtvoroveKonstrukcie!O29</f>
        <v>12.3225</v>
      </c>
      <c r="P48" s="92">
        <f>OtvoroveKonstrukcie!N29</f>
        <v>1.5</v>
      </c>
      <c r="Q48" s="93">
        <f t="shared" si="3"/>
        <v>18.483750000000001</v>
      </c>
      <c r="R48" s="242">
        <v>1</v>
      </c>
      <c r="S48" s="93">
        <f t="shared" si="4"/>
        <v>18.483750000000001</v>
      </c>
      <c r="T48" s="108">
        <v>1</v>
      </c>
      <c r="U48" s="109">
        <f>OtvoroveKonstrukcie!Q29</f>
        <v>8.9550000000000001</v>
      </c>
      <c r="V48" s="104">
        <f t="shared" si="7"/>
        <v>8.9550000000000003E-4</v>
      </c>
      <c r="X48" s="136" t="s">
        <v>531</v>
      </c>
      <c r="Y48" s="136">
        <v>31</v>
      </c>
      <c r="Z48" s="136">
        <v>9.1999999999999993</v>
      </c>
      <c r="AA48" s="136">
        <f t="shared" si="12"/>
        <v>437.1</v>
      </c>
    </row>
    <row r="49" spans="10:41" x14ac:dyDescent="0.3">
      <c r="J49" s="96" t="str">
        <f>OtvoroveKonstrukcie!A30</f>
        <v>OO28</v>
      </c>
      <c r="K49" s="470" t="str">
        <f>OtvoroveKonstrukcie!B30</f>
        <v>hliník, izolačné 2-sklo</v>
      </c>
      <c r="L49" s="470"/>
      <c r="M49" s="470"/>
      <c r="N49" s="470"/>
      <c r="O49" s="91">
        <f>OtvoroveKonstrukcie!O30</f>
        <v>3.69</v>
      </c>
      <c r="P49" s="92">
        <f>OtvoroveKonstrukcie!N30</f>
        <v>1.5</v>
      </c>
      <c r="Q49" s="93">
        <f t="shared" si="3"/>
        <v>5.5350000000000001</v>
      </c>
      <c r="R49" s="242">
        <v>1</v>
      </c>
      <c r="S49" s="93">
        <f t="shared" si="4"/>
        <v>5.5350000000000001</v>
      </c>
      <c r="T49" s="108">
        <v>1</v>
      </c>
      <c r="U49" s="109">
        <f>OtvoroveKonstrukcie!Q30</f>
        <v>6.93</v>
      </c>
      <c r="V49" s="104">
        <f t="shared" si="7"/>
        <v>6.9300000000000004E-4</v>
      </c>
      <c r="X49" s="136" t="s">
        <v>533</v>
      </c>
      <c r="Y49" s="136">
        <v>14</v>
      </c>
      <c r="Z49" s="136">
        <v>10.3</v>
      </c>
      <c r="AA49" s="136">
        <f>(X37-Z49)*Y49</f>
        <v>133</v>
      </c>
    </row>
    <row r="50" spans="10:41" x14ac:dyDescent="0.3">
      <c r="J50" s="96" t="str">
        <f>OtvoroveKonstrukcie!A31</f>
        <v>OO29</v>
      </c>
      <c r="K50" s="470" t="str">
        <f>OtvoroveKonstrukcie!B31</f>
        <v>plastové, izolačné 2-sklo</v>
      </c>
      <c r="L50" s="470"/>
      <c r="M50" s="470"/>
      <c r="N50" s="470"/>
      <c r="O50" s="91">
        <f>OtvoroveKonstrukcie!O31</f>
        <v>82.8</v>
      </c>
      <c r="P50" s="92">
        <f>OtvoroveKonstrukcie!N31</f>
        <v>1.5</v>
      </c>
      <c r="Q50" s="93">
        <f t="shared" si="3"/>
        <v>124.19999999999999</v>
      </c>
      <c r="R50" s="242">
        <v>1</v>
      </c>
      <c r="S50" s="93">
        <f t="shared" si="4"/>
        <v>124.19999999999999</v>
      </c>
      <c r="T50" s="108">
        <v>1</v>
      </c>
      <c r="U50" s="109">
        <f>OtvoroveKonstrukcie!Q31</f>
        <v>10.53</v>
      </c>
      <c r="V50" s="104">
        <f t="shared" si="7"/>
        <v>1.0529999999999999E-3</v>
      </c>
      <c r="X50" s="104" t="s">
        <v>550</v>
      </c>
      <c r="Y50" s="104">
        <v>2</v>
      </c>
      <c r="Z50" s="104">
        <v>16.7</v>
      </c>
      <c r="AA50" s="104">
        <f>(20-Z50)*Y50</f>
        <v>6.6000000000000014</v>
      </c>
    </row>
    <row r="51" spans="10:41" x14ac:dyDescent="0.3">
      <c r="J51" s="96" t="str">
        <f>OtvoroveKonstrukcie!A32</f>
        <v>OO30</v>
      </c>
      <c r="K51" s="470" t="str">
        <f>OtvoroveKonstrukcie!B32</f>
        <v>plastové, izolačné 2-sklo</v>
      </c>
      <c r="L51" s="470"/>
      <c r="M51" s="470"/>
      <c r="N51" s="470"/>
      <c r="O51" s="91">
        <f>OtvoroveKonstrukcie!O32</f>
        <v>7.9349999999999996</v>
      </c>
      <c r="P51" s="92">
        <f>OtvoroveKonstrukcie!N32</f>
        <v>1.5</v>
      </c>
      <c r="Q51" s="93">
        <f t="shared" si="3"/>
        <v>11.9025</v>
      </c>
      <c r="R51" s="242">
        <v>1</v>
      </c>
      <c r="S51" s="93">
        <f t="shared" si="4"/>
        <v>11.9025</v>
      </c>
      <c r="T51" s="108">
        <v>1</v>
      </c>
      <c r="U51" s="109">
        <f>OtvoroveKonstrukcie!Q32</f>
        <v>10.35</v>
      </c>
      <c r="V51" s="104">
        <f t="shared" si="7"/>
        <v>1.0350000000000001E-3</v>
      </c>
      <c r="X51" s="117"/>
      <c r="Y51" s="136">
        <f>SUM(Y42:Y50)</f>
        <v>203</v>
      </c>
      <c r="Z51" s="141">
        <f>AVERAGE(Z42:Z50)</f>
        <v>7.7777777777777777</v>
      </c>
      <c r="AA51" s="136">
        <f>SUM(AA42:AA50)</f>
        <v>3176</v>
      </c>
    </row>
    <row r="52" spans="10:41" x14ac:dyDescent="0.3">
      <c r="J52" s="96" t="str">
        <f>OtvoroveKonstrukcie!A33</f>
        <v>OO31</v>
      </c>
      <c r="K52" s="470" t="str">
        <f>OtvoroveKonstrukcie!B33</f>
        <v>plastové, izolačné 2-sklo</v>
      </c>
      <c r="L52" s="470"/>
      <c r="M52" s="470"/>
      <c r="N52" s="470"/>
      <c r="O52" s="91">
        <f>OtvoroveKonstrukcie!O33</f>
        <v>82.8</v>
      </c>
      <c r="P52" s="92">
        <f>OtvoroveKonstrukcie!N33</f>
        <v>1.5</v>
      </c>
      <c r="Q52" s="93">
        <f t="shared" si="3"/>
        <v>124.19999999999999</v>
      </c>
      <c r="R52" s="242">
        <v>1</v>
      </c>
      <c r="S52" s="93">
        <f t="shared" si="4"/>
        <v>124.19999999999999</v>
      </c>
      <c r="T52" s="108">
        <v>1</v>
      </c>
      <c r="U52" s="109">
        <f>OtvoroveKonstrukcie!Q33</f>
        <v>10.53</v>
      </c>
      <c r="V52" s="104">
        <f t="shared" si="7"/>
        <v>1.0529999999999999E-3</v>
      </c>
    </row>
    <row r="53" spans="10:41" x14ac:dyDescent="0.3">
      <c r="J53" s="96" t="str">
        <f>OtvoroveKonstrukcie!A34</f>
        <v>OO32</v>
      </c>
      <c r="K53" s="470" t="str">
        <f>OtvoroveKonstrukcie!B34</f>
        <v>plastové, izolačné 2-sklo</v>
      </c>
      <c r="L53" s="470"/>
      <c r="M53" s="470"/>
      <c r="N53" s="470"/>
      <c r="O53" s="91">
        <f>OtvoroveKonstrukcie!O34</f>
        <v>7.9349999999999996</v>
      </c>
      <c r="P53" s="92">
        <f>OtvoroveKonstrukcie!N34</f>
        <v>1.5</v>
      </c>
      <c r="Q53" s="93">
        <f t="shared" si="3"/>
        <v>11.9025</v>
      </c>
      <c r="R53" s="242">
        <v>1</v>
      </c>
      <c r="S53" s="93">
        <f t="shared" si="4"/>
        <v>11.9025</v>
      </c>
      <c r="T53" s="108">
        <v>1</v>
      </c>
      <c r="U53" s="109">
        <f>OtvoroveKonstrukcie!Q34</f>
        <v>10.35</v>
      </c>
      <c r="V53" s="104">
        <f t="shared" si="7"/>
        <v>1.0350000000000001E-3</v>
      </c>
      <c r="Y53" s="238"/>
      <c r="Z53" s="238"/>
    </row>
    <row r="54" spans="10:41" x14ac:dyDescent="0.3">
      <c r="J54" s="96" t="str">
        <f>OtvoroveKonstrukcie!A35</f>
        <v>OO33</v>
      </c>
      <c r="K54" s="470" t="str">
        <f>OtvoroveKonstrukcie!B35</f>
        <v>hliník, izolačné 2-sklo</v>
      </c>
      <c r="L54" s="470"/>
      <c r="M54" s="470"/>
      <c r="N54" s="470"/>
      <c r="O54" s="91">
        <f>OtvoroveKonstrukcie!O35</f>
        <v>9.1425000000000001</v>
      </c>
      <c r="P54" s="92">
        <f>OtvoroveKonstrukcie!N35</f>
        <v>1.5</v>
      </c>
      <c r="Q54" s="93">
        <f t="shared" si="3"/>
        <v>13.713750000000001</v>
      </c>
      <c r="R54" s="242">
        <v>1</v>
      </c>
      <c r="S54" s="93">
        <f t="shared" si="4"/>
        <v>13.713750000000001</v>
      </c>
      <c r="T54" s="108">
        <v>1</v>
      </c>
      <c r="U54" s="109">
        <f>OtvoroveKonstrukcie!Q35</f>
        <v>10.98</v>
      </c>
      <c r="V54" s="104">
        <f t="shared" si="7"/>
        <v>1.098E-3</v>
      </c>
      <c r="Y54" s="238"/>
      <c r="Z54" s="238"/>
    </row>
    <row r="55" spans="10:41" x14ac:dyDescent="0.3">
      <c r="J55" s="96" t="str">
        <f>OtvoroveKonstrukcie!A36</f>
        <v>OO34</v>
      </c>
      <c r="K55" s="470" t="str">
        <f>OtvoroveKonstrukcie!B36</f>
        <v>hliník, izolačné 2-sklo</v>
      </c>
      <c r="L55" s="470"/>
      <c r="M55" s="470"/>
      <c r="N55" s="470"/>
      <c r="O55" s="91">
        <f>OtvoroveKonstrukcie!O36</f>
        <v>17.28</v>
      </c>
      <c r="P55" s="92">
        <f>OtvoroveKonstrukcie!N36</f>
        <v>1.5</v>
      </c>
      <c r="Q55" s="93">
        <f t="shared" si="3"/>
        <v>25.92</v>
      </c>
      <c r="R55" s="242">
        <v>1</v>
      </c>
      <c r="S55" s="93">
        <f t="shared" si="4"/>
        <v>25.92</v>
      </c>
      <c r="T55" s="108">
        <v>1</v>
      </c>
      <c r="U55" s="109">
        <f>OtvoroveKonstrukcie!Q36</f>
        <v>15.120000000000001</v>
      </c>
      <c r="V55" s="104">
        <f t="shared" si="7"/>
        <v>1.5120000000000001E-3</v>
      </c>
      <c r="X55">
        <v>2016</v>
      </c>
    </row>
    <row r="56" spans="10:41" x14ac:dyDescent="0.3">
      <c r="J56" s="96" t="str">
        <f>OtvoroveKonstrukcie!A37</f>
        <v>OO35</v>
      </c>
      <c r="K56" s="470" t="str">
        <f>OtvoroveKonstrukcie!B37</f>
        <v>hliník, izolačné 2-sklo</v>
      </c>
      <c r="L56" s="470"/>
      <c r="M56" s="470"/>
      <c r="N56" s="470"/>
      <c r="O56" s="91">
        <f>OtvoroveKonstrukcie!O37</f>
        <v>8.64</v>
      </c>
      <c r="P56" s="92">
        <v>1.4</v>
      </c>
      <c r="Q56" s="93">
        <f t="shared" si="3"/>
        <v>12.096</v>
      </c>
      <c r="R56" s="242">
        <v>1</v>
      </c>
      <c r="S56" s="93">
        <f t="shared" si="4"/>
        <v>12.096</v>
      </c>
      <c r="T56" s="108">
        <v>1</v>
      </c>
      <c r="U56" s="109">
        <f>OtvoroveKonstrukcie!Q37</f>
        <v>10.8</v>
      </c>
      <c r="V56" s="104">
        <f t="shared" si="7"/>
        <v>1.0800000000000002E-3</v>
      </c>
      <c r="X56" s="473" t="s">
        <v>500</v>
      </c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5"/>
    </row>
    <row r="57" spans="10:41" x14ac:dyDescent="0.3">
      <c r="J57" s="96" t="str">
        <f>OtvoroveKonstrukcie!A38</f>
        <v>OO36</v>
      </c>
      <c r="K57" s="470" t="str">
        <f>OtvoroveKonstrukcie!B38</f>
        <v>plastové, izolačné 2-sklo</v>
      </c>
      <c r="L57" s="470"/>
      <c r="M57" s="470"/>
      <c r="N57" s="470"/>
      <c r="O57" s="91">
        <f>OtvoroveKonstrukcie!O38</f>
        <v>55.811399999999999</v>
      </c>
      <c r="P57" s="92">
        <v>1.4</v>
      </c>
      <c r="Q57" s="93">
        <f t="shared" si="3"/>
        <v>78.135959999999997</v>
      </c>
      <c r="R57" s="242">
        <v>1</v>
      </c>
      <c r="S57" s="93">
        <f t="shared" si="4"/>
        <v>78.135959999999997</v>
      </c>
      <c r="T57" s="108">
        <v>1</v>
      </c>
      <c r="U57" s="109">
        <f>OtvoroveKonstrukcie!Q38</f>
        <v>13.032</v>
      </c>
      <c r="V57" s="104">
        <f t="shared" si="7"/>
        <v>1.3032E-3</v>
      </c>
      <c r="X57" s="162" t="s">
        <v>508</v>
      </c>
      <c r="Y57" s="104" t="s">
        <v>509</v>
      </c>
      <c r="Z57" s="104" t="s">
        <v>510</v>
      </c>
      <c r="AA57" s="104" t="s">
        <v>511</v>
      </c>
      <c r="AB57" s="104" t="s">
        <v>512</v>
      </c>
      <c r="AC57" s="104" t="s">
        <v>513</v>
      </c>
      <c r="AD57" s="104" t="s">
        <v>514</v>
      </c>
      <c r="AE57" s="104" t="s">
        <v>515</v>
      </c>
      <c r="AF57" s="104" t="s">
        <v>516</v>
      </c>
      <c r="AG57" s="104" t="s">
        <v>517</v>
      </c>
      <c r="AH57" s="215" t="s">
        <v>518</v>
      </c>
      <c r="AI57" s="104" t="s">
        <v>519</v>
      </c>
    </row>
    <row r="58" spans="10:41" x14ac:dyDescent="0.3">
      <c r="J58" s="96"/>
      <c r="K58" s="470"/>
      <c r="L58" s="470"/>
      <c r="M58" s="470"/>
      <c r="N58" s="470"/>
      <c r="O58" s="91"/>
      <c r="P58" s="92"/>
      <c r="Q58" s="93"/>
      <c r="R58" s="242"/>
      <c r="S58" s="93"/>
      <c r="T58" s="108"/>
      <c r="U58" s="109"/>
      <c r="V58" s="104"/>
      <c r="X58" s="104">
        <v>21.4</v>
      </c>
      <c r="Y58" s="104">
        <f>Y70</f>
        <v>30</v>
      </c>
      <c r="Z58" s="104">
        <f t="shared" ref="Z58:Z64" si="13">AA70</f>
        <v>347.99999999999994</v>
      </c>
      <c r="AA58" s="104" t="s">
        <v>525</v>
      </c>
      <c r="AB58" s="160">
        <f>Z58*0.024</f>
        <v>8.3519999999999985</v>
      </c>
      <c r="AC58" s="160">
        <f>S84</f>
        <v>4707.1973799013722</v>
      </c>
      <c r="AD58" s="160">
        <f>S96</f>
        <v>4639.7489416666667</v>
      </c>
      <c r="AE58" s="160">
        <f>Y58*0.024*5*D12</f>
        <v>40674.959999999999</v>
      </c>
      <c r="AF58" s="160" t="e">
        <f>#REF!</f>
        <v>#REF!</v>
      </c>
      <c r="AG58" s="160" t="e">
        <f t="shared" ref="AG58:AG64" si="14">AE58+AF58</f>
        <v>#REF!</v>
      </c>
      <c r="AH58" s="160" t="e">
        <f>#REF!</f>
        <v>#REF!</v>
      </c>
      <c r="AI58" s="160" t="e">
        <f t="shared" ref="AI58:AI63" si="15">(AB58*(AC58+AD58))-(AG58*AH58)</f>
        <v>#REF!</v>
      </c>
    </row>
    <row r="59" spans="10:41" x14ac:dyDescent="0.3">
      <c r="J59" s="96"/>
      <c r="K59" s="470"/>
      <c r="L59" s="470"/>
      <c r="M59" s="470"/>
      <c r="N59" s="470"/>
      <c r="O59" s="91"/>
      <c r="P59" s="92"/>
      <c r="Q59" s="93"/>
      <c r="R59" s="242"/>
      <c r="S59" s="93"/>
      <c r="T59" s="108"/>
      <c r="U59" s="109"/>
      <c r="V59" s="104"/>
      <c r="X59" s="104">
        <v>19.100000000000001</v>
      </c>
      <c r="Y59" s="104">
        <f>Y71</f>
        <v>30</v>
      </c>
      <c r="Z59" s="104">
        <f t="shared" si="13"/>
        <v>435.00000000000006</v>
      </c>
      <c r="AA59" s="104" t="s">
        <v>526</v>
      </c>
      <c r="AB59" s="160">
        <f t="shared" ref="AB59:AB64" si="16">Z59*0.024</f>
        <v>10.440000000000001</v>
      </c>
      <c r="AC59" s="160">
        <f>S84</f>
        <v>4707.1973799013722</v>
      </c>
      <c r="AD59" s="160">
        <f>S96</f>
        <v>4639.7489416666667</v>
      </c>
      <c r="AE59" s="160">
        <f>Y59*0.024*5*D12</f>
        <v>40674.959999999999</v>
      </c>
      <c r="AF59" s="160" t="e">
        <f>#REF!</f>
        <v>#REF!</v>
      </c>
      <c r="AG59" s="160" t="e">
        <f t="shared" si="14"/>
        <v>#REF!</v>
      </c>
      <c r="AH59" s="160" t="e">
        <f>#REF!</f>
        <v>#REF!</v>
      </c>
      <c r="AI59" s="160" t="e">
        <f t="shared" si="15"/>
        <v>#REF!</v>
      </c>
    </row>
    <row r="60" spans="10:41" x14ac:dyDescent="0.3">
      <c r="J60" s="96" t="str">
        <f>OtvoroveKonstrukcie!A44</f>
        <v>DO1</v>
      </c>
      <c r="K60" s="470" t="str">
        <f>OtvoroveKonstrukcie!B44</f>
        <v>plastové, izolačné 2-sklo</v>
      </c>
      <c r="L60" s="470"/>
      <c r="M60" s="470"/>
      <c r="N60" s="470"/>
      <c r="O60" s="91">
        <f>OtvoroveKonstrukcie!O44</f>
        <v>240</v>
      </c>
      <c r="P60" s="92">
        <f>OtvoroveKonstrukcie!N44</f>
        <v>1.5</v>
      </c>
      <c r="Q60" s="93">
        <f t="shared" si="3"/>
        <v>360</v>
      </c>
      <c r="R60" s="242">
        <v>1</v>
      </c>
      <c r="S60" s="93">
        <f t="shared" si="4"/>
        <v>360</v>
      </c>
      <c r="T60" s="108">
        <v>1</v>
      </c>
      <c r="U60" s="109">
        <f>OtvoroveKonstrukcie!Q44</f>
        <v>6.12</v>
      </c>
      <c r="V60" s="104">
        <f t="shared" si="7"/>
        <v>6.1200000000000002E-4</v>
      </c>
      <c r="X60" s="104">
        <v>18.5</v>
      </c>
      <c r="Y60" s="104">
        <v>31</v>
      </c>
      <c r="Z60" s="104">
        <f t="shared" si="13"/>
        <v>554.9</v>
      </c>
      <c r="AA60" s="104" t="s">
        <v>527</v>
      </c>
      <c r="AB60" s="160">
        <f t="shared" si="16"/>
        <v>13.317600000000001</v>
      </c>
      <c r="AC60" s="160">
        <f>S84</f>
        <v>4707.1973799013722</v>
      </c>
      <c r="AD60" s="160">
        <f>S96</f>
        <v>4639.7489416666667</v>
      </c>
      <c r="AE60" s="160">
        <f>Y60*0.024*5*D12</f>
        <v>42030.792000000001</v>
      </c>
      <c r="AF60" s="160" t="e">
        <f>#REF!</f>
        <v>#REF!</v>
      </c>
      <c r="AG60" s="160" t="e">
        <f t="shared" si="14"/>
        <v>#REF!</v>
      </c>
      <c r="AH60" s="160">
        <v>0.95</v>
      </c>
      <c r="AI60" s="160" t="e">
        <f t="shared" si="15"/>
        <v>#REF!</v>
      </c>
    </row>
    <row r="61" spans="10:41" x14ac:dyDescent="0.3">
      <c r="J61" s="96" t="str">
        <f>OtvoroveKonstrukcie!A45</f>
        <v>DO2</v>
      </c>
      <c r="K61" s="470" t="str">
        <f>OtvoroveKonstrukcie!B45</f>
        <v>plastové, izolačné 2-sklo</v>
      </c>
      <c r="L61" s="470"/>
      <c r="M61" s="470"/>
      <c r="N61" s="470"/>
      <c r="O61" s="91">
        <f>OtvoroveKonstrukcie!O45</f>
        <v>5.04</v>
      </c>
      <c r="P61" s="92">
        <f>OtvoroveKonstrukcie!N45</f>
        <v>1.5</v>
      </c>
      <c r="Q61" s="93">
        <f t="shared" si="3"/>
        <v>7.5600000000000005</v>
      </c>
      <c r="R61" s="242">
        <v>1</v>
      </c>
      <c r="S61" s="93">
        <f t="shared" si="4"/>
        <v>7.5600000000000005</v>
      </c>
      <c r="T61" s="108">
        <v>1</v>
      </c>
      <c r="U61" s="109">
        <f>OtvoroveKonstrukcie!Q45</f>
        <v>8.1</v>
      </c>
      <c r="V61" s="104">
        <f t="shared" si="7"/>
        <v>8.0999999999999996E-4</v>
      </c>
      <c r="X61" s="104">
        <v>18.5</v>
      </c>
      <c r="Y61" s="104">
        <v>31</v>
      </c>
      <c r="Z61" s="104">
        <f t="shared" si="13"/>
        <v>595.19999999999993</v>
      </c>
      <c r="AA61" s="104" t="s">
        <v>528</v>
      </c>
      <c r="AB61" s="160">
        <f t="shared" si="16"/>
        <v>14.284799999999999</v>
      </c>
      <c r="AC61" s="160">
        <f>S84</f>
        <v>4707.1973799013722</v>
      </c>
      <c r="AD61" s="160">
        <f>S96</f>
        <v>4639.7489416666667</v>
      </c>
      <c r="AE61" s="160">
        <f>Y61*0.024*5*D12</f>
        <v>42030.792000000001</v>
      </c>
      <c r="AF61" s="160" t="e">
        <f>#REF!</f>
        <v>#REF!</v>
      </c>
      <c r="AG61" s="160" t="e">
        <f t="shared" si="14"/>
        <v>#REF!</v>
      </c>
      <c r="AH61" s="160">
        <v>0.95</v>
      </c>
      <c r="AI61" s="160" t="e">
        <f t="shared" si="15"/>
        <v>#REF!</v>
      </c>
    </row>
    <row r="62" spans="10:41" x14ac:dyDescent="0.3">
      <c r="J62" s="96" t="str">
        <f>OtvoroveKonstrukcie!A46</f>
        <v>DO3</v>
      </c>
      <c r="K62" s="470" t="str">
        <f>OtvoroveKonstrukcie!B46</f>
        <v>plastové, izolačné 2-sklo</v>
      </c>
      <c r="L62" s="470"/>
      <c r="M62" s="470"/>
      <c r="N62" s="470"/>
      <c r="O62" s="91">
        <f>OtvoroveKonstrukcie!O46</f>
        <v>214.20000000000005</v>
      </c>
      <c r="P62" s="92">
        <f>OtvoroveKonstrukcie!N46</f>
        <v>1.5</v>
      </c>
      <c r="Q62" s="93">
        <f t="shared" si="3"/>
        <v>321.30000000000007</v>
      </c>
      <c r="R62" s="242">
        <v>1</v>
      </c>
      <c r="S62" s="93">
        <f t="shared" si="4"/>
        <v>321.30000000000007</v>
      </c>
      <c r="T62" s="108">
        <v>1</v>
      </c>
      <c r="U62" s="109">
        <f>OtvoroveKonstrukcie!Q46</f>
        <v>5.5620000000000003</v>
      </c>
      <c r="V62" s="104">
        <f t="shared" si="7"/>
        <v>5.5620000000000008E-4</v>
      </c>
      <c r="X62" s="104">
        <v>23.4</v>
      </c>
      <c r="Y62" s="104">
        <v>28</v>
      </c>
      <c r="Z62" s="104">
        <f t="shared" si="13"/>
        <v>487.19999999999993</v>
      </c>
      <c r="AA62" s="104" t="s">
        <v>529</v>
      </c>
      <c r="AB62" s="160">
        <f t="shared" si="16"/>
        <v>11.692799999999998</v>
      </c>
      <c r="AC62" s="160">
        <f>S84</f>
        <v>4707.1973799013722</v>
      </c>
      <c r="AD62" s="160">
        <f>S96</f>
        <v>4639.7489416666667</v>
      </c>
      <c r="AE62" s="160">
        <f>Y62*0.024*5*D12</f>
        <v>37963.296000000002</v>
      </c>
      <c r="AF62" s="160" t="e">
        <f>#REF!</f>
        <v>#REF!</v>
      </c>
      <c r="AG62" s="160" t="e">
        <f t="shared" si="14"/>
        <v>#REF!</v>
      </c>
      <c r="AH62" s="160" t="e">
        <f>#REF!</f>
        <v>#REF!</v>
      </c>
      <c r="AI62" s="160" t="e">
        <f t="shared" si="15"/>
        <v>#REF!</v>
      </c>
    </row>
    <row r="63" spans="10:41" x14ac:dyDescent="0.3">
      <c r="J63" s="96" t="str">
        <f>OtvoroveKonstrukcie!A47</f>
        <v>DO4</v>
      </c>
      <c r="K63" s="470" t="str">
        <f>OtvoroveKonstrukcie!B47</f>
        <v>plastové, izolačné 2-sklo</v>
      </c>
      <c r="L63" s="470"/>
      <c r="M63" s="470"/>
      <c r="N63" s="470"/>
      <c r="O63" s="91">
        <f>OtvoroveKonstrukcie!O47</f>
        <v>1.64</v>
      </c>
      <c r="P63" s="92">
        <f>OtvoroveKonstrukcie!N47</f>
        <v>1.5</v>
      </c>
      <c r="Q63" s="93">
        <f t="shared" si="3"/>
        <v>2.46</v>
      </c>
      <c r="R63" s="242">
        <v>1</v>
      </c>
      <c r="S63" s="93">
        <f t="shared" si="4"/>
        <v>2.46</v>
      </c>
      <c r="T63" s="108">
        <v>1</v>
      </c>
      <c r="U63" s="109">
        <f>OtvoroveKonstrukcie!Q47</f>
        <v>5.13</v>
      </c>
      <c r="V63" s="104">
        <f t="shared" si="7"/>
        <v>5.13E-4</v>
      </c>
      <c r="X63" s="104">
        <v>22.3</v>
      </c>
      <c r="Y63" s="104">
        <f>Y75</f>
        <v>31</v>
      </c>
      <c r="Z63" s="104">
        <f t="shared" si="13"/>
        <v>486.70000000000005</v>
      </c>
      <c r="AA63" s="104" t="s">
        <v>531</v>
      </c>
      <c r="AB63" s="160">
        <f t="shared" si="16"/>
        <v>11.680800000000001</v>
      </c>
      <c r="AC63" s="160">
        <f>S84</f>
        <v>4707.1973799013722</v>
      </c>
      <c r="AD63" s="160">
        <f>S96</f>
        <v>4639.7489416666667</v>
      </c>
      <c r="AE63" s="160">
        <f>Y63*0.024*5*D12</f>
        <v>42030.792000000001</v>
      </c>
      <c r="AF63" s="160" t="e">
        <f>#REF!</f>
        <v>#REF!</v>
      </c>
      <c r="AG63" s="160" t="e">
        <f t="shared" si="14"/>
        <v>#REF!</v>
      </c>
      <c r="AH63" s="160" t="e">
        <f>#REF!</f>
        <v>#REF!</v>
      </c>
      <c r="AI63" s="160" t="e">
        <f t="shared" si="15"/>
        <v>#REF!</v>
      </c>
    </row>
    <row r="64" spans="10:41" x14ac:dyDescent="0.3">
      <c r="J64" s="96" t="str">
        <f>OtvoroveKonstrukcie!A48</f>
        <v>DO5</v>
      </c>
      <c r="K64" s="470" t="str">
        <f>OtvoroveKonstrukcie!B48</f>
        <v>plastové, izolačné 2-sklo</v>
      </c>
      <c r="L64" s="470"/>
      <c r="M64" s="470"/>
      <c r="N64" s="470"/>
      <c r="O64" s="91">
        <f>OtvoroveKonstrukcie!O48</f>
        <v>1.5760000000000001</v>
      </c>
      <c r="P64" s="92">
        <f>OtvoroveKonstrukcie!N48</f>
        <v>1.5</v>
      </c>
      <c r="Q64" s="93">
        <f t="shared" si="3"/>
        <v>2.3639999999999999</v>
      </c>
      <c r="R64" s="242">
        <v>1</v>
      </c>
      <c r="S64" s="93">
        <f t="shared" si="4"/>
        <v>2.3639999999999999</v>
      </c>
      <c r="T64" s="108">
        <v>1</v>
      </c>
      <c r="U64" s="109">
        <f>OtvoroveKonstrukcie!Q48</f>
        <v>4.9859999999999998</v>
      </c>
      <c r="V64" s="104">
        <f t="shared" si="7"/>
        <v>4.9859999999999998E-4</v>
      </c>
      <c r="X64" s="239">
        <v>33</v>
      </c>
      <c r="Y64" s="239">
        <f>Y76</f>
        <v>14</v>
      </c>
      <c r="Z64" s="239">
        <f t="shared" si="13"/>
        <v>305.2</v>
      </c>
      <c r="AA64" s="239" t="s">
        <v>533</v>
      </c>
      <c r="AB64" s="240">
        <f t="shared" si="16"/>
        <v>7.3247999999999998</v>
      </c>
      <c r="AC64" s="240">
        <f>S84</f>
        <v>4707.1973799013722</v>
      </c>
      <c r="AD64" s="240">
        <f>S96</f>
        <v>4639.7489416666667</v>
      </c>
      <c r="AE64" s="240">
        <f>Y64*0.024*5*D12</f>
        <v>18981.648000000001</v>
      </c>
      <c r="AF64" s="240" t="e">
        <f>#REF!</f>
        <v>#REF!</v>
      </c>
      <c r="AG64" s="240" t="e">
        <f t="shared" si="14"/>
        <v>#REF!</v>
      </c>
      <c r="AH64" s="240" t="e">
        <f>#REF!</f>
        <v>#REF!</v>
      </c>
      <c r="AI64" s="240" t="e">
        <f>((AB64*(AC64+AD64))-(AG64*AH64))*0</f>
        <v>#REF!</v>
      </c>
      <c r="AK64" s="477" t="s">
        <v>534</v>
      </c>
      <c r="AL64" s="477"/>
      <c r="AN64" s="477" t="s">
        <v>535</v>
      </c>
      <c r="AO64" s="477"/>
    </row>
    <row r="65" spans="10:44" x14ac:dyDescent="0.3">
      <c r="J65" s="96" t="str">
        <f>OtvoroveKonstrukcie!A49</f>
        <v>DO6</v>
      </c>
      <c r="K65" s="470" t="str">
        <f>OtvoroveKonstrukcie!B49</f>
        <v>plastové, izolačné 2-sklo</v>
      </c>
      <c r="L65" s="470"/>
      <c r="M65" s="470"/>
      <c r="N65" s="470"/>
      <c r="O65" s="91">
        <f>OtvoroveKonstrukcie!O49</f>
        <v>1.5760000000000001</v>
      </c>
      <c r="P65" s="92">
        <f>OtvoroveKonstrukcie!N49</f>
        <v>1.5</v>
      </c>
      <c r="Q65" s="93">
        <f t="shared" si="3"/>
        <v>2.3639999999999999</v>
      </c>
      <c r="R65" s="242">
        <v>1</v>
      </c>
      <c r="S65" s="93">
        <f t="shared" si="4"/>
        <v>2.3639999999999999</v>
      </c>
      <c r="T65" s="108">
        <v>1</v>
      </c>
      <c r="U65" s="109">
        <f>OtvoroveKonstrukcie!Q49</f>
        <v>4.9859999999999998</v>
      </c>
      <c r="V65" s="104">
        <f t="shared" si="7"/>
        <v>4.9859999999999998E-4</v>
      </c>
      <c r="X65" s="117">
        <f>AVERAGE(X58:X63)</f>
        <v>20.533333333333335</v>
      </c>
      <c r="Y65" s="104">
        <f>SUM(Y58:Y64)</f>
        <v>195</v>
      </c>
      <c r="Z65" s="104">
        <f>SUM(Z58:Z64)</f>
        <v>3212.2</v>
      </c>
      <c r="AA65" s="136" t="s">
        <v>536</v>
      </c>
      <c r="AB65" s="160"/>
      <c r="AC65" s="160"/>
      <c r="AD65" s="160"/>
      <c r="AE65" s="160"/>
      <c r="AF65" s="160"/>
      <c r="AG65" s="160"/>
      <c r="AH65" s="160" t="e">
        <f>AVERAGE(AH58:AH64)</f>
        <v>#REF!</v>
      </c>
      <c r="AI65" s="150" t="e">
        <f>SUM(AI58:AI64)</f>
        <v>#REF!</v>
      </c>
      <c r="AK65" s="160" t="e">
        <f>#REF!*1000</f>
        <v>#REF!</v>
      </c>
      <c r="AL65" s="104" t="s">
        <v>537</v>
      </c>
      <c r="AN65" s="225" t="e">
        <f>#REF!*1000*12</f>
        <v>#REF!</v>
      </c>
      <c r="AO65" s="104" t="s">
        <v>538</v>
      </c>
    </row>
    <row r="66" spans="10:44" x14ac:dyDescent="0.3">
      <c r="J66" s="96" t="str">
        <f>OtvoroveKonstrukcie!A50</f>
        <v>DO7</v>
      </c>
      <c r="K66" s="470" t="str">
        <f>OtvoroveKonstrukcie!B50</f>
        <v>hliník</v>
      </c>
      <c r="L66" s="470"/>
      <c r="M66" s="470"/>
      <c r="N66" s="470"/>
      <c r="O66" s="91">
        <f>OtvoroveKonstrukcie!O50</f>
        <v>2.2050000000000001</v>
      </c>
      <c r="P66" s="92">
        <f>OtvoroveKonstrukcie!N50</f>
        <v>1.5</v>
      </c>
      <c r="Q66" s="93">
        <f t="shared" si="3"/>
        <v>3.3075000000000001</v>
      </c>
      <c r="R66" s="242">
        <v>1</v>
      </c>
      <c r="S66" s="93">
        <f t="shared" si="4"/>
        <v>3.3075000000000001</v>
      </c>
      <c r="T66" s="108">
        <v>1</v>
      </c>
      <c r="U66" s="109">
        <f>OtvoroveKonstrukcie!Q50</f>
        <v>5.6700000000000008</v>
      </c>
      <c r="V66" s="104">
        <f t="shared" si="7"/>
        <v>5.6700000000000012E-4</v>
      </c>
      <c r="Y66" s="117"/>
      <c r="AI66" s="223" t="e">
        <f>AI65/D12</f>
        <v>#REF!</v>
      </c>
      <c r="AJ66" s="117" t="s">
        <v>539</v>
      </c>
      <c r="AK66" s="224">
        <v>0.80400000000000005</v>
      </c>
      <c r="AL66" s="162"/>
    </row>
    <row r="67" spans="10:44" x14ac:dyDescent="0.3">
      <c r="J67" s="96" t="str">
        <f>OtvoroveKonstrukcie!A51</f>
        <v>DO8</v>
      </c>
      <c r="K67" s="470" t="str">
        <f>OtvoroveKonstrukcie!B51</f>
        <v>hliník</v>
      </c>
      <c r="L67" s="470"/>
      <c r="M67" s="470"/>
      <c r="N67" s="470"/>
      <c r="O67" s="91">
        <f>OtvoroveKonstrukcie!O51</f>
        <v>3.0449999999999999</v>
      </c>
      <c r="P67" s="92">
        <f>OtvoroveKonstrukcie!N51</f>
        <v>1.5</v>
      </c>
      <c r="Q67" s="93">
        <f t="shared" si="3"/>
        <v>4.5674999999999999</v>
      </c>
      <c r="R67" s="242">
        <v>1</v>
      </c>
      <c r="S67" s="93">
        <f t="shared" si="4"/>
        <v>4.5674999999999999</v>
      </c>
      <c r="T67" s="108">
        <v>1</v>
      </c>
      <c r="U67" s="109">
        <f>OtvoroveKonstrukcie!Q51</f>
        <v>6.39</v>
      </c>
      <c r="V67" s="104">
        <f t="shared" si="7"/>
        <v>6.3900000000000003E-4</v>
      </c>
      <c r="X67" s="478" t="s">
        <v>616</v>
      </c>
      <c r="Y67" s="478"/>
      <c r="Z67" s="478"/>
      <c r="AA67" s="478"/>
      <c r="AK67" s="213" t="e">
        <f>AK66*AK65</f>
        <v>#REF!</v>
      </c>
      <c r="AL67" s="218" t="s">
        <v>537</v>
      </c>
    </row>
    <row r="68" spans="10:44" x14ac:dyDescent="0.3">
      <c r="J68" s="96" t="str">
        <f>OtvoroveKonstrukcie!A52</f>
        <v>DO9</v>
      </c>
      <c r="K68" s="470" t="str">
        <f>OtvoroveKonstrukcie!B52</f>
        <v>hliník</v>
      </c>
      <c r="L68" s="470"/>
      <c r="M68" s="470"/>
      <c r="N68" s="470"/>
      <c r="O68" s="91">
        <f>OtvoroveKonstrukcie!O52</f>
        <v>2.2050000000000001</v>
      </c>
      <c r="P68" s="92">
        <f>OtvoroveKonstrukcie!N52</f>
        <v>1.5</v>
      </c>
      <c r="Q68" s="93">
        <f t="shared" si="3"/>
        <v>3.3075000000000001</v>
      </c>
      <c r="R68" s="242">
        <v>1</v>
      </c>
      <c r="S68" s="93">
        <f t="shared" si="4"/>
        <v>3.3075000000000001</v>
      </c>
      <c r="T68" s="108">
        <v>1</v>
      </c>
      <c r="U68" s="109">
        <f>OtvoroveKonstrukcie!Q52</f>
        <v>5.6700000000000008</v>
      </c>
      <c r="V68" s="104">
        <f t="shared" ref="V68:V73" si="17">(T68*U68)*0.0001</f>
        <v>5.6700000000000012E-4</v>
      </c>
      <c r="X68" s="253" t="s">
        <v>511</v>
      </c>
      <c r="Y68" s="253" t="s">
        <v>541</v>
      </c>
      <c r="Z68" s="253" t="s">
        <v>542</v>
      </c>
      <c r="AA68" s="253" t="s">
        <v>108</v>
      </c>
      <c r="AK68" s="232" t="e">
        <f>AI65+AN65</f>
        <v>#REF!</v>
      </c>
      <c r="AL68" s="228" t="s">
        <v>543</v>
      </c>
      <c r="AN68" s="477" t="s">
        <v>544</v>
      </c>
      <c r="AO68" s="477"/>
      <c r="AQ68" s="477" t="s">
        <v>545</v>
      </c>
      <c r="AR68" s="477"/>
    </row>
    <row r="69" spans="10:44" x14ac:dyDescent="0.3">
      <c r="J69" s="96" t="str">
        <f>OtvoroveKonstrukcie!A53</f>
        <v>DO10</v>
      </c>
      <c r="K69" s="470" t="str">
        <f>OtvoroveKonstrukcie!B53</f>
        <v>kovové, izolačné 2-sklo</v>
      </c>
      <c r="L69" s="470"/>
      <c r="M69" s="470"/>
      <c r="N69" s="470"/>
      <c r="O69" s="91">
        <f>OtvoroveKonstrukcie!O53</f>
        <v>5.04</v>
      </c>
      <c r="P69" s="92">
        <f>OtvoroveKonstrukcie!N53</f>
        <v>5.6</v>
      </c>
      <c r="Q69" s="93">
        <f>(O69*P69)</f>
        <v>28.223999999999997</v>
      </c>
      <c r="R69" s="242">
        <v>1</v>
      </c>
      <c r="S69" s="93">
        <f xml:space="preserve"> R69*Q69</f>
        <v>28.223999999999997</v>
      </c>
      <c r="T69" s="108">
        <v>1</v>
      </c>
      <c r="U69" s="109">
        <f>OtvoroveKonstrukcie!Q53</f>
        <v>8.1</v>
      </c>
      <c r="V69" s="104">
        <f t="shared" si="17"/>
        <v>8.0999999999999996E-4</v>
      </c>
      <c r="X69" s="253" t="s">
        <v>547</v>
      </c>
      <c r="Y69" s="104">
        <v>0</v>
      </c>
      <c r="Z69" s="104">
        <v>0</v>
      </c>
      <c r="AA69" s="104">
        <f>(20-Z69)*Y69</f>
        <v>0</v>
      </c>
      <c r="AN69" s="225" t="e">
        <f>'PotrebEnergieVYK 2016'!C3</f>
        <v>#REF!</v>
      </c>
      <c r="AO69" s="104" t="s">
        <v>538</v>
      </c>
      <c r="AQ69" s="225" t="e">
        <f>PotrebaEnergieTV!C3</f>
        <v>#REF!</v>
      </c>
      <c r="AR69" s="104" t="s">
        <v>538</v>
      </c>
    </row>
    <row r="70" spans="10:44" x14ac:dyDescent="0.3">
      <c r="J70" s="96" t="str">
        <f>OtvoroveKonstrukcie!A54</f>
        <v>DO11</v>
      </c>
      <c r="K70" s="470" t="str">
        <f>OtvoroveKonstrukcie!B54</f>
        <v>kovové, izolačné 2-sklo</v>
      </c>
      <c r="L70" s="470"/>
      <c r="M70" s="470"/>
      <c r="N70" s="470"/>
      <c r="O70" s="91">
        <f>OtvoroveKonstrukcie!O54</f>
        <v>2.5649999999999999</v>
      </c>
      <c r="P70" s="92">
        <f>OtvoroveKonstrukcie!N54</f>
        <v>5.6</v>
      </c>
      <c r="Q70" s="93">
        <f>(O70*P70)</f>
        <v>14.363999999999999</v>
      </c>
      <c r="R70" s="242">
        <v>1</v>
      </c>
      <c r="S70" s="93">
        <f xml:space="preserve"> R70*Q70</f>
        <v>14.363999999999999</v>
      </c>
      <c r="T70" s="108">
        <v>1</v>
      </c>
      <c r="U70" s="109">
        <f>OtvoroveKonstrukcie!Q54</f>
        <v>6.75</v>
      </c>
      <c r="V70" s="104">
        <f t="shared" si="17"/>
        <v>6.7500000000000004E-4</v>
      </c>
      <c r="X70" s="136" t="s">
        <v>525</v>
      </c>
      <c r="Y70" s="136">
        <v>30</v>
      </c>
      <c r="Z70" s="136">
        <v>9.8000000000000007</v>
      </c>
      <c r="AA70" s="136">
        <f t="shared" ref="AA70:AA75" si="18">(X58-Z70)*Y70</f>
        <v>347.99999999999994</v>
      </c>
      <c r="AK70" s="477" t="s">
        <v>548</v>
      </c>
      <c r="AL70" s="477"/>
    </row>
    <row r="71" spans="10:44" x14ac:dyDescent="0.3">
      <c r="J71" s="96" t="str">
        <f>OtvoroveKonstrukcie!A55</f>
        <v>DO12</v>
      </c>
      <c r="K71" s="470" t="str">
        <f>OtvoroveKonstrukcie!B55</f>
        <v>plastové, izolačné 2-sklo</v>
      </c>
      <c r="L71" s="470"/>
      <c r="M71" s="470"/>
      <c r="N71" s="470"/>
      <c r="O71" s="91">
        <f>OtvoroveKonstrukcie!O55</f>
        <v>7.6950000000000012</v>
      </c>
      <c r="P71" s="92">
        <f>OtvoroveKonstrukcie!N55</f>
        <v>1.4</v>
      </c>
      <c r="Q71" s="93">
        <f>(O71*P71)</f>
        <v>10.773000000000001</v>
      </c>
      <c r="R71" s="242">
        <v>1</v>
      </c>
      <c r="S71" s="93">
        <f xml:space="preserve"> R71*Q71</f>
        <v>10.773000000000001</v>
      </c>
      <c r="T71" s="108">
        <v>1</v>
      </c>
      <c r="U71" s="109">
        <f>OtvoroveKonstrukcie!Q55</f>
        <v>9.990000000000002</v>
      </c>
      <c r="V71" s="104">
        <f t="shared" si="17"/>
        <v>9.9900000000000032E-4</v>
      </c>
      <c r="X71" s="136" t="s">
        <v>526</v>
      </c>
      <c r="Y71" s="136">
        <v>30</v>
      </c>
      <c r="Z71" s="136">
        <v>4.5999999999999996</v>
      </c>
      <c r="AA71" s="136">
        <f t="shared" si="18"/>
        <v>435.00000000000006</v>
      </c>
      <c r="AK71" s="157" t="e">
        <f>AN69+AQ69</f>
        <v>#REF!</v>
      </c>
      <c r="AL71" s="153" t="s">
        <v>538</v>
      </c>
    </row>
    <row r="72" spans="10:44" x14ac:dyDescent="0.3">
      <c r="J72" s="96" t="str">
        <f>OtvoroveKonstrukcie!A56</f>
        <v>DO13</v>
      </c>
      <c r="K72" s="470" t="str">
        <f>OtvoroveKonstrukcie!B56</f>
        <v>Sekciová brána</v>
      </c>
      <c r="L72" s="470"/>
      <c r="M72" s="470"/>
      <c r="N72" s="470"/>
      <c r="O72" s="91">
        <f>OtvoroveKonstrukcie!O56</f>
        <v>11.52</v>
      </c>
      <c r="P72" s="92">
        <f>OtvoroveKonstrukcie!N56</f>
        <v>1.4</v>
      </c>
      <c r="Q72" s="93">
        <f>(O72*P72)</f>
        <v>16.128</v>
      </c>
      <c r="R72" s="242">
        <v>1</v>
      </c>
      <c r="S72" s="93">
        <f xml:space="preserve"> R72*Q72</f>
        <v>16.128</v>
      </c>
      <c r="T72" s="108">
        <v>1</v>
      </c>
      <c r="U72" s="109">
        <f>OtvoroveKonstrukcie!Q56</f>
        <v>8.64</v>
      </c>
      <c r="V72" s="104">
        <f t="shared" si="17"/>
        <v>8.6400000000000008E-4</v>
      </c>
      <c r="X72" s="136" t="s">
        <v>527</v>
      </c>
      <c r="Y72" s="136">
        <v>31</v>
      </c>
      <c r="Z72" s="136">
        <v>0.6</v>
      </c>
      <c r="AA72" s="136">
        <f t="shared" si="18"/>
        <v>554.9</v>
      </c>
    </row>
    <row r="73" spans="10:44" x14ac:dyDescent="0.3">
      <c r="J73" s="96">
        <f>OtvoroveKonstrukcie!A57</f>
        <v>0</v>
      </c>
      <c r="K73" s="470">
        <f>OtvoroveKonstrukcie!B57</f>
        <v>0</v>
      </c>
      <c r="L73" s="470"/>
      <c r="M73" s="470"/>
      <c r="N73" s="470"/>
      <c r="O73" s="91">
        <f>OtvoroveKonstrukcie!O57</f>
        <v>0</v>
      </c>
      <c r="P73" s="92">
        <f>OtvoroveKonstrukcie!N57</f>
        <v>0</v>
      </c>
      <c r="Q73" s="93">
        <f>(O73*P73)</f>
        <v>0</v>
      </c>
      <c r="R73" s="242">
        <v>1</v>
      </c>
      <c r="S73" s="93">
        <f xml:space="preserve"> R73*Q73</f>
        <v>0</v>
      </c>
      <c r="T73" s="108">
        <v>1</v>
      </c>
      <c r="U73" s="109">
        <f>OtvoroveKonstrukcie!Q57</f>
        <v>0</v>
      </c>
      <c r="V73" s="104">
        <f t="shared" si="17"/>
        <v>0</v>
      </c>
      <c r="X73" s="136" t="s">
        <v>528</v>
      </c>
      <c r="Y73" s="136">
        <v>31</v>
      </c>
      <c r="Z73" s="136">
        <v>-0.7</v>
      </c>
      <c r="AA73" s="136">
        <f t="shared" si="18"/>
        <v>595.19999999999993</v>
      </c>
    </row>
    <row r="74" spans="10:44" x14ac:dyDescent="0.3">
      <c r="J74" s="96"/>
      <c r="K74" s="470"/>
      <c r="L74" s="470"/>
      <c r="M74" s="470"/>
      <c r="N74" s="470"/>
      <c r="O74" s="91"/>
      <c r="P74" s="92"/>
      <c r="Q74" s="93"/>
      <c r="R74" s="242"/>
      <c r="S74" s="93"/>
      <c r="T74" s="108"/>
      <c r="U74" s="109"/>
      <c r="V74" s="104"/>
      <c r="X74" s="136" t="s">
        <v>529</v>
      </c>
      <c r="Y74" s="136">
        <v>28</v>
      </c>
      <c r="Z74" s="136">
        <v>6</v>
      </c>
      <c r="AA74" s="136">
        <f t="shared" si="18"/>
        <v>487.19999999999993</v>
      </c>
    </row>
    <row r="75" spans="10:44" x14ac:dyDescent="0.3">
      <c r="J75" s="96"/>
      <c r="K75" s="470"/>
      <c r="L75" s="470"/>
      <c r="M75" s="470"/>
      <c r="N75" s="470"/>
      <c r="O75" s="91"/>
      <c r="P75" s="92"/>
      <c r="Q75" s="93"/>
      <c r="R75" s="242"/>
      <c r="S75" s="93"/>
      <c r="T75" s="108"/>
      <c r="U75" s="109"/>
      <c r="V75" s="104"/>
      <c r="X75" s="136" t="s">
        <v>531</v>
      </c>
      <c r="Y75" s="136">
        <v>31</v>
      </c>
      <c r="Z75" s="136">
        <v>6.6</v>
      </c>
      <c r="AA75" s="136">
        <f t="shared" si="18"/>
        <v>486.70000000000005</v>
      </c>
    </row>
    <row r="76" spans="10:44" ht="15" x14ac:dyDescent="0.35">
      <c r="J76" s="97" t="s">
        <v>551</v>
      </c>
      <c r="K76" s="356"/>
      <c r="L76" s="356"/>
      <c r="M76" s="356"/>
      <c r="N76" s="98" t="s">
        <v>552</v>
      </c>
      <c r="O76" s="112">
        <f>SUM(O5:O75)</f>
        <v>9721.2033999999985</v>
      </c>
      <c r="P76" s="79"/>
      <c r="Q76" s="467" t="s">
        <v>553</v>
      </c>
      <c r="R76" s="468"/>
      <c r="S76" s="112">
        <f xml:space="preserve"> SUM(S5:S75)</f>
        <v>4221.1372099013724</v>
      </c>
      <c r="T76" s="106"/>
      <c r="U76" s="124">
        <f>SUM(U68:U75)</f>
        <v>39.150000000000006</v>
      </c>
      <c r="V76" s="125">
        <f>SUM(V68:V75)</f>
        <v>3.9150000000000001E-3</v>
      </c>
      <c r="X76" s="136" t="s">
        <v>533</v>
      </c>
      <c r="Y76" s="136">
        <v>14</v>
      </c>
      <c r="Z76" s="136">
        <v>11.2</v>
      </c>
      <c r="AA76" s="136">
        <f>(X64-Z76)*Y76</f>
        <v>305.2</v>
      </c>
    </row>
    <row r="77" spans="10:44" x14ac:dyDescent="0.3">
      <c r="T77" s="106"/>
      <c r="U77" s="107"/>
      <c r="X77" s="104" t="s">
        <v>550</v>
      </c>
      <c r="Y77" s="104">
        <v>8</v>
      </c>
      <c r="Z77" s="104">
        <v>15.9</v>
      </c>
      <c r="AA77" s="104">
        <f>(20-Z77)*Y77</f>
        <v>32.799999999999997</v>
      </c>
    </row>
    <row r="78" spans="10:44" x14ac:dyDescent="0.3">
      <c r="J78" s="450" t="s">
        <v>554</v>
      </c>
      <c r="K78" s="451"/>
      <c r="L78" s="451"/>
      <c r="M78" s="451"/>
      <c r="N78" s="451"/>
      <c r="O78" s="451"/>
      <c r="P78" s="451"/>
      <c r="Q78" s="451"/>
      <c r="R78" s="451"/>
      <c r="S78" s="451"/>
      <c r="T78" s="106"/>
      <c r="U78" s="107"/>
      <c r="X78" s="117"/>
      <c r="Y78" s="136">
        <f>SUM(Y69:Y77)</f>
        <v>203</v>
      </c>
      <c r="Z78" s="141">
        <f>AVERAGE(Z69:Z77)</f>
        <v>5.9999999999999991</v>
      </c>
      <c r="AA78" s="136">
        <f>SUM(AA69:AA77)</f>
        <v>3245</v>
      </c>
    </row>
    <row r="79" spans="10:44" x14ac:dyDescent="0.3">
      <c r="J79" s="452"/>
      <c r="K79" s="453"/>
      <c r="L79" s="453"/>
      <c r="M79" s="113"/>
      <c r="N79" s="79" t="s">
        <v>555</v>
      </c>
      <c r="O79" s="458" t="s">
        <v>556</v>
      </c>
      <c r="P79" s="459"/>
      <c r="Q79" s="459"/>
      <c r="R79" s="459"/>
      <c r="S79" s="460"/>
      <c r="T79" s="106"/>
      <c r="U79" s="107"/>
    </row>
    <row r="80" spans="10:44" x14ac:dyDescent="0.3">
      <c r="J80" s="454"/>
      <c r="K80" s="455"/>
      <c r="L80" s="455"/>
      <c r="M80" s="113" t="s">
        <v>557</v>
      </c>
      <c r="N80" s="79" t="s">
        <v>558</v>
      </c>
      <c r="O80" s="242">
        <v>0.05</v>
      </c>
      <c r="P80" s="461" t="s">
        <v>559</v>
      </c>
      <c r="Q80" s="462"/>
      <c r="R80" s="98" t="s">
        <v>560</v>
      </c>
      <c r="S80" s="114">
        <v>0.05</v>
      </c>
      <c r="T80" s="106"/>
      <c r="U80" s="107"/>
    </row>
    <row r="81" spans="10:21" x14ac:dyDescent="0.3">
      <c r="J81" s="454"/>
      <c r="K81" s="455"/>
      <c r="L81" s="455"/>
      <c r="M81" s="463"/>
      <c r="N81" s="464"/>
      <c r="O81" s="242">
        <v>0.1</v>
      </c>
      <c r="P81" s="431" t="s">
        <v>561</v>
      </c>
      <c r="Q81" s="433"/>
      <c r="R81" s="98"/>
      <c r="S81" s="115"/>
      <c r="T81" s="106"/>
      <c r="U81" s="107"/>
    </row>
    <row r="82" spans="10:21" x14ac:dyDescent="0.3">
      <c r="J82" s="456"/>
      <c r="K82" s="457"/>
      <c r="L82" s="457"/>
      <c r="M82" s="465"/>
      <c r="N82" s="466"/>
      <c r="O82" s="242">
        <v>0.2</v>
      </c>
      <c r="P82" s="431" t="s">
        <v>562</v>
      </c>
      <c r="Q82" s="433"/>
      <c r="R82" s="79"/>
      <c r="S82" s="221"/>
      <c r="T82" s="106"/>
      <c r="U82" s="107"/>
    </row>
    <row r="83" spans="10:21" ht="15" x14ac:dyDescent="0.35">
      <c r="J83" s="431" t="s">
        <v>563</v>
      </c>
      <c r="K83" s="432"/>
      <c r="L83" s="432"/>
      <c r="M83" s="433"/>
      <c r="N83" s="434" t="s">
        <v>564</v>
      </c>
      <c r="O83" s="435"/>
      <c r="P83" s="435"/>
      <c r="Q83" s="435"/>
      <c r="R83" s="436"/>
      <c r="S83" s="116">
        <f>S80*O76</f>
        <v>486.06016999999997</v>
      </c>
      <c r="T83" s="106"/>
      <c r="U83" s="107"/>
    </row>
    <row r="84" spans="10:21" ht="15" x14ac:dyDescent="0.35">
      <c r="J84" s="437" t="s">
        <v>565</v>
      </c>
      <c r="K84" s="438"/>
      <c r="L84" s="438"/>
      <c r="M84" s="439"/>
      <c r="N84" s="440" t="s">
        <v>566</v>
      </c>
      <c r="O84" s="441"/>
      <c r="P84" s="441"/>
      <c r="Q84" s="441"/>
      <c r="R84" s="442"/>
      <c r="S84" s="112">
        <f xml:space="preserve"> S76+S83</f>
        <v>4707.1973799013722</v>
      </c>
      <c r="T84" s="106"/>
      <c r="U84" s="107"/>
    </row>
    <row r="85" spans="10:21" x14ac:dyDescent="0.3"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06"/>
      <c r="U85" s="107"/>
    </row>
    <row r="86" spans="10:21" ht="15" x14ac:dyDescent="0.35">
      <c r="J86" s="443" t="s">
        <v>567</v>
      </c>
      <c r="K86" s="444"/>
      <c r="L86" s="444"/>
      <c r="M86" s="444"/>
      <c r="N86" s="444"/>
      <c r="O86" s="444"/>
      <c r="P86" s="445"/>
      <c r="Q86" s="79"/>
      <c r="R86" s="118" t="s">
        <v>568</v>
      </c>
      <c r="S86" s="119">
        <f>S84/O76</f>
        <v>0.48421961625670468</v>
      </c>
      <c r="T86" s="106"/>
      <c r="U86" s="107"/>
    </row>
    <row r="87" spans="10:21" ht="15" x14ac:dyDescent="0.35">
      <c r="J87" s="120" t="s">
        <v>569</v>
      </c>
      <c r="K87" s="89"/>
      <c r="L87" s="89"/>
      <c r="M87" s="121" t="s">
        <v>570</v>
      </c>
      <c r="N87" s="122" t="s">
        <v>571</v>
      </c>
      <c r="O87" s="122" t="s">
        <v>572</v>
      </c>
      <c r="P87" s="123" t="s">
        <v>573</v>
      </c>
      <c r="Q87" s="122" t="s">
        <v>574</v>
      </c>
      <c r="R87" s="446" t="s">
        <v>575</v>
      </c>
      <c r="S87" s="447"/>
      <c r="T87" s="106"/>
      <c r="U87" s="107"/>
    </row>
    <row r="88" spans="10:21" x14ac:dyDescent="0.3">
      <c r="J88" s="448" t="s">
        <v>567</v>
      </c>
      <c r="K88" s="448"/>
      <c r="L88" s="448"/>
      <c r="M88" s="448"/>
      <c r="N88" s="448"/>
      <c r="O88" s="448"/>
      <c r="P88" s="448"/>
      <c r="Q88" s="448"/>
      <c r="R88" s="448"/>
      <c r="S88" s="448"/>
      <c r="T88" s="106"/>
      <c r="U88" s="107"/>
    </row>
    <row r="89" spans="10:21" ht="15" x14ac:dyDescent="0.35">
      <c r="J89" s="449"/>
      <c r="K89" s="449"/>
      <c r="L89" s="449"/>
      <c r="M89" s="449"/>
      <c r="N89" s="449"/>
      <c r="O89" s="449"/>
      <c r="P89" s="449"/>
      <c r="Q89" s="79"/>
      <c r="R89" s="118" t="s">
        <v>568</v>
      </c>
      <c r="S89" s="119">
        <f>S84/O76</f>
        <v>0.48421961625670468</v>
      </c>
      <c r="T89" s="106"/>
      <c r="U89" s="107"/>
    </row>
    <row r="90" spans="10:21" x14ac:dyDescent="0.3">
      <c r="T90" s="106"/>
      <c r="U90" s="107"/>
    </row>
    <row r="91" spans="10:21" x14ac:dyDescent="0.3">
      <c r="J91" s="430" t="s">
        <v>576</v>
      </c>
      <c r="K91" s="430"/>
      <c r="L91" s="430"/>
      <c r="M91" s="430"/>
      <c r="N91" s="430"/>
      <c r="O91" s="430"/>
      <c r="P91" s="430"/>
      <c r="Q91" s="430"/>
      <c r="R91" s="430"/>
      <c r="S91" s="430"/>
      <c r="T91" s="106"/>
      <c r="U91" s="107"/>
    </row>
    <row r="92" spans="10:21" x14ac:dyDescent="0.3">
      <c r="J92" s="375" t="s">
        <v>577</v>
      </c>
      <c r="K92" s="375"/>
      <c r="L92" s="375"/>
      <c r="M92" s="375"/>
      <c r="N92" s="375"/>
      <c r="O92" s="375"/>
      <c r="P92" s="375"/>
      <c r="Q92" s="375"/>
      <c r="R92" s="375"/>
      <c r="S92" s="126">
        <v>0.85</v>
      </c>
      <c r="T92" s="106"/>
      <c r="U92" s="107"/>
    </row>
    <row r="93" spans="10:21" x14ac:dyDescent="0.3">
      <c r="J93" s="375" t="s">
        <v>578</v>
      </c>
      <c r="K93" s="375"/>
      <c r="L93" s="375"/>
      <c r="M93" s="375"/>
      <c r="N93" s="375"/>
      <c r="O93" s="375"/>
      <c r="P93" s="375"/>
      <c r="Q93" s="375"/>
      <c r="R93" s="375"/>
      <c r="S93" s="127">
        <v>1.2</v>
      </c>
      <c r="T93" s="106"/>
      <c r="U93" s="107"/>
    </row>
    <row r="94" spans="10:21" x14ac:dyDescent="0.3">
      <c r="J94" s="375" t="s">
        <v>579</v>
      </c>
      <c r="K94" s="375"/>
      <c r="L94" s="375"/>
      <c r="M94" s="375"/>
      <c r="N94" s="375"/>
      <c r="O94" s="375"/>
      <c r="P94" s="375"/>
      <c r="Q94" s="375"/>
      <c r="R94" s="375"/>
      <c r="S94" s="127">
        <v>1010</v>
      </c>
      <c r="T94" s="106"/>
      <c r="U94" s="226"/>
    </row>
    <row r="95" spans="10:21" x14ac:dyDescent="0.3">
      <c r="J95" s="375" t="s">
        <v>580</v>
      </c>
      <c r="K95" s="375"/>
      <c r="L95" s="375"/>
      <c r="M95" s="375"/>
      <c r="N95" s="375"/>
      <c r="O95" s="375"/>
      <c r="P95" s="375"/>
      <c r="Q95" s="375"/>
      <c r="R95" s="375"/>
      <c r="S95" s="128">
        <f>IF((25200*(V76/D11))&lt;0.5,0.5,(25200*(V76/D11)))</f>
        <v>0.5</v>
      </c>
      <c r="T95" s="106"/>
      <c r="U95" s="107"/>
    </row>
    <row r="96" spans="10:21" ht="15" x14ac:dyDescent="0.35">
      <c r="J96" s="422" t="s">
        <v>581</v>
      </c>
      <c r="K96" s="423"/>
      <c r="L96" s="423"/>
      <c r="M96" s="423"/>
      <c r="N96" s="423"/>
      <c r="O96" s="423"/>
      <c r="P96" s="423"/>
      <c r="Q96" s="423"/>
      <c r="R96" s="424"/>
      <c r="S96" s="129">
        <f>(S92*S93*S94*D11*S95)/3600</f>
        <v>4639.7489416666667</v>
      </c>
      <c r="T96" s="106"/>
      <c r="U96" s="107"/>
    </row>
    <row r="97" spans="10:21" x14ac:dyDescent="0.3">
      <c r="T97" s="106"/>
      <c r="U97" s="107"/>
    </row>
    <row r="98" spans="10:21" x14ac:dyDescent="0.3">
      <c r="J98" s="425" t="s">
        <v>582</v>
      </c>
      <c r="K98" s="426"/>
      <c r="L98" s="426"/>
      <c r="M98" s="426"/>
      <c r="N98" s="426"/>
      <c r="O98" s="426"/>
      <c r="P98" s="426"/>
      <c r="Q98" s="426"/>
      <c r="R98" s="426"/>
      <c r="S98" s="427"/>
      <c r="T98" s="106"/>
      <c r="U98" s="107"/>
    </row>
    <row r="99" spans="10:21" x14ac:dyDescent="0.3">
      <c r="J99" s="256" t="s">
        <v>511</v>
      </c>
      <c r="K99" s="256" t="s">
        <v>583</v>
      </c>
      <c r="L99" s="256" t="s">
        <v>584</v>
      </c>
      <c r="M99" s="256" t="s">
        <v>585</v>
      </c>
      <c r="N99" s="256" t="s">
        <v>586</v>
      </c>
      <c r="O99" s="256" t="s">
        <v>587</v>
      </c>
      <c r="P99" s="256" t="s">
        <v>588</v>
      </c>
      <c r="Q99" s="256" t="s">
        <v>589</v>
      </c>
      <c r="R99" s="428"/>
      <c r="S99" s="420" t="s">
        <v>590</v>
      </c>
      <c r="T99" s="106"/>
      <c r="U99" s="107"/>
    </row>
    <row r="100" spans="10:21" x14ac:dyDescent="0.3">
      <c r="J100" s="256" t="s">
        <v>73</v>
      </c>
      <c r="K100" s="256">
        <f>VstupneUdaje!BJ14</f>
        <v>16.219200000000001</v>
      </c>
      <c r="L100" s="256">
        <f>VstupneUdaje!BJ15</f>
        <v>13.171200000000002</v>
      </c>
      <c r="M100" s="256">
        <f>VstupneUdaje!BJ16</f>
        <v>11.457600000000001</v>
      </c>
      <c r="N100" s="256">
        <f>VstupneUdaje!BJ17</f>
        <v>7.2720000000000002</v>
      </c>
      <c r="O100" s="256">
        <f>VstupneUdaje!BJ18</f>
        <v>7.5888</v>
      </c>
      <c r="P100" s="256">
        <f>VstupneUdaje!BJ19</f>
        <v>11.304</v>
      </c>
      <c r="Q100" s="256">
        <f>VstupneUdaje!BJ20</f>
        <v>15.103200000000001</v>
      </c>
      <c r="R100" s="428"/>
      <c r="S100" s="429"/>
      <c r="T100" s="106"/>
      <c r="U100" s="107"/>
    </row>
    <row r="101" spans="10:21" x14ac:dyDescent="0.3">
      <c r="J101" s="256" t="s">
        <v>416</v>
      </c>
      <c r="K101" s="130">
        <f>S96+S84</f>
        <v>9346.9463215680389</v>
      </c>
      <c r="L101" s="130">
        <v>4558.5716155111986</v>
      </c>
      <c r="M101" s="130">
        <v>4558.5716155111986</v>
      </c>
      <c r="N101" s="130">
        <v>4558.5716155111986</v>
      </c>
      <c r="O101" s="130">
        <v>4558.5716155111986</v>
      </c>
      <c r="P101" s="130">
        <v>4558.5716155111986</v>
      </c>
      <c r="Q101" s="130">
        <v>4558.5716155111986</v>
      </c>
      <c r="R101" s="428"/>
      <c r="S101" s="421"/>
      <c r="T101" s="106"/>
      <c r="U101" s="107"/>
    </row>
    <row r="102" spans="10:21" x14ac:dyDescent="0.3">
      <c r="J102" s="257" t="s">
        <v>591</v>
      </c>
      <c r="K102" s="132">
        <f>K100*K101</f>
        <v>151599.99177877634</v>
      </c>
      <c r="L102" s="132">
        <f t="shared" ref="L102:Q102" si="19">L100*L101</f>
        <v>60041.858462221113</v>
      </c>
      <c r="M102" s="132">
        <f t="shared" si="19"/>
        <v>52230.290141881116</v>
      </c>
      <c r="N102" s="132">
        <f t="shared" si="19"/>
        <v>33149.932787997437</v>
      </c>
      <c r="O102" s="132">
        <f t="shared" si="19"/>
        <v>34594.088275791386</v>
      </c>
      <c r="P102" s="132">
        <f t="shared" si="19"/>
        <v>51530.093541738592</v>
      </c>
      <c r="Q102" s="132">
        <f t="shared" si="19"/>
        <v>68849.018823388746</v>
      </c>
      <c r="R102" s="428"/>
      <c r="S102" s="131">
        <f>SUM(K102:Q102)</f>
        <v>451995.27381179464</v>
      </c>
      <c r="T102" s="106"/>
      <c r="U102" s="107"/>
    </row>
    <row r="103" spans="10:21" x14ac:dyDescent="0.3">
      <c r="T103" s="106"/>
      <c r="U103" s="107"/>
    </row>
    <row r="104" spans="10:21" hidden="1" x14ac:dyDescent="0.3">
      <c r="J104" s="425" t="s">
        <v>592</v>
      </c>
      <c r="K104" s="426"/>
      <c r="L104" s="426"/>
      <c r="M104" s="426"/>
      <c r="N104" s="426"/>
      <c r="O104" s="426"/>
      <c r="P104" s="426"/>
      <c r="Q104" s="426"/>
      <c r="R104" s="426"/>
      <c r="S104" s="427"/>
      <c r="T104" s="106"/>
      <c r="U104" s="107"/>
    </row>
    <row r="105" spans="10:21" hidden="1" x14ac:dyDescent="0.3">
      <c r="J105" s="410" t="s">
        <v>593</v>
      </c>
      <c r="K105" s="410"/>
      <c r="L105" s="410"/>
      <c r="M105" s="410"/>
      <c r="N105" s="410"/>
      <c r="O105" s="410"/>
      <c r="P105" s="410"/>
      <c r="Q105" s="410"/>
      <c r="R105" s="410"/>
      <c r="S105" s="131">
        <f>S84+S96</f>
        <v>9346.9463215680389</v>
      </c>
      <c r="T105" s="106"/>
      <c r="U105" s="107"/>
    </row>
    <row r="106" spans="10:21" hidden="1" x14ac:dyDescent="0.3">
      <c r="T106" s="106"/>
      <c r="U106" s="107"/>
    </row>
    <row r="107" spans="10:21" hidden="1" x14ac:dyDescent="0.3">
      <c r="J107" s="425" t="s">
        <v>594</v>
      </c>
      <c r="K107" s="426"/>
      <c r="L107" s="426"/>
      <c r="M107" s="426"/>
      <c r="N107" s="426"/>
      <c r="O107" s="426"/>
      <c r="P107" s="426"/>
      <c r="Q107" s="426"/>
      <c r="R107" s="426"/>
      <c r="S107" s="427"/>
      <c r="T107" s="106"/>
      <c r="U107" s="107"/>
    </row>
    <row r="108" spans="10:21" x14ac:dyDescent="0.3">
      <c r="J108" s="417" t="s">
        <v>595</v>
      </c>
      <c r="K108" s="418"/>
      <c r="L108" s="418"/>
      <c r="M108" s="418"/>
      <c r="N108" s="418"/>
      <c r="O108" s="418"/>
      <c r="P108" s="418"/>
      <c r="Q108" s="418"/>
      <c r="R108" s="419"/>
      <c r="S108" s="420" t="s">
        <v>590</v>
      </c>
      <c r="T108" s="106"/>
      <c r="U108" s="107"/>
    </row>
    <row r="109" spans="10:21" hidden="1" x14ac:dyDescent="0.3">
      <c r="J109" s="135" t="s">
        <v>596</v>
      </c>
      <c r="K109" s="130">
        <f>G20</f>
        <v>198.33333333333334</v>
      </c>
      <c r="L109" s="411"/>
      <c r="M109" s="412"/>
      <c r="N109" s="412"/>
      <c r="O109" s="412"/>
      <c r="P109" s="412"/>
      <c r="Q109" s="412"/>
      <c r="R109" s="413"/>
      <c r="S109" s="421"/>
      <c r="T109" s="106"/>
      <c r="U109" s="107"/>
    </row>
    <row r="110" spans="10:21" hidden="1" x14ac:dyDescent="0.3">
      <c r="J110" s="135" t="s">
        <v>597</v>
      </c>
      <c r="K110" s="130">
        <v>5</v>
      </c>
      <c r="L110" s="411"/>
      <c r="M110" s="412"/>
      <c r="N110" s="412"/>
      <c r="O110" s="412"/>
      <c r="P110" s="412"/>
      <c r="Q110" s="412"/>
      <c r="R110" s="413"/>
      <c r="S110" s="131">
        <f>K109*0.024*K110*D12</f>
        <v>268906.68000000005</v>
      </c>
      <c r="T110" s="106"/>
      <c r="U110" s="107"/>
    </row>
    <row r="111" spans="10:21" hidden="1" x14ac:dyDescent="0.3">
      <c r="T111" s="106"/>
      <c r="U111" s="107"/>
    </row>
    <row r="112" spans="10:21" hidden="1" x14ac:dyDescent="0.3">
      <c r="J112" s="409" t="s">
        <v>598</v>
      </c>
      <c r="K112" s="409"/>
      <c r="L112" s="409"/>
      <c r="M112" s="409"/>
      <c r="N112" s="409"/>
      <c r="O112" s="409"/>
      <c r="P112" s="409"/>
      <c r="Q112" s="409"/>
      <c r="R112" s="409"/>
      <c r="S112" s="409"/>
      <c r="T112" s="106"/>
      <c r="U112" s="107"/>
    </row>
    <row r="113" spans="10:21" hidden="1" x14ac:dyDescent="0.3">
      <c r="J113" s="348" t="s">
        <v>401</v>
      </c>
      <c r="K113" s="348"/>
      <c r="L113" s="348"/>
      <c r="M113" s="253" t="str">
        <f>OtvoroveKonstrukcie!C2</f>
        <v>J</v>
      </c>
      <c r="N113" s="253" t="str">
        <f>OtvoroveKonstrukcie!D2</f>
        <v>V</v>
      </c>
      <c r="O113" s="253" t="str">
        <f>OtvoroveKonstrukcie!E2</f>
        <v>Z</v>
      </c>
      <c r="P113" s="253" t="str">
        <f>OtvoroveKonstrukcie!F2</f>
        <v>S</v>
      </c>
      <c r="Q113" s="253" t="str">
        <f>OtvoroveKonstrukcie!G2</f>
        <v>H</v>
      </c>
      <c r="R113" s="104"/>
      <c r="S113" s="414" t="s">
        <v>590</v>
      </c>
      <c r="T113" s="106"/>
      <c r="U113" s="107"/>
    </row>
    <row r="114" spans="10:21" hidden="1" x14ac:dyDescent="0.3">
      <c r="J114" s="348" t="s">
        <v>599</v>
      </c>
      <c r="K114" s="348"/>
      <c r="L114" s="348"/>
      <c r="M114" s="104" t="e">
        <f>#REF!</f>
        <v>#REF!</v>
      </c>
      <c r="N114" s="104" t="e">
        <f>#REF!</f>
        <v>#REF!</v>
      </c>
      <c r="O114" s="104" t="e">
        <f>#REF!</f>
        <v>#REF!</v>
      </c>
      <c r="P114" s="104" t="e">
        <f>#REF!</f>
        <v>#REF!</v>
      </c>
      <c r="Q114" s="104" t="e">
        <f>#REF!</f>
        <v>#REF!</v>
      </c>
      <c r="R114" s="104"/>
      <c r="S114" s="415"/>
      <c r="T114" s="106"/>
      <c r="U114" s="107"/>
    </row>
    <row r="115" spans="10:21" hidden="1" x14ac:dyDescent="0.3">
      <c r="J115" s="348" t="s">
        <v>600</v>
      </c>
      <c r="K115" s="348"/>
      <c r="L115" s="348"/>
      <c r="M115" s="104">
        <v>200</v>
      </c>
      <c r="N115" s="104">
        <v>200</v>
      </c>
      <c r="O115" s="104">
        <v>200</v>
      </c>
      <c r="P115" s="104">
        <v>200</v>
      </c>
      <c r="Q115" s="104">
        <v>200</v>
      </c>
      <c r="R115" s="104"/>
      <c r="S115" s="415"/>
      <c r="T115" s="94"/>
      <c r="U115" s="89"/>
    </row>
    <row r="116" spans="10:21" hidden="1" x14ac:dyDescent="0.3">
      <c r="J116" s="348" t="s">
        <v>601</v>
      </c>
      <c r="K116" s="348"/>
      <c r="L116" s="348"/>
      <c r="M116" s="104">
        <v>0.5</v>
      </c>
      <c r="N116" s="104">
        <v>0.5</v>
      </c>
      <c r="O116" s="104">
        <v>0.5</v>
      </c>
      <c r="P116" s="104">
        <v>0.5</v>
      </c>
      <c r="Q116" s="104">
        <v>0.5</v>
      </c>
      <c r="R116" s="104"/>
      <c r="S116" s="415"/>
    </row>
    <row r="117" spans="10:21" hidden="1" x14ac:dyDescent="0.3">
      <c r="J117" s="348" t="s">
        <v>602</v>
      </c>
      <c r="K117" s="348"/>
      <c r="L117" s="348"/>
      <c r="M117" s="104">
        <v>0.6</v>
      </c>
      <c r="N117" s="104">
        <v>0.6</v>
      </c>
      <c r="O117" s="104">
        <v>0.6</v>
      </c>
      <c r="P117" s="104">
        <v>0.6</v>
      </c>
      <c r="Q117" s="104">
        <v>0.6</v>
      </c>
      <c r="R117" s="104"/>
      <c r="S117" s="415"/>
      <c r="T117" t="s">
        <v>603</v>
      </c>
    </row>
    <row r="118" spans="10:21" hidden="1" x14ac:dyDescent="0.3">
      <c r="J118" s="348" t="s">
        <v>604</v>
      </c>
      <c r="K118" s="348"/>
      <c r="L118" s="348"/>
      <c r="M118" s="104">
        <f>0.8*M117*(1-0.8)*M115</f>
        <v>19.199999999999996</v>
      </c>
      <c r="N118" s="104">
        <f>0.8*N117*(1-0.8)*N115</f>
        <v>19.199999999999996</v>
      </c>
      <c r="O118" s="104">
        <f>0.8*O117*(1-0.8)*O115</f>
        <v>19.199999999999996</v>
      </c>
      <c r="P118" s="104">
        <f>0.8*P117*(1-0.8)*P115</f>
        <v>19.199999999999996</v>
      </c>
      <c r="Q118" s="104">
        <f>0.8*Q117*(1-0.8)*Q115</f>
        <v>19.199999999999996</v>
      </c>
      <c r="R118" s="104"/>
      <c r="S118" s="416"/>
      <c r="T118" t="s">
        <v>605</v>
      </c>
    </row>
    <row r="119" spans="10:21" hidden="1" x14ac:dyDescent="0.3">
      <c r="J119" s="408" t="s">
        <v>606</v>
      </c>
      <c r="K119" s="408"/>
      <c r="L119" s="408"/>
      <c r="M119" s="104" t="e">
        <f>M116*M118*M114</f>
        <v>#REF!</v>
      </c>
      <c r="N119" s="104" t="e">
        <f>N116*N118*N114</f>
        <v>#REF!</v>
      </c>
      <c r="O119" s="104" t="e">
        <f>O116*O118*O114</f>
        <v>#REF!</v>
      </c>
      <c r="P119" s="104" t="e">
        <f>P116*P118*P114</f>
        <v>#REF!</v>
      </c>
      <c r="Q119" s="104" t="e">
        <f>Q116*Q118*Q114</f>
        <v>#REF!</v>
      </c>
      <c r="R119" s="104"/>
      <c r="S119" s="131" t="e">
        <f>SUM(M119:Q119)</f>
        <v>#REF!</v>
      </c>
    </row>
    <row r="120" spans="10:21" hidden="1" x14ac:dyDescent="0.3"/>
    <row r="121" spans="10:21" hidden="1" x14ac:dyDescent="0.3">
      <c r="J121" s="409" t="s">
        <v>607</v>
      </c>
      <c r="K121" s="409"/>
      <c r="L121" s="409"/>
      <c r="M121" s="409"/>
      <c r="N121" s="409"/>
      <c r="O121" s="409"/>
      <c r="P121" s="409"/>
      <c r="Q121" s="409"/>
      <c r="R121" s="409"/>
      <c r="S121" s="409"/>
    </row>
    <row r="122" spans="10:21" hidden="1" x14ac:dyDescent="0.3">
      <c r="J122" s="410" t="s">
        <v>608</v>
      </c>
      <c r="K122" s="410"/>
      <c r="L122" s="410"/>
      <c r="M122" s="410"/>
      <c r="N122" s="410"/>
      <c r="O122" s="410"/>
      <c r="P122" s="410"/>
      <c r="Q122" s="410"/>
      <c r="R122" s="410"/>
      <c r="S122" s="131" t="e">
        <f>S110+S119</f>
        <v>#REF!</v>
      </c>
    </row>
    <row r="123" spans="10:21" hidden="1" x14ac:dyDescent="0.3"/>
    <row r="124" spans="10:21" hidden="1" x14ac:dyDescent="0.3">
      <c r="J124" s="409" t="s">
        <v>609</v>
      </c>
      <c r="K124" s="409"/>
      <c r="L124" s="409"/>
      <c r="M124" s="409"/>
      <c r="N124" s="409"/>
      <c r="O124" s="409"/>
      <c r="P124" s="409"/>
      <c r="Q124" s="409"/>
      <c r="R124" s="409"/>
      <c r="S124" s="409"/>
    </row>
    <row r="125" spans="10:21" hidden="1" x14ac:dyDescent="0.3">
      <c r="J125" s="405" t="s">
        <v>610</v>
      </c>
      <c r="K125" s="406"/>
      <c r="L125" s="406"/>
      <c r="M125" s="406"/>
      <c r="N125" s="406"/>
      <c r="O125" s="406"/>
      <c r="P125" s="406"/>
      <c r="Q125" s="406"/>
      <c r="R125" s="407"/>
      <c r="S125" s="131" t="e">
        <f>S105*(20-G21)*G20*0.024-0.95*S122</f>
        <v>#REF!</v>
      </c>
    </row>
    <row r="126" spans="10:21" hidden="1" x14ac:dyDescent="0.3"/>
    <row r="127" spans="10:21" x14ac:dyDescent="0.3">
      <c r="J127" s="409" t="s">
        <v>611</v>
      </c>
      <c r="K127" s="409"/>
      <c r="L127" s="409"/>
      <c r="M127" s="409"/>
      <c r="N127" s="409"/>
      <c r="O127" s="409"/>
      <c r="P127" s="409"/>
      <c r="Q127" s="409"/>
      <c r="R127" s="409"/>
      <c r="S127" s="409"/>
    </row>
    <row r="128" spans="10:21" x14ac:dyDescent="0.3">
      <c r="J128" s="405" t="s">
        <v>612</v>
      </c>
      <c r="K128" s="406"/>
      <c r="L128" s="406"/>
      <c r="M128" s="406"/>
      <c r="N128" s="406"/>
      <c r="O128" s="406"/>
      <c r="P128" s="406"/>
      <c r="Q128" s="406"/>
      <c r="R128" s="407"/>
      <c r="S128" s="131" t="e">
        <f>S125/D12</f>
        <v>#REF!</v>
      </c>
      <c r="T128" t="s">
        <v>613</v>
      </c>
    </row>
    <row r="129" spans="19:21" x14ac:dyDescent="0.3">
      <c r="S129">
        <f>(25200*(V76/D11))</f>
        <v>3.0424739953557075E-3</v>
      </c>
      <c r="T129">
        <v>1.4</v>
      </c>
      <c r="U129">
        <v>1.0980000000000001</v>
      </c>
    </row>
  </sheetData>
  <mergeCells count="154">
    <mergeCell ref="B8:D8"/>
    <mergeCell ref="K8:N8"/>
    <mergeCell ref="B2:D2"/>
    <mergeCell ref="J2:S2"/>
    <mergeCell ref="K13:N13"/>
    <mergeCell ref="X13:AA13"/>
    <mergeCell ref="K14:N14"/>
    <mergeCell ref="AN14:AO14"/>
    <mergeCell ref="AQ14:AR14"/>
    <mergeCell ref="X2:AI2"/>
    <mergeCell ref="C3:D3"/>
    <mergeCell ref="J3:N4"/>
    <mergeCell ref="C4:D4"/>
    <mergeCell ref="C5:D5"/>
    <mergeCell ref="K5:N5"/>
    <mergeCell ref="C6:D6"/>
    <mergeCell ref="K6:N6"/>
    <mergeCell ref="K7:N7"/>
    <mergeCell ref="K15:N15"/>
    <mergeCell ref="AK15:AL15"/>
    <mergeCell ref="K9:N9"/>
    <mergeCell ref="K10:N10"/>
    <mergeCell ref="AK10:AL10"/>
    <mergeCell ref="AN10:AO10"/>
    <mergeCell ref="K11:N11"/>
    <mergeCell ref="K12:N12"/>
    <mergeCell ref="B20:C20"/>
    <mergeCell ref="K20:N20"/>
    <mergeCell ref="B21:C21"/>
    <mergeCell ref="K21:N21"/>
    <mergeCell ref="B22:C22"/>
    <mergeCell ref="K22:N22"/>
    <mergeCell ref="K16:N16"/>
    <mergeCell ref="K17:N17"/>
    <mergeCell ref="AN17:AO17"/>
    <mergeCell ref="B18:G18"/>
    <mergeCell ref="K18:N18"/>
    <mergeCell ref="B19:C19"/>
    <mergeCell ref="K19:N19"/>
    <mergeCell ref="K29:N29"/>
    <mergeCell ref="X29:AI29"/>
    <mergeCell ref="K30:N30"/>
    <mergeCell ref="K31:N31"/>
    <mergeCell ref="K32:N32"/>
    <mergeCell ref="K33:N33"/>
    <mergeCell ref="K23:N23"/>
    <mergeCell ref="K24:N24"/>
    <mergeCell ref="K25:N25"/>
    <mergeCell ref="K26:N26"/>
    <mergeCell ref="K27:N27"/>
    <mergeCell ref="K28:N28"/>
    <mergeCell ref="K38:N38"/>
    <mergeCell ref="K39:N39"/>
    <mergeCell ref="K40:N40"/>
    <mergeCell ref="X40:AA40"/>
    <mergeCell ref="K41:N41"/>
    <mergeCell ref="AN41:AO41"/>
    <mergeCell ref="K34:N34"/>
    <mergeCell ref="K35:N35"/>
    <mergeCell ref="K36:N36"/>
    <mergeCell ref="K37:N37"/>
    <mergeCell ref="AK37:AL37"/>
    <mergeCell ref="AN37:AO37"/>
    <mergeCell ref="X56:AI56"/>
    <mergeCell ref="K46:N46"/>
    <mergeCell ref="K47:N47"/>
    <mergeCell ref="K48:N48"/>
    <mergeCell ref="K49:N49"/>
    <mergeCell ref="K50:N50"/>
    <mergeCell ref="K51:N51"/>
    <mergeCell ref="AQ41:AR41"/>
    <mergeCell ref="K42:N42"/>
    <mergeCell ref="K43:N43"/>
    <mergeCell ref="AK43:AL43"/>
    <mergeCell ref="K44:N44"/>
    <mergeCell ref="K45:N45"/>
    <mergeCell ref="K57:N57"/>
    <mergeCell ref="K58:N58"/>
    <mergeCell ref="K59:N59"/>
    <mergeCell ref="K60:N60"/>
    <mergeCell ref="K61:N61"/>
    <mergeCell ref="K62:N62"/>
    <mergeCell ref="K52:N52"/>
    <mergeCell ref="K53:N53"/>
    <mergeCell ref="K54:N54"/>
    <mergeCell ref="K55:N55"/>
    <mergeCell ref="K56:N56"/>
    <mergeCell ref="AN68:AO68"/>
    <mergeCell ref="AQ68:AR68"/>
    <mergeCell ref="K69:N69"/>
    <mergeCell ref="K63:N63"/>
    <mergeCell ref="K64:N64"/>
    <mergeCell ref="AK64:AL64"/>
    <mergeCell ref="AN64:AO64"/>
    <mergeCell ref="K65:N65"/>
    <mergeCell ref="K66:N66"/>
    <mergeCell ref="K70:N70"/>
    <mergeCell ref="AK70:AL70"/>
    <mergeCell ref="K71:N71"/>
    <mergeCell ref="K72:N72"/>
    <mergeCell ref="K73:N73"/>
    <mergeCell ref="K74:N74"/>
    <mergeCell ref="K67:N67"/>
    <mergeCell ref="X67:AA67"/>
    <mergeCell ref="K68:N68"/>
    <mergeCell ref="K75:N75"/>
    <mergeCell ref="K76:M76"/>
    <mergeCell ref="Q76:R76"/>
    <mergeCell ref="J78:S78"/>
    <mergeCell ref="J79:L82"/>
    <mergeCell ref="O79:S79"/>
    <mergeCell ref="P80:Q80"/>
    <mergeCell ref="M81:N82"/>
    <mergeCell ref="P81:Q81"/>
    <mergeCell ref="P82:Q82"/>
    <mergeCell ref="J88:S88"/>
    <mergeCell ref="J89:P89"/>
    <mergeCell ref="J91:S91"/>
    <mergeCell ref="J92:R92"/>
    <mergeCell ref="J93:R93"/>
    <mergeCell ref="J94:R94"/>
    <mergeCell ref="J83:M83"/>
    <mergeCell ref="N83:R83"/>
    <mergeCell ref="J84:M84"/>
    <mergeCell ref="N84:R84"/>
    <mergeCell ref="J86:P86"/>
    <mergeCell ref="R87:S87"/>
    <mergeCell ref="J105:R105"/>
    <mergeCell ref="J107:S107"/>
    <mergeCell ref="J108:R108"/>
    <mergeCell ref="S108:S109"/>
    <mergeCell ref="L109:R109"/>
    <mergeCell ref="L110:R110"/>
    <mergeCell ref="J95:R95"/>
    <mergeCell ref="J96:R96"/>
    <mergeCell ref="J98:S98"/>
    <mergeCell ref="R99:R102"/>
    <mergeCell ref="S99:S101"/>
    <mergeCell ref="J104:S104"/>
    <mergeCell ref="J128:R128"/>
    <mergeCell ref="J119:L119"/>
    <mergeCell ref="J121:S121"/>
    <mergeCell ref="J122:R122"/>
    <mergeCell ref="J124:S124"/>
    <mergeCell ref="J125:R125"/>
    <mergeCell ref="J127:S127"/>
    <mergeCell ref="J112:S112"/>
    <mergeCell ref="J113:L113"/>
    <mergeCell ref="S113:S118"/>
    <mergeCell ref="J114:L114"/>
    <mergeCell ref="J115:L115"/>
    <mergeCell ref="J116:L116"/>
    <mergeCell ref="J117:L117"/>
    <mergeCell ref="J118:L118"/>
  </mergeCells>
  <dataValidations count="4">
    <dataValidation type="whole" allowBlank="1" showInputMessage="1" showErrorMessage="1" errorTitle="Rok spracovania EA" error="Zadajte štvorciferné celé číslo väčšie ako 2000 a menšie ako 2020." sqref="C6:D6" xr:uid="{00000000-0002-0000-0B00-000000000000}">
      <formula1>2011</formula1>
      <formula2>2020</formula2>
    </dataValidation>
    <dataValidation type="decimal" operator="greaterThanOrEqual" allowBlank="1" showInputMessage="1" showErrorMessage="1" errorTitle="POZOR" error="zadaj číslo &gt;=0" sqref="D9:D12 D16" xr:uid="{00000000-0002-0000-0B00-000001000000}">
      <formula1>0</formula1>
    </dataValidation>
    <dataValidation type="list" allowBlank="1" showInputMessage="1" showErrorMessage="1" sqref="S80" xr:uid="{00000000-0002-0000-0B00-000002000000}">
      <formula1>$O$80:$O$82</formula1>
    </dataValidation>
    <dataValidation allowBlank="1" showInputMessage="1" showErrorMessage="1" errorTitle="Hygienické minimum" error="Priemerná intenzita výmeny vzduchu nižšia ako hygienické minimum. Voliť minimum 0,5 l/h." sqref="S95" xr:uid="{00000000-0002-0000-0B00-000003000000}"/>
  </dataValidations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B00-000004000000}">
          <x14:formula1>
            <xm:f>VstupneUdaje!$L$2:$L$10</xm:f>
          </x14:formula1>
          <xm:sqref>C5:D5</xm:sqref>
        </x14:dataValidation>
        <x14:dataValidation type="list" allowBlank="1" showInputMessage="1" showErrorMessage="1" xr:uid="{00000000-0002-0000-0B00-000005000000}">
          <x14:formula1>
            <xm:f>Dennostupne!$B$3:$B$81</xm:f>
          </x14:formula1>
          <xm:sqref>C3:D3</xm:sqref>
        </x14:dataValidation>
        <x14:dataValidation type="list" allowBlank="1" showInputMessage="1" showErrorMessage="1" prompt="Bytové domy = 5 W/m2_x000a_Rodinné domy = 4 W/m2_x000a_Ostatné = 6 W/m2" xr:uid="{00000000-0002-0000-0B00-000006000000}">
          <x14:formula1>
            <xm:f>VstupneUdaje!$BI$2:$BI$4</xm:f>
          </x14:formula1>
          <xm:sqref>K110</xm:sqref>
        </x14:dataValidation>
        <x14:dataValidation type="list" allowBlank="1" showInputMessage="1" showErrorMessage="1" xr:uid="{00000000-0002-0000-0B00-000007000000}">
          <x14:formula1>
            <xm:f>VstupneUdaje!$M$28:$M$40</xm:f>
          </x14:formula1>
          <xm:sqref>R5:R75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R129"/>
  <sheetViews>
    <sheetView topLeftCell="Q1" zoomScaleNormal="100" workbookViewId="0">
      <selection activeCell="S80" sqref="S80"/>
    </sheetView>
  </sheetViews>
  <sheetFormatPr defaultColWidth="8.88671875" defaultRowHeight="14.4" x14ac:dyDescent="0.3"/>
  <cols>
    <col min="2" max="2" width="28.5546875" bestFit="1" customWidth="1"/>
    <col min="4" max="6" width="11.44140625" bestFit="1" customWidth="1"/>
    <col min="10" max="10" width="12.88671875" customWidth="1"/>
    <col min="11" max="12" width="9.44140625" bestFit="1" customWidth="1"/>
    <col min="13" max="13" width="10.6640625" customWidth="1"/>
    <col min="14" max="15" width="9.44140625" bestFit="1" customWidth="1"/>
    <col min="16" max="16" width="19.33203125" bestFit="1" customWidth="1"/>
    <col min="17" max="17" width="9.44140625" bestFit="1" customWidth="1"/>
    <col min="18" max="18" width="9" bestFit="1" customWidth="1"/>
    <col min="19" max="19" width="9.6640625" bestFit="1" customWidth="1"/>
    <col min="20" max="21" width="9" bestFit="1" customWidth="1"/>
    <col min="25" max="25" width="10.44140625" customWidth="1"/>
    <col min="26" max="27" width="8.88671875" style="117"/>
    <col min="28" max="28" width="9.5546875" style="117" bestFit="1" customWidth="1"/>
    <col min="29" max="31" width="8.88671875" style="117"/>
    <col min="32" max="32" width="10" style="117" bestFit="1" customWidth="1"/>
    <col min="33" max="33" width="8.88671875" style="117"/>
    <col min="34" max="34" width="4.88671875" style="117" customWidth="1"/>
    <col min="35" max="35" width="11.33203125" style="117" customWidth="1"/>
    <col min="37" max="37" width="12.6640625" bestFit="1" customWidth="1"/>
    <col min="40" max="40" width="12.6640625" bestFit="1" customWidth="1"/>
    <col min="43" max="43" width="9.88671875" bestFit="1" customWidth="1"/>
    <col min="46" max="46" width="9.88671875" bestFit="1" customWidth="1"/>
  </cols>
  <sheetData>
    <row r="1" spans="2:44" x14ac:dyDescent="0.3">
      <c r="J1" s="138" t="s">
        <v>497</v>
      </c>
      <c r="X1">
        <v>2018</v>
      </c>
    </row>
    <row r="2" spans="2:44" x14ac:dyDescent="0.3">
      <c r="B2" s="472" t="s">
        <v>315</v>
      </c>
      <c r="C2" s="472"/>
      <c r="D2" s="472"/>
      <c r="F2" s="217" t="s">
        <v>498</v>
      </c>
      <c r="J2" s="430" t="s">
        <v>499</v>
      </c>
      <c r="K2" s="430"/>
      <c r="L2" s="430"/>
      <c r="M2" s="430"/>
      <c r="N2" s="430"/>
      <c r="O2" s="430"/>
      <c r="P2" s="430"/>
      <c r="Q2" s="430"/>
      <c r="R2" s="430"/>
      <c r="S2" s="430"/>
      <c r="T2" s="89"/>
      <c r="U2" s="89"/>
      <c r="X2" s="473" t="s">
        <v>500</v>
      </c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5"/>
    </row>
    <row r="3" spans="2:44" x14ac:dyDescent="0.3">
      <c r="B3" s="244" t="s">
        <v>316</v>
      </c>
      <c r="C3" s="469" t="s">
        <v>168</v>
      </c>
      <c r="D3" s="469"/>
      <c r="F3" s="218" t="s">
        <v>501</v>
      </c>
      <c r="J3" s="476" t="s">
        <v>502</v>
      </c>
      <c r="K3" s="476"/>
      <c r="L3" s="476"/>
      <c r="M3" s="476"/>
      <c r="N3" s="476"/>
      <c r="O3" s="254" t="s">
        <v>503</v>
      </c>
      <c r="P3" s="99" t="s">
        <v>504</v>
      </c>
      <c r="Q3" s="99" t="s">
        <v>505</v>
      </c>
      <c r="R3" s="254" t="s">
        <v>506</v>
      </c>
      <c r="S3" s="99" t="s">
        <v>507</v>
      </c>
      <c r="T3" s="89"/>
      <c r="U3" s="89"/>
      <c r="X3" s="162" t="s">
        <v>508</v>
      </c>
      <c r="Y3" s="104" t="s">
        <v>509</v>
      </c>
      <c r="Z3" s="104" t="s">
        <v>510</v>
      </c>
      <c r="AA3" s="104" t="s">
        <v>511</v>
      </c>
      <c r="AB3" s="104" t="s">
        <v>512</v>
      </c>
      <c r="AC3" s="104" t="s">
        <v>513</v>
      </c>
      <c r="AD3" s="104" t="s">
        <v>514</v>
      </c>
      <c r="AE3" s="104" t="s">
        <v>515</v>
      </c>
      <c r="AF3" s="104" t="s">
        <v>516</v>
      </c>
      <c r="AG3" s="104" t="s">
        <v>517</v>
      </c>
      <c r="AH3" s="215" t="s">
        <v>518</v>
      </c>
      <c r="AI3" s="104" t="s">
        <v>519</v>
      </c>
    </row>
    <row r="4" spans="2:44" x14ac:dyDescent="0.3">
      <c r="B4" s="244" t="s">
        <v>520</v>
      </c>
      <c r="C4" s="469"/>
      <c r="D4" s="469"/>
      <c r="J4" s="476"/>
      <c r="K4" s="476"/>
      <c r="L4" s="476"/>
      <c r="M4" s="476"/>
      <c r="N4" s="476"/>
      <c r="O4" s="76" t="s">
        <v>521</v>
      </c>
      <c r="P4" s="76" t="s">
        <v>522</v>
      </c>
      <c r="Q4" s="76" t="s">
        <v>523</v>
      </c>
      <c r="R4" s="76" t="s">
        <v>524</v>
      </c>
      <c r="S4" s="76" t="s">
        <v>523</v>
      </c>
      <c r="T4" s="90"/>
      <c r="U4" s="90"/>
      <c r="X4" s="104">
        <v>23.2</v>
      </c>
      <c r="Y4" s="104">
        <f>Y16</f>
        <v>30</v>
      </c>
      <c r="Z4" s="104">
        <f t="shared" ref="Z4:Z10" si="0">AA16</f>
        <v>338.99999999999994</v>
      </c>
      <c r="AA4" s="104" t="s">
        <v>525</v>
      </c>
      <c r="AB4" s="160">
        <f>Z4*0.024</f>
        <v>8.1359999999999992</v>
      </c>
      <c r="AC4" s="160">
        <f>S84</f>
        <v>5404.8168455220421</v>
      </c>
      <c r="AD4" s="160">
        <f>S96</f>
        <v>4639.7489416666667</v>
      </c>
      <c r="AE4" s="160">
        <f>Y4*0.024*5*D12</f>
        <v>40674.959999999999</v>
      </c>
      <c r="AF4" s="160" t="e">
        <f>#REF!</f>
        <v>#REF!</v>
      </c>
      <c r="AG4" s="160" t="e">
        <f t="shared" ref="AG4:AG10" si="1">AE4+AF4</f>
        <v>#REF!</v>
      </c>
      <c r="AH4" s="160" t="e">
        <f>#REF!</f>
        <v>#REF!</v>
      </c>
      <c r="AI4" s="160" t="e">
        <f t="shared" ref="AI4:AI9" si="2">(AB4*(AC4+AD4))-(AG4*AH4)</f>
        <v>#REF!</v>
      </c>
    </row>
    <row r="5" spans="2:44" x14ac:dyDescent="0.3">
      <c r="B5" s="244" t="s">
        <v>3</v>
      </c>
      <c r="C5" s="469" t="s">
        <v>30</v>
      </c>
      <c r="D5" s="469"/>
      <c r="J5" s="96" t="str">
        <f>KonstrukcieSUM!B2</f>
        <v>SO1</v>
      </c>
      <c r="K5" s="470" t="str">
        <f>KonstrukcieSUM!C2</f>
        <v>Obvodová stena ŠD</v>
      </c>
      <c r="L5" s="470"/>
      <c r="M5" s="470"/>
      <c r="N5" s="470"/>
      <c r="O5" s="91">
        <f>KonstrukcieSUM!G2</f>
        <v>465.1</v>
      </c>
      <c r="P5" s="92">
        <f>Konstrukcie!E13</f>
        <v>0.33016272305636352</v>
      </c>
      <c r="Q5" s="93">
        <f t="shared" ref="Q5:Q68" si="3">(O5*P5)</f>
        <v>153.55868249351468</v>
      </c>
      <c r="R5" s="242">
        <v>1</v>
      </c>
      <c r="S5" s="93">
        <f t="shared" ref="S5:S68" si="4" xml:space="preserve"> R5*Q5</f>
        <v>153.55868249351468</v>
      </c>
      <c r="T5" s="94"/>
      <c r="U5" s="89"/>
      <c r="X5" s="104">
        <v>20.8</v>
      </c>
      <c r="Y5" s="104">
        <f>Y17</f>
        <v>30</v>
      </c>
      <c r="Z5" s="104">
        <f t="shared" si="0"/>
        <v>447</v>
      </c>
      <c r="AA5" s="104" t="s">
        <v>526</v>
      </c>
      <c r="AB5" s="160">
        <f t="shared" ref="AB5:AB10" si="5">Z5*0.024</f>
        <v>10.728</v>
      </c>
      <c r="AC5" s="160">
        <f>S84</f>
        <v>5404.8168455220421</v>
      </c>
      <c r="AD5" s="160">
        <f>S96</f>
        <v>4639.7489416666667</v>
      </c>
      <c r="AE5" s="160">
        <f>Y5*0.024*5*D12</f>
        <v>40674.959999999999</v>
      </c>
      <c r="AF5" s="160" t="e">
        <f>#REF!</f>
        <v>#REF!</v>
      </c>
      <c r="AG5" s="160" t="e">
        <f t="shared" si="1"/>
        <v>#REF!</v>
      </c>
      <c r="AH5" s="160" t="e">
        <f>#REF!</f>
        <v>#REF!</v>
      </c>
      <c r="AI5" s="160" t="e">
        <f t="shared" si="2"/>
        <v>#REF!</v>
      </c>
    </row>
    <row r="6" spans="2:44" x14ac:dyDescent="0.3">
      <c r="B6" s="244" t="s">
        <v>320</v>
      </c>
      <c r="C6" s="471">
        <v>2018</v>
      </c>
      <c r="D6" s="471"/>
      <c r="J6" s="96" t="str">
        <f>KonstrukcieSUM!B3</f>
        <v>SO2</v>
      </c>
      <c r="K6" s="470" t="str">
        <f>KonstrukcieSUM!C3</f>
        <v>Obvodová stena ŠD2</v>
      </c>
      <c r="L6" s="470"/>
      <c r="M6" s="470"/>
      <c r="N6" s="470"/>
      <c r="O6" s="91">
        <f>KonstrukcieSUM!G3</f>
        <v>1217.2</v>
      </c>
      <c r="P6" s="92">
        <f>Konstrukcie!E26</f>
        <v>0.31893726029240721</v>
      </c>
      <c r="Q6" s="93">
        <f t="shared" si="3"/>
        <v>388.21043322791809</v>
      </c>
      <c r="R6" s="242">
        <v>1</v>
      </c>
      <c r="S6" s="93">
        <f t="shared" si="4"/>
        <v>388.21043322791809</v>
      </c>
      <c r="T6" s="94"/>
      <c r="U6" s="89"/>
      <c r="X6" s="104">
        <v>19.8</v>
      </c>
      <c r="Y6" s="104">
        <v>31</v>
      </c>
      <c r="Z6" s="104">
        <f t="shared" si="0"/>
        <v>530.1</v>
      </c>
      <c r="AA6" s="104" t="s">
        <v>527</v>
      </c>
      <c r="AB6" s="160">
        <f t="shared" si="5"/>
        <v>12.7224</v>
      </c>
      <c r="AC6" s="160">
        <f>S84</f>
        <v>5404.8168455220421</v>
      </c>
      <c r="AD6" s="160">
        <f>S96</f>
        <v>4639.7489416666667</v>
      </c>
      <c r="AE6" s="160">
        <f>Y6*0.024*5*D12</f>
        <v>42030.792000000001</v>
      </c>
      <c r="AF6" s="160" t="e">
        <f>#REF!</f>
        <v>#REF!</v>
      </c>
      <c r="AG6" s="160" t="e">
        <f t="shared" si="1"/>
        <v>#REF!</v>
      </c>
      <c r="AH6" s="160" t="e">
        <f>#REF!</f>
        <v>#REF!</v>
      </c>
      <c r="AI6" s="160" t="e">
        <f t="shared" si="2"/>
        <v>#REF!</v>
      </c>
    </row>
    <row r="7" spans="2:44" x14ac:dyDescent="0.3">
      <c r="B7" s="23"/>
      <c r="C7" s="24"/>
      <c r="D7" s="24"/>
      <c r="J7" s="96" t="str">
        <f>Konstrukcie!A28</f>
        <v>SO3</v>
      </c>
      <c r="K7" s="470" t="str">
        <f>Konstrukcie!B28</f>
        <v>Obvodová stena - Nezateplená časť</v>
      </c>
      <c r="L7" s="470"/>
      <c r="M7" s="470"/>
      <c r="N7" s="470"/>
      <c r="O7" s="91">
        <f>Konstrukcie!E28</f>
        <v>307.8</v>
      </c>
      <c r="P7" s="92">
        <f>Konstrukcie!E41</f>
        <v>0.78643022359290671</v>
      </c>
      <c r="Q7" s="93">
        <f t="shared" si="3"/>
        <v>242.06322282189669</v>
      </c>
      <c r="R7" s="242">
        <v>1</v>
      </c>
      <c r="S7" s="93">
        <f t="shared" si="4"/>
        <v>242.06322282189669</v>
      </c>
      <c r="T7" s="94"/>
      <c r="U7" s="89"/>
      <c r="X7" s="104">
        <v>21.7</v>
      </c>
      <c r="Y7" s="104">
        <v>31</v>
      </c>
      <c r="Z7" s="104">
        <f t="shared" si="0"/>
        <v>573.5</v>
      </c>
      <c r="AA7" s="104" t="s">
        <v>528</v>
      </c>
      <c r="AB7" s="160">
        <f t="shared" si="5"/>
        <v>13.764000000000001</v>
      </c>
      <c r="AC7" s="160">
        <f>S84</f>
        <v>5404.8168455220421</v>
      </c>
      <c r="AD7" s="160">
        <f>S96</f>
        <v>4639.7489416666667</v>
      </c>
      <c r="AE7" s="160">
        <f>Y7*0.024*5*D12</f>
        <v>42030.792000000001</v>
      </c>
      <c r="AF7" s="160" t="e">
        <f>#REF!</f>
        <v>#REF!</v>
      </c>
      <c r="AG7" s="160" t="e">
        <f t="shared" si="1"/>
        <v>#REF!</v>
      </c>
      <c r="AH7" s="160" t="e">
        <f>#REF!</f>
        <v>#REF!</v>
      </c>
      <c r="AI7" s="160" t="e">
        <f t="shared" si="2"/>
        <v>#REF!</v>
      </c>
    </row>
    <row r="8" spans="2:44" x14ac:dyDescent="0.3">
      <c r="B8" s="472" t="s">
        <v>321</v>
      </c>
      <c r="C8" s="472"/>
      <c r="D8" s="472"/>
      <c r="J8" s="96" t="str">
        <f>Konstrukcie!A43</f>
        <v>SO4</v>
      </c>
      <c r="K8" s="470" t="str">
        <f>Konstrukcie!B43</f>
        <v>Obvodová stena Jedáleň</v>
      </c>
      <c r="L8" s="470"/>
      <c r="M8" s="470"/>
      <c r="N8" s="470"/>
      <c r="O8" s="91">
        <f>Konstrukcie!E43</f>
        <v>333</v>
      </c>
      <c r="P8" s="92">
        <f>Konstrukcie!E54</f>
        <v>0.30064423765211168</v>
      </c>
      <c r="Q8" s="93">
        <f t="shared" si="3"/>
        <v>100.11453113815318</v>
      </c>
      <c r="R8" s="242">
        <v>1</v>
      </c>
      <c r="S8" s="93">
        <f t="shared" si="4"/>
        <v>100.11453113815318</v>
      </c>
      <c r="T8" s="94"/>
      <c r="U8" s="89"/>
      <c r="X8" s="104">
        <v>17.100000000000001</v>
      </c>
      <c r="Y8" s="104">
        <v>28</v>
      </c>
      <c r="Z8" s="104">
        <f t="shared" si="0"/>
        <v>492.80000000000007</v>
      </c>
      <c r="AA8" s="104" t="s">
        <v>529</v>
      </c>
      <c r="AB8" s="160">
        <f t="shared" si="5"/>
        <v>11.827200000000001</v>
      </c>
      <c r="AC8" s="160">
        <f>S84</f>
        <v>5404.8168455220421</v>
      </c>
      <c r="AD8" s="160">
        <f>S96</f>
        <v>4639.7489416666667</v>
      </c>
      <c r="AE8" s="160">
        <f>Y8*0.024*5*D12</f>
        <v>37963.296000000002</v>
      </c>
      <c r="AF8" s="160" t="e">
        <f>#REF!</f>
        <v>#REF!</v>
      </c>
      <c r="AG8" s="160" t="e">
        <f t="shared" si="1"/>
        <v>#REF!</v>
      </c>
      <c r="AH8" s="160" t="e">
        <f>#REF!</f>
        <v>#REF!</v>
      </c>
      <c r="AI8" s="160" t="e">
        <f t="shared" si="2"/>
        <v>#REF!</v>
      </c>
    </row>
    <row r="9" spans="2:44" x14ac:dyDescent="0.3">
      <c r="B9" s="88" t="s">
        <v>322</v>
      </c>
      <c r="C9" s="243" t="s">
        <v>323</v>
      </c>
      <c r="D9" s="44">
        <v>1930.2</v>
      </c>
      <c r="F9" s="104" t="s">
        <v>530</v>
      </c>
      <c r="G9" s="142">
        <v>50</v>
      </c>
      <c r="H9" s="162" t="s">
        <v>114</v>
      </c>
      <c r="J9" s="96" t="str">
        <f>Konstrukcie!A56</f>
        <v>SO5</v>
      </c>
      <c r="K9" s="470" t="str">
        <f>Konstrukcie!B56</f>
        <v>Obvodová stena Jedáleň2</v>
      </c>
      <c r="L9" s="470"/>
      <c r="M9" s="470"/>
      <c r="N9" s="470"/>
      <c r="O9" s="91">
        <f>Konstrukcie!E56</f>
        <v>1912.6</v>
      </c>
      <c r="P9" s="92">
        <f>Konstrukcie!E67</f>
        <v>0.44249707171055486</v>
      </c>
      <c r="Q9" s="93">
        <f t="shared" si="3"/>
        <v>846.31989935360718</v>
      </c>
      <c r="R9" s="242">
        <v>1</v>
      </c>
      <c r="S9" s="93">
        <f t="shared" si="4"/>
        <v>846.31989935360718</v>
      </c>
      <c r="T9" s="94"/>
      <c r="U9" s="89"/>
      <c r="X9" s="104">
        <v>18.600000000000001</v>
      </c>
      <c r="Y9" s="104">
        <f>Y21</f>
        <v>31</v>
      </c>
      <c r="Z9" s="104">
        <f t="shared" si="0"/>
        <v>468.1</v>
      </c>
      <c r="AA9" s="104" t="s">
        <v>531</v>
      </c>
      <c r="AB9" s="160">
        <f t="shared" si="5"/>
        <v>11.234400000000001</v>
      </c>
      <c r="AC9" s="160">
        <f>S84</f>
        <v>5404.8168455220421</v>
      </c>
      <c r="AD9" s="160">
        <f>S96</f>
        <v>4639.7489416666667</v>
      </c>
      <c r="AE9" s="160">
        <f>Y9*0.024*5*D12</f>
        <v>42030.792000000001</v>
      </c>
      <c r="AF9" s="160" t="e">
        <f>#REF!</f>
        <v>#REF!</v>
      </c>
      <c r="AG9" s="160" t="e">
        <f t="shared" si="1"/>
        <v>#REF!</v>
      </c>
      <c r="AH9" s="160" t="e">
        <f>#REF!</f>
        <v>#REF!</v>
      </c>
      <c r="AI9" s="160" t="e">
        <f t="shared" si="2"/>
        <v>#REF!</v>
      </c>
    </row>
    <row r="10" spans="2:44" x14ac:dyDescent="0.3">
      <c r="B10" s="88" t="s">
        <v>324</v>
      </c>
      <c r="C10" s="243" t="s">
        <v>325</v>
      </c>
      <c r="D10" s="44">
        <f>128+134.24</f>
        <v>262.24</v>
      </c>
      <c r="F10" s="104" t="s">
        <v>532</v>
      </c>
      <c r="G10" s="142">
        <v>20</v>
      </c>
      <c r="H10" s="162" t="s">
        <v>114</v>
      </c>
      <c r="J10" s="96"/>
      <c r="K10" s="470"/>
      <c r="L10" s="470"/>
      <c r="M10" s="470"/>
      <c r="N10" s="470"/>
      <c r="O10" s="91"/>
      <c r="P10" s="92"/>
      <c r="Q10" s="93"/>
      <c r="R10" s="242"/>
      <c r="S10" s="93"/>
      <c r="T10" s="94"/>
      <c r="U10" s="89"/>
      <c r="X10" s="239">
        <v>33</v>
      </c>
      <c r="Y10" s="239">
        <f>Y22</f>
        <v>14</v>
      </c>
      <c r="Z10" s="239">
        <f t="shared" si="0"/>
        <v>247.79999999999998</v>
      </c>
      <c r="AA10" s="239" t="s">
        <v>533</v>
      </c>
      <c r="AB10" s="240">
        <f t="shared" si="5"/>
        <v>5.9471999999999996</v>
      </c>
      <c r="AC10" s="240">
        <f>S84</f>
        <v>5404.8168455220421</v>
      </c>
      <c r="AD10" s="240">
        <f>S96</f>
        <v>4639.7489416666667</v>
      </c>
      <c r="AE10" s="240">
        <f>Y10*0.024*5*D13</f>
        <v>16331.621711999998</v>
      </c>
      <c r="AF10" s="240" t="e">
        <f>#REF!</f>
        <v>#REF!</v>
      </c>
      <c r="AG10" s="240" t="e">
        <f t="shared" si="1"/>
        <v>#REF!</v>
      </c>
      <c r="AH10" s="240" t="e">
        <f>#REF!</f>
        <v>#REF!</v>
      </c>
      <c r="AI10" s="240" t="e">
        <f>((AB10*(AC10+AD10))-(AG10*AH10))*0</f>
        <v>#REF!</v>
      </c>
      <c r="AK10" s="477" t="s">
        <v>534</v>
      </c>
      <c r="AL10" s="477"/>
      <c r="AN10" s="477" t="s">
        <v>535</v>
      </c>
      <c r="AO10" s="477"/>
    </row>
    <row r="11" spans="2:44" x14ac:dyDescent="0.3">
      <c r="B11" s="88" t="s">
        <v>326</v>
      </c>
      <c r="C11" s="243" t="s">
        <v>327</v>
      </c>
      <c r="D11" s="44">
        <v>32426.9</v>
      </c>
      <c r="J11" s="96" t="str">
        <f>Konstrukcie!I1</f>
        <v>STR1</v>
      </c>
      <c r="K11" s="470" t="str">
        <f>Konstrukcie!J1</f>
        <v>Plochá strecha ŠD</v>
      </c>
      <c r="L11" s="470"/>
      <c r="M11" s="470"/>
      <c r="N11" s="470"/>
      <c r="O11" s="91">
        <f>Konstrukcie!M1</f>
        <v>825.5</v>
      </c>
      <c r="P11" s="92">
        <f>'Konstrukcie nové'!M14</f>
        <v>0.13673193153887281</v>
      </c>
      <c r="Q11" s="93">
        <f t="shared" si="3"/>
        <v>112.8722094853395</v>
      </c>
      <c r="R11" s="242">
        <v>1</v>
      </c>
      <c r="S11" s="93">
        <f t="shared" si="4"/>
        <v>112.8722094853395</v>
      </c>
      <c r="T11" s="94"/>
      <c r="U11" s="89"/>
      <c r="X11" s="117">
        <f>AVERAGE(X4:X9)</f>
        <v>20.2</v>
      </c>
      <c r="Y11" s="104">
        <f>SUM(Y4:Y10)</f>
        <v>195</v>
      </c>
      <c r="Z11" s="104">
        <f>SUM(Z4:Z10)</f>
        <v>3098.3</v>
      </c>
      <c r="AA11" s="136" t="s">
        <v>536</v>
      </c>
      <c r="AB11" s="160"/>
      <c r="AC11" s="160"/>
      <c r="AD11" s="160"/>
      <c r="AE11" s="160"/>
      <c r="AF11" s="160"/>
      <c r="AG11" s="160"/>
      <c r="AH11" s="160" t="e">
        <f>AVERAGE(AH4:AH10)</f>
        <v>#REF!</v>
      </c>
      <c r="AI11" s="150" t="e">
        <f>SUM(AI4:AI10)</f>
        <v>#REF!</v>
      </c>
      <c r="AK11" s="160" t="e">
        <f>#REF!*1000</f>
        <v>#REF!</v>
      </c>
      <c r="AL11" s="104" t="s">
        <v>537</v>
      </c>
      <c r="AN11" s="225" t="e">
        <f>PotrebaEnergieTV!C10</f>
        <v>#REF!</v>
      </c>
      <c r="AO11" s="104" t="s">
        <v>538</v>
      </c>
    </row>
    <row r="12" spans="2:44" x14ac:dyDescent="0.3">
      <c r="B12" s="88" t="s">
        <v>328</v>
      </c>
      <c r="C12" s="243" t="s">
        <v>329</v>
      </c>
      <c r="D12" s="44">
        <v>11298.6</v>
      </c>
      <c r="J12" s="96" t="str">
        <f>Konstrukcie!I16</f>
        <v>STR2</v>
      </c>
      <c r="K12" s="470" t="str">
        <f>Konstrukcie!J16</f>
        <v>Strecha Jedáleň</v>
      </c>
      <c r="L12" s="470"/>
      <c r="M12" s="470"/>
      <c r="N12" s="470"/>
      <c r="O12" s="91">
        <f>Konstrukcie!M16</f>
        <v>1104.7</v>
      </c>
      <c r="P12" s="92">
        <f>'Konstrukcie nové'!M29</f>
        <v>0.14255882773749795</v>
      </c>
      <c r="Q12" s="93">
        <f t="shared" si="3"/>
        <v>157.48473700161398</v>
      </c>
      <c r="R12" s="242">
        <v>1</v>
      </c>
      <c r="S12" s="93">
        <f t="shared" si="4"/>
        <v>157.48473700161398</v>
      </c>
      <c r="T12" s="94"/>
      <c r="U12" s="89"/>
      <c r="W12" s="117"/>
      <c r="Y12" s="117"/>
      <c r="AI12" s="223" t="e">
        <f>AI11/D12</f>
        <v>#REF!</v>
      </c>
      <c r="AJ12" s="117" t="s">
        <v>539</v>
      </c>
      <c r="AK12" s="224">
        <v>0.8</v>
      </c>
      <c r="AL12" s="162"/>
      <c r="AN12" s="237"/>
    </row>
    <row r="13" spans="2:44" x14ac:dyDescent="0.3">
      <c r="B13" s="245" t="s">
        <v>330</v>
      </c>
      <c r="C13" s="243" t="s">
        <v>331</v>
      </c>
      <c r="D13" s="46">
        <f>O76</f>
        <v>9721.2033999999985</v>
      </c>
      <c r="J13" s="96">
        <f>Konstrukcie!I31</f>
        <v>0</v>
      </c>
      <c r="K13" s="470">
        <f>Konstrukcie!J31</f>
        <v>0</v>
      </c>
      <c r="L13" s="470"/>
      <c r="M13" s="470"/>
      <c r="N13" s="470"/>
      <c r="O13" s="91">
        <f>Konstrukcie!M31</f>
        <v>0</v>
      </c>
      <c r="P13" s="92">
        <f>Konstrukcie!M43</f>
        <v>0</v>
      </c>
      <c r="Q13" s="93">
        <f t="shared" si="3"/>
        <v>0</v>
      </c>
      <c r="R13" s="242">
        <v>1</v>
      </c>
      <c r="S13" s="93">
        <f t="shared" si="4"/>
        <v>0</v>
      </c>
      <c r="T13" s="94"/>
      <c r="U13" s="89"/>
      <c r="W13" s="117"/>
      <c r="X13" s="478" t="s">
        <v>540</v>
      </c>
      <c r="Y13" s="478"/>
      <c r="Z13" s="478"/>
      <c r="AA13" s="478"/>
      <c r="AI13" s="236"/>
      <c r="AK13" s="213" t="e">
        <f>AK11*AK12</f>
        <v>#REF!</v>
      </c>
      <c r="AL13" s="218" t="s">
        <v>537</v>
      </c>
    </row>
    <row r="14" spans="2:44" x14ac:dyDescent="0.3">
      <c r="B14" s="88" t="s">
        <v>332</v>
      </c>
      <c r="C14" s="243" t="s">
        <v>333</v>
      </c>
      <c r="D14" s="47">
        <f>D13/D11</f>
        <v>0.29978824371123969</v>
      </c>
      <c r="J14" s="96">
        <f>Konstrukcie!I45</f>
        <v>0</v>
      </c>
      <c r="K14" s="470">
        <f>Konstrukcie!J45</f>
        <v>0</v>
      </c>
      <c r="L14" s="470"/>
      <c r="M14" s="470"/>
      <c r="N14" s="470"/>
      <c r="O14" s="91">
        <f>Konstrukcie!M45</f>
        <v>0</v>
      </c>
      <c r="P14" s="92">
        <f>Konstrukcie!M58</f>
        <v>0</v>
      </c>
      <c r="Q14" s="93">
        <f t="shared" si="3"/>
        <v>0</v>
      </c>
      <c r="R14" s="242">
        <v>1</v>
      </c>
      <c r="S14" s="93">
        <f t="shared" si="4"/>
        <v>0</v>
      </c>
      <c r="T14" s="94"/>
      <c r="U14" s="89"/>
      <c r="W14" s="117"/>
      <c r="X14" s="253" t="s">
        <v>511</v>
      </c>
      <c r="Y14" s="253" t="s">
        <v>541</v>
      </c>
      <c r="Z14" s="253" t="s">
        <v>542</v>
      </c>
      <c r="AA14" s="253" t="s">
        <v>108</v>
      </c>
      <c r="AK14" s="232" t="e">
        <f>AI11+AN11</f>
        <v>#REF!</v>
      </c>
      <c r="AL14" s="228" t="s">
        <v>543</v>
      </c>
      <c r="AN14" s="477" t="s">
        <v>544</v>
      </c>
      <c r="AO14" s="477"/>
      <c r="AQ14" s="477" t="s">
        <v>545</v>
      </c>
      <c r="AR14" s="477"/>
    </row>
    <row r="15" spans="2:44" x14ac:dyDescent="0.3">
      <c r="B15" s="88" t="s">
        <v>546</v>
      </c>
      <c r="C15" s="243"/>
      <c r="D15" s="44">
        <v>3</v>
      </c>
      <c r="J15" s="96">
        <f>Konstrukcie!I60</f>
        <v>0</v>
      </c>
      <c r="K15" s="470">
        <f>Konstrukcie!J60</f>
        <v>0</v>
      </c>
      <c r="L15" s="470"/>
      <c r="M15" s="470"/>
      <c r="N15" s="470"/>
      <c r="O15" s="91">
        <f>Konstrukcie!M60</f>
        <v>0</v>
      </c>
      <c r="P15" s="92">
        <f>Konstrukcie!M72</f>
        <v>0</v>
      </c>
      <c r="Q15" s="93">
        <f t="shared" si="3"/>
        <v>0</v>
      </c>
      <c r="R15" s="242">
        <v>1</v>
      </c>
      <c r="S15" s="93">
        <f t="shared" si="4"/>
        <v>0</v>
      </c>
      <c r="T15" s="94"/>
      <c r="U15" s="89"/>
      <c r="W15" s="117"/>
      <c r="X15" s="253" t="s">
        <v>547</v>
      </c>
      <c r="Y15" s="104">
        <v>6</v>
      </c>
      <c r="Z15" s="104">
        <v>15.6</v>
      </c>
      <c r="AA15" s="104">
        <f>(20-Z15)*Y15</f>
        <v>26.400000000000002</v>
      </c>
      <c r="AF15" s="235"/>
      <c r="AK15" s="477" t="s">
        <v>615</v>
      </c>
      <c r="AL15" s="477"/>
      <c r="AN15" s="225" t="e">
        <f>'PotrebEnergieVYK 2018'!C3</f>
        <v>#REF!</v>
      </c>
      <c r="AO15" s="104" t="s">
        <v>538</v>
      </c>
      <c r="AQ15" s="225" t="e">
        <f>PotrebaEnergieTV!C3</f>
        <v>#REF!</v>
      </c>
      <c r="AR15" s="104" t="s">
        <v>538</v>
      </c>
    </row>
    <row r="16" spans="2:44" x14ac:dyDescent="0.3">
      <c r="B16" s="245" t="s">
        <v>335</v>
      </c>
      <c r="C16" s="243" t="s">
        <v>336</v>
      </c>
      <c r="D16" s="45">
        <v>2.87</v>
      </c>
      <c r="J16" s="96">
        <f>Konstrukcie!I74</f>
        <v>0</v>
      </c>
      <c r="K16" s="470">
        <f>Konstrukcie!J74</f>
        <v>0</v>
      </c>
      <c r="L16" s="470"/>
      <c r="M16" s="470"/>
      <c r="N16" s="470"/>
      <c r="O16" s="91">
        <f>Konstrukcie!M74</f>
        <v>0</v>
      </c>
      <c r="P16" s="92">
        <f>Konstrukcie!M86</f>
        <v>0</v>
      </c>
      <c r="Q16" s="93">
        <f t="shared" si="3"/>
        <v>0</v>
      </c>
      <c r="R16" s="242">
        <v>1</v>
      </c>
      <c r="S16" s="93">
        <f t="shared" si="4"/>
        <v>0</v>
      </c>
      <c r="T16" s="94"/>
      <c r="U16" s="89"/>
      <c r="W16" s="117"/>
      <c r="X16" s="136" t="s">
        <v>525</v>
      </c>
      <c r="Y16" s="136">
        <v>30</v>
      </c>
      <c r="Z16" s="136">
        <v>11.9</v>
      </c>
      <c r="AA16" s="136">
        <f t="shared" ref="AA16:AA21" si="6">(X4-Z16)*Y16</f>
        <v>338.99999999999994</v>
      </c>
      <c r="AF16" s="236"/>
      <c r="AK16" s="261" t="e">
        <f>AK13-AN11</f>
        <v>#REF!</v>
      </c>
      <c r="AL16" s="260" t="s">
        <v>543</v>
      </c>
    </row>
    <row r="17" spans="2:41" x14ac:dyDescent="0.3">
      <c r="J17" s="96"/>
      <c r="K17" s="470"/>
      <c r="L17" s="470"/>
      <c r="M17" s="470"/>
      <c r="N17" s="470"/>
      <c r="O17" s="91"/>
      <c r="P17" s="92"/>
      <c r="Q17" s="93">
        <f t="shared" si="3"/>
        <v>0</v>
      </c>
      <c r="R17" s="242">
        <v>1</v>
      </c>
      <c r="S17" s="93">
        <f t="shared" si="4"/>
        <v>0</v>
      </c>
      <c r="T17" s="94"/>
      <c r="U17" s="89"/>
      <c r="W17" s="117"/>
      <c r="X17" s="136" t="s">
        <v>526</v>
      </c>
      <c r="Y17" s="136">
        <v>30</v>
      </c>
      <c r="Z17" s="136">
        <v>5.9</v>
      </c>
      <c r="AA17" s="136">
        <f t="shared" si="6"/>
        <v>447</v>
      </c>
      <c r="AF17" s="236"/>
      <c r="AN17" s="477" t="s">
        <v>548</v>
      </c>
      <c r="AO17" s="477"/>
    </row>
    <row r="18" spans="2:41" x14ac:dyDescent="0.3">
      <c r="B18" s="349" t="s">
        <v>337</v>
      </c>
      <c r="C18" s="350"/>
      <c r="D18" s="350"/>
      <c r="E18" s="350"/>
      <c r="F18" s="350"/>
      <c r="G18" s="351"/>
      <c r="H18" s="24"/>
      <c r="I18" s="24"/>
      <c r="J18" s="96" t="str">
        <f>Konstrukcie!Q1</f>
        <v>PDL1</v>
      </c>
      <c r="K18" s="470" t="str">
        <f>Konstrukcie!R1</f>
        <v>Podlaha na teréne ŽS</v>
      </c>
      <c r="L18" s="470"/>
      <c r="M18" s="470"/>
      <c r="N18" s="470"/>
      <c r="O18" s="91">
        <f>Konstrukcie!U1</f>
        <v>825.5</v>
      </c>
      <c r="P18" s="92">
        <f>Konstrukcie!U15</f>
        <v>0.26</v>
      </c>
      <c r="Q18" s="93">
        <f t="shared" si="3"/>
        <v>214.63</v>
      </c>
      <c r="R18" s="242">
        <v>1</v>
      </c>
      <c r="S18" s="93">
        <f t="shared" si="4"/>
        <v>214.63</v>
      </c>
      <c r="T18" s="94"/>
      <c r="U18" s="89"/>
      <c r="W18" s="117"/>
      <c r="X18" s="136" t="s">
        <v>527</v>
      </c>
      <c r="Y18" s="136">
        <v>31</v>
      </c>
      <c r="Z18" s="136">
        <v>2.7</v>
      </c>
      <c r="AA18" s="136">
        <f t="shared" si="6"/>
        <v>530.1</v>
      </c>
      <c r="AN18" s="157" t="e">
        <f>AN15+AQ15</f>
        <v>#REF!</v>
      </c>
      <c r="AO18" s="153" t="s">
        <v>538</v>
      </c>
    </row>
    <row r="19" spans="2:41" x14ac:dyDescent="0.3">
      <c r="B19" s="368" t="s">
        <v>338</v>
      </c>
      <c r="C19" s="368"/>
      <c r="D19" s="243">
        <f>C6-3</f>
        <v>2015</v>
      </c>
      <c r="E19" s="243">
        <f>C6-2</f>
        <v>2016</v>
      </c>
      <c r="F19" s="243">
        <f>C6-1</f>
        <v>2017</v>
      </c>
      <c r="G19" s="52" t="s">
        <v>339</v>
      </c>
      <c r="J19" s="96" t="str">
        <f>Konstrukcie!Q17</f>
        <v>PDL2</v>
      </c>
      <c r="K19" s="470" t="str">
        <f>Konstrukcie!R17</f>
        <v>Podlaha na teréne Jedáleň</v>
      </c>
      <c r="L19" s="470"/>
      <c r="M19" s="470"/>
      <c r="N19" s="470"/>
      <c r="O19" s="91">
        <f>Konstrukcie!U17</f>
        <v>1104.7</v>
      </c>
      <c r="P19" s="92">
        <f>Konstrukcie!U28</f>
        <v>0.22</v>
      </c>
      <c r="Q19" s="93">
        <f t="shared" si="3"/>
        <v>243.03400000000002</v>
      </c>
      <c r="R19" s="242">
        <v>1</v>
      </c>
      <c r="S19" s="93">
        <f t="shared" si="4"/>
        <v>243.03400000000002</v>
      </c>
      <c r="T19" s="94"/>
      <c r="U19" s="89"/>
      <c r="W19" s="219"/>
      <c r="X19" s="136" t="s">
        <v>528</v>
      </c>
      <c r="Y19" s="136">
        <v>31</v>
      </c>
      <c r="Z19" s="136">
        <v>3.2</v>
      </c>
      <c r="AA19" s="136">
        <f t="shared" si="6"/>
        <v>573.5</v>
      </c>
    </row>
    <row r="20" spans="2:41" ht="15" thickBot="1" x14ac:dyDescent="0.35">
      <c r="B20" s="368" t="s">
        <v>340</v>
      </c>
      <c r="C20" s="368"/>
      <c r="D20" s="53">
        <f>VLOOKUP($C$3,Dennostupne!B1:AR81,D24,FALSE)</f>
        <v>183</v>
      </c>
      <c r="E20" s="53">
        <f>VLOOKUP($C$3,Dennostupne!B1:AR81,E24,FALSE)</f>
        <v>205</v>
      </c>
      <c r="F20" s="53">
        <f>VLOOKUP($C$3,Dennostupne!B1:AR81,F24,FALSE)</f>
        <v>207</v>
      </c>
      <c r="G20" s="54">
        <f>SUM(D20:F20)/COUNT(D20:F20)</f>
        <v>198.33333333333334</v>
      </c>
      <c r="J20" s="96">
        <f>Konstrukcie!Q30</f>
        <v>0</v>
      </c>
      <c r="K20" s="470">
        <f>Konstrukcie!R30</f>
        <v>0</v>
      </c>
      <c r="L20" s="470"/>
      <c r="M20" s="470"/>
      <c r="N20" s="470"/>
      <c r="O20" s="91">
        <f>Konstrukcie!U30</f>
        <v>0</v>
      </c>
      <c r="P20" s="92">
        <f>Konstrukcie!U41</f>
        <v>0</v>
      </c>
      <c r="Q20" s="93">
        <f t="shared" si="3"/>
        <v>0</v>
      </c>
      <c r="R20" s="242">
        <v>1</v>
      </c>
      <c r="S20" s="93">
        <f t="shared" si="4"/>
        <v>0</v>
      </c>
      <c r="T20" s="94"/>
      <c r="U20" s="89"/>
      <c r="X20" s="136" t="s">
        <v>529</v>
      </c>
      <c r="Y20" s="136">
        <v>28</v>
      </c>
      <c r="Z20" s="136">
        <v>-0.5</v>
      </c>
      <c r="AA20" s="136">
        <f t="shared" si="6"/>
        <v>492.80000000000007</v>
      </c>
    </row>
    <row r="21" spans="2:41" ht="15" x14ac:dyDescent="0.35">
      <c r="B21" s="368" t="s">
        <v>341</v>
      </c>
      <c r="C21" s="368"/>
      <c r="D21" s="55">
        <f>VLOOKUP($C$3,Dennostupne!B3:AR81,D24+1,FALSE)</f>
        <v>5.6</v>
      </c>
      <c r="E21" s="55">
        <f>VLOOKUP($C$3,Dennostupne!B3:AR81,E24+1,FALSE)</f>
        <v>5.3</v>
      </c>
      <c r="F21" s="55">
        <f>VLOOKUP($C$3,Dennostupne!B3:AR81,F24+1,FALSE)</f>
        <v>5.5</v>
      </c>
      <c r="G21" s="56">
        <f>SUM(D21:F21)/COUNT(D21:F21)</f>
        <v>5.4666666666666659</v>
      </c>
      <c r="J21" s="96"/>
      <c r="K21" s="470"/>
      <c r="L21" s="470"/>
      <c r="M21" s="470"/>
      <c r="N21" s="470"/>
      <c r="O21" s="91"/>
      <c r="P21" s="92"/>
      <c r="Q21" s="93"/>
      <c r="R21" s="242"/>
      <c r="S21" s="93"/>
      <c r="T21" s="110" t="s">
        <v>118</v>
      </c>
      <c r="U21" s="111" t="s">
        <v>549</v>
      </c>
      <c r="X21" s="136" t="s">
        <v>531</v>
      </c>
      <c r="Y21" s="136">
        <v>31</v>
      </c>
      <c r="Z21" s="136">
        <v>3.5</v>
      </c>
      <c r="AA21" s="136">
        <f t="shared" si="6"/>
        <v>468.1</v>
      </c>
    </row>
    <row r="22" spans="2:41" x14ac:dyDescent="0.3">
      <c r="B22" s="368" t="s">
        <v>342</v>
      </c>
      <c r="C22" s="368"/>
      <c r="D22" s="57">
        <f>IF(ISNUMBER(D21),(VstupneUdaje!O16-D21)*D20,"-")</f>
        <v>2635.2000000000003</v>
      </c>
      <c r="E22" s="57">
        <f>IF(ISNUMBER(E21),(VstupneUdaje!O16-E21)*E20,"-")</f>
        <v>3013.5</v>
      </c>
      <c r="F22" s="57">
        <f>IF(ISNUMBER(F21),(VstupneUdaje!O16-F21)*F20,"-")</f>
        <v>3001.5</v>
      </c>
      <c r="G22" s="57">
        <f>AVERAGE(D22:F22)</f>
        <v>2883.4</v>
      </c>
      <c r="J22" s="96" t="str">
        <f>OtvoroveKonstrukcie!A3</f>
        <v>OO1</v>
      </c>
      <c r="K22" s="470" t="str">
        <f>OtvoroveKonstrukcie!B3</f>
        <v>plastové, izolačné 2-sklo</v>
      </c>
      <c r="L22" s="470"/>
      <c r="M22" s="470"/>
      <c r="N22" s="470"/>
      <c r="O22" s="91">
        <f>OtvoroveKonstrukcie!O3</f>
        <v>225</v>
      </c>
      <c r="P22" s="92">
        <f>OtvoroveKonstrukcie!N3</f>
        <v>1.5</v>
      </c>
      <c r="Q22" s="93">
        <f t="shared" si="3"/>
        <v>337.5</v>
      </c>
      <c r="R22" s="242">
        <v>1</v>
      </c>
      <c r="S22" s="93">
        <f t="shared" si="4"/>
        <v>337.5</v>
      </c>
      <c r="T22" s="108">
        <v>1</v>
      </c>
      <c r="U22" s="109">
        <f>OtvoroveKonstrukcie!Q3</f>
        <v>5.4</v>
      </c>
      <c r="V22" s="104">
        <f t="shared" ref="V22:V67" si="7">(T22*U22)*0.0001</f>
        <v>5.4000000000000012E-4</v>
      </c>
      <c r="X22" s="136" t="s">
        <v>533</v>
      </c>
      <c r="Y22" s="136">
        <v>14</v>
      </c>
      <c r="Z22" s="136">
        <v>15.3</v>
      </c>
      <c r="AA22" s="136">
        <f>(X10-Z22)*Y22</f>
        <v>247.79999999999998</v>
      </c>
    </row>
    <row r="23" spans="2:41" ht="16.2" customHeight="1" x14ac:dyDescent="0.3">
      <c r="D23" s="62">
        <f>$G22</f>
        <v>2883.4</v>
      </c>
      <c r="E23" s="62">
        <f>$G22</f>
        <v>2883.4</v>
      </c>
      <c r="F23" s="62">
        <f>$G22</f>
        <v>2883.4</v>
      </c>
      <c r="J23" s="96" t="str">
        <f>OtvoroveKonstrukcie!A4</f>
        <v>OO2</v>
      </c>
      <c r="K23" s="470" t="str">
        <f>OtvoroveKonstrukcie!B4</f>
        <v>plastové, izolačné 2-sklo</v>
      </c>
      <c r="L23" s="470"/>
      <c r="M23" s="470"/>
      <c r="N23" s="470"/>
      <c r="O23" s="91">
        <f>OtvoroveKonstrukcie!O4</f>
        <v>2.7</v>
      </c>
      <c r="P23" s="92">
        <f>OtvoroveKonstrukcie!N4</f>
        <v>1.5</v>
      </c>
      <c r="Q23" s="93">
        <f t="shared" si="3"/>
        <v>4.0500000000000007</v>
      </c>
      <c r="R23" s="242">
        <v>1</v>
      </c>
      <c r="S23" s="93">
        <f t="shared" si="4"/>
        <v>4.0500000000000007</v>
      </c>
      <c r="T23" s="108">
        <v>1</v>
      </c>
      <c r="U23" s="109">
        <f>OtvoroveKonstrukcie!Q4</f>
        <v>4.32</v>
      </c>
      <c r="V23" s="104">
        <f t="shared" si="7"/>
        <v>4.3200000000000004E-4</v>
      </c>
      <c r="X23" s="104" t="s">
        <v>550</v>
      </c>
      <c r="Y23" s="104">
        <v>2</v>
      </c>
      <c r="Z23" s="104">
        <v>18.8</v>
      </c>
      <c r="AA23" s="104">
        <f>(20-Z23)*Y23</f>
        <v>2.3999999999999986</v>
      </c>
    </row>
    <row r="24" spans="2:41" x14ac:dyDescent="0.3">
      <c r="D24" s="65">
        <f>MATCH(D19,Dennostupne!B1:AR1)</f>
        <v>34</v>
      </c>
      <c r="E24" s="65">
        <f>MATCH(E19,Dennostupne!B1:AR1)</f>
        <v>36</v>
      </c>
      <c r="F24" s="65">
        <f>MATCH(F19,Dennostupne!B1:AR1)</f>
        <v>38</v>
      </c>
      <c r="J24" s="96" t="str">
        <f>OtvoroveKonstrukcie!A5</f>
        <v>OO3</v>
      </c>
      <c r="K24" s="470" t="str">
        <f>OtvoroveKonstrukcie!B5</f>
        <v>plastové, izolačné 2-sklo</v>
      </c>
      <c r="L24" s="470"/>
      <c r="M24" s="470"/>
      <c r="N24" s="470"/>
      <c r="O24" s="91">
        <f>OtvoroveKonstrukcie!O5</f>
        <v>50.400000000000006</v>
      </c>
      <c r="P24" s="92">
        <f>OtvoroveKonstrukcie!N5</f>
        <v>1.5</v>
      </c>
      <c r="Q24" s="93">
        <f t="shared" si="3"/>
        <v>75.600000000000009</v>
      </c>
      <c r="R24" s="242">
        <v>1</v>
      </c>
      <c r="S24" s="93">
        <f t="shared" si="4"/>
        <v>75.600000000000009</v>
      </c>
      <c r="T24" s="108">
        <v>1</v>
      </c>
      <c r="U24" s="109">
        <f>OtvoroveKonstrukcie!Q5</f>
        <v>6.48</v>
      </c>
      <c r="V24" s="104">
        <f t="shared" si="7"/>
        <v>6.4800000000000003E-4</v>
      </c>
      <c r="X24" s="117"/>
      <c r="Y24" s="136">
        <f>SUM(Y15:Y23)</f>
        <v>203</v>
      </c>
      <c r="Z24" s="141">
        <f>AVERAGE(Z15:Z23)</f>
        <v>8.4888888888888889</v>
      </c>
      <c r="AA24" s="136">
        <f>SUM(AA15:AA23)</f>
        <v>3127.1000000000004</v>
      </c>
    </row>
    <row r="25" spans="2:41" x14ac:dyDescent="0.3">
      <c r="J25" s="96" t="str">
        <f>OtvoroveKonstrukcie!A6</f>
        <v>OO4</v>
      </c>
      <c r="K25" s="470" t="str">
        <f>OtvoroveKonstrukcie!B6</f>
        <v>plastové, izolačné 2-sklo</v>
      </c>
      <c r="L25" s="470"/>
      <c r="M25" s="470"/>
      <c r="N25" s="470"/>
      <c r="O25" s="91">
        <f>OtvoroveKonstrukcie!O6</f>
        <v>18</v>
      </c>
      <c r="P25" s="92">
        <f>OtvoroveKonstrukcie!N6</f>
        <v>1.5</v>
      </c>
      <c r="Q25" s="93">
        <f t="shared" si="3"/>
        <v>27</v>
      </c>
      <c r="R25" s="242">
        <v>1</v>
      </c>
      <c r="S25" s="93">
        <f t="shared" si="4"/>
        <v>27</v>
      </c>
      <c r="T25" s="108">
        <v>1</v>
      </c>
      <c r="U25" s="109">
        <f>OtvoroveKonstrukcie!Q6</f>
        <v>8.1</v>
      </c>
      <c r="V25" s="104">
        <f t="shared" si="7"/>
        <v>8.0999999999999996E-4</v>
      </c>
    </row>
    <row r="26" spans="2:41" x14ac:dyDescent="0.3">
      <c r="J26" s="96" t="str">
        <f>OtvoroveKonstrukcie!A7</f>
        <v>OO5</v>
      </c>
      <c r="K26" s="470" t="str">
        <f>OtvoroveKonstrukcie!B7</f>
        <v>plastové, izolačné 2-sklo</v>
      </c>
      <c r="L26" s="470"/>
      <c r="M26" s="470"/>
      <c r="N26" s="470"/>
      <c r="O26" s="91">
        <f>OtvoroveKonstrukcie!O7</f>
        <v>3.24</v>
      </c>
      <c r="P26" s="92">
        <f>OtvoroveKonstrukcie!N7</f>
        <v>1.5</v>
      </c>
      <c r="Q26" s="93">
        <f t="shared" si="3"/>
        <v>4.8600000000000003</v>
      </c>
      <c r="R26" s="242">
        <v>1</v>
      </c>
      <c r="S26" s="93">
        <f t="shared" si="4"/>
        <v>4.8600000000000003</v>
      </c>
      <c r="T26" s="108">
        <v>1</v>
      </c>
      <c r="U26" s="109">
        <f>OtvoroveKonstrukcie!Q7</f>
        <v>3.7800000000000002</v>
      </c>
      <c r="V26" s="104">
        <f t="shared" si="7"/>
        <v>3.7800000000000003E-4</v>
      </c>
    </row>
    <row r="27" spans="2:41" x14ac:dyDescent="0.3">
      <c r="J27" s="96" t="str">
        <f>OtvoroveKonstrukcie!A8</f>
        <v>OO6</v>
      </c>
      <c r="K27" s="470" t="str">
        <f>OtvoroveKonstrukcie!B8</f>
        <v>plastové, izolačné 2-sklo</v>
      </c>
      <c r="L27" s="470"/>
      <c r="M27" s="470"/>
      <c r="N27" s="470"/>
      <c r="O27" s="91">
        <f>OtvoroveKonstrukcie!O8</f>
        <v>1.89</v>
      </c>
      <c r="P27" s="92">
        <f>OtvoroveKonstrukcie!N8</f>
        <v>1.5</v>
      </c>
      <c r="Q27" s="93">
        <f t="shared" si="3"/>
        <v>2.835</v>
      </c>
      <c r="R27" s="242">
        <v>1</v>
      </c>
      <c r="S27" s="93">
        <f t="shared" si="4"/>
        <v>2.835</v>
      </c>
      <c r="T27" s="108">
        <v>1</v>
      </c>
      <c r="U27" s="109">
        <f>OtvoroveKonstrukcie!Q8</f>
        <v>4.95</v>
      </c>
      <c r="V27" s="104">
        <f t="shared" si="7"/>
        <v>4.95E-4</v>
      </c>
    </row>
    <row r="28" spans="2:41" x14ac:dyDescent="0.3">
      <c r="J28" s="96" t="str">
        <f>OtvoroveKonstrukcie!A9</f>
        <v>OO7</v>
      </c>
      <c r="K28" s="470" t="str">
        <f>OtvoroveKonstrukcie!B9</f>
        <v>plastové, izolačné 2-sklo</v>
      </c>
      <c r="L28" s="470"/>
      <c r="M28" s="470"/>
      <c r="N28" s="470"/>
      <c r="O28" s="91">
        <f>OtvoroveKonstrukcie!O9</f>
        <v>8.1000000000000014</v>
      </c>
      <c r="P28" s="92">
        <f>OtvoroveKonstrukcie!N9</f>
        <v>1.5</v>
      </c>
      <c r="Q28" s="93">
        <f t="shared" si="3"/>
        <v>12.150000000000002</v>
      </c>
      <c r="R28" s="242">
        <v>1</v>
      </c>
      <c r="S28" s="93">
        <f t="shared" si="4"/>
        <v>12.150000000000002</v>
      </c>
      <c r="T28" s="108">
        <v>1</v>
      </c>
      <c r="U28" s="109">
        <f>OtvoroveKonstrukcie!Q9</f>
        <v>5.13</v>
      </c>
      <c r="V28" s="104">
        <f t="shared" si="7"/>
        <v>5.13E-4</v>
      </c>
      <c r="X28">
        <v>2017</v>
      </c>
    </row>
    <row r="29" spans="2:41" x14ac:dyDescent="0.3">
      <c r="J29" s="96" t="str">
        <f>OtvoroveKonstrukcie!A10</f>
        <v>OO8</v>
      </c>
      <c r="K29" s="470" t="str">
        <f>OtvoroveKonstrukcie!B10</f>
        <v>plastové, izolačné 2-sklo</v>
      </c>
      <c r="L29" s="470"/>
      <c r="M29" s="470"/>
      <c r="N29" s="470"/>
      <c r="O29" s="91">
        <f>OtvoroveKonstrukcie!O10</f>
        <v>0.89999999999999991</v>
      </c>
      <c r="P29" s="92">
        <f>OtvoroveKonstrukcie!N10</f>
        <v>1.5</v>
      </c>
      <c r="Q29" s="93">
        <f t="shared" si="3"/>
        <v>1.3499999999999999</v>
      </c>
      <c r="R29" s="242">
        <v>1</v>
      </c>
      <c r="S29" s="93">
        <f t="shared" si="4"/>
        <v>1.3499999999999999</v>
      </c>
      <c r="T29" s="108">
        <v>1</v>
      </c>
      <c r="U29" s="109">
        <f>OtvoroveKonstrukcie!Q10</f>
        <v>3.7800000000000002</v>
      </c>
      <c r="V29" s="104">
        <f t="shared" si="7"/>
        <v>3.7800000000000003E-4</v>
      </c>
      <c r="X29" s="473" t="s">
        <v>500</v>
      </c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5"/>
    </row>
    <row r="30" spans="2:41" x14ac:dyDescent="0.3">
      <c r="J30" s="96" t="str">
        <f>OtvoroveKonstrukcie!A11</f>
        <v>OO9</v>
      </c>
      <c r="K30" s="470" t="str">
        <f>OtvoroveKonstrukcie!B11</f>
        <v>plastové, izolačné 2-sklo</v>
      </c>
      <c r="L30" s="470"/>
      <c r="M30" s="470"/>
      <c r="N30" s="470"/>
      <c r="O30" s="91">
        <f>OtvoroveKonstrukcie!O11</f>
        <v>16.200000000000003</v>
      </c>
      <c r="P30" s="92">
        <f>OtvoroveKonstrukcie!N11</f>
        <v>1.5</v>
      </c>
      <c r="Q30" s="93">
        <f t="shared" si="3"/>
        <v>24.300000000000004</v>
      </c>
      <c r="R30" s="242">
        <v>1</v>
      </c>
      <c r="S30" s="93">
        <f t="shared" si="4"/>
        <v>24.300000000000004</v>
      </c>
      <c r="T30" s="108">
        <v>1</v>
      </c>
      <c r="U30" s="109">
        <f>OtvoroveKonstrukcie!Q11</f>
        <v>7.5600000000000005</v>
      </c>
      <c r="V30" s="104">
        <f t="shared" si="7"/>
        <v>7.5600000000000005E-4</v>
      </c>
      <c r="X30" s="162" t="s">
        <v>508</v>
      </c>
      <c r="Y30" s="104" t="s">
        <v>509</v>
      </c>
      <c r="Z30" s="104" t="s">
        <v>510</v>
      </c>
      <c r="AA30" s="104" t="s">
        <v>511</v>
      </c>
      <c r="AB30" s="104" t="s">
        <v>512</v>
      </c>
      <c r="AC30" s="104" t="s">
        <v>513</v>
      </c>
      <c r="AD30" s="104" t="s">
        <v>514</v>
      </c>
      <c r="AE30" s="104" t="s">
        <v>515</v>
      </c>
      <c r="AF30" s="104" t="s">
        <v>516</v>
      </c>
      <c r="AG30" s="104" t="s">
        <v>517</v>
      </c>
      <c r="AH30" s="215" t="s">
        <v>518</v>
      </c>
      <c r="AI30" s="104" t="s">
        <v>519</v>
      </c>
    </row>
    <row r="31" spans="2:41" x14ac:dyDescent="0.3">
      <c r="J31" s="96" t="str">
        <f>OtvoroveKonstrukcie!A12</f>
        <v>OO10</v>
      </c>
      <c r="K31" s="470" t="str">
        <f>OtvoroveKonstrukcie!B12</f>
        <v>plastové, izolačné 2-sklo</v>
      </c>
      <c r="L31" s="470"/>
      <c r="M31" s="470"/>
      <c r="N31" s="470"/>
      <c r="O31" s="91">
        <f>OtvoroveKonstrukcie!O12</f>
        <v>2.0100000000000002</v>
      </c>
      <c r="P31" s="92">
        <f>OtvoroveKonstrukcie!N12</f>
        <v>1.5</v>
      </c>
      <c r="Q31" s="93">
        <f t="shared" si="3"/>
        <v>3.0150000000000006</v>
      </c>
      <c r="R31" s="242">
        <v>1</v>
      </c>
      <c r="S31" s="93">
        <f t="shared" si="4"/>
        <v>3.0150000000000006</v>
      </c>
      <c r="T31" s="108">
        <v>1</v>
      </c>
      <c r="U31" s="109">
        <f>OtvoroveKonstrukcie!Q12</f>
        <v>5.1120000000000001</v>
      </c>
      <c r="V31" s="104">
        <f t="shared" si="7"/>
        <v>5.1120000000000007E-4</v>
      </c>
      <c r="X31" s="104">
        <v>23.5</v>
      </c>
      <c r="Y31" s="104">
        <v>23</v>
      </c>
      <c r="Z31" s="104">
        <f t="shared" ref="Z31:Z37" si="8">AA43</f>
        <v>348</v>
      </c>
      <c r="AA31" s="104" t="s">
        <v>525</v>
      </c>
      <c r="AB31" s="160">
        <f>Z31*0.024</f>
        <v>8.3520000000000003</v>
      </c>
      <c r="AC31" s="160">
        <f>S84</f>
        <v>5404.8168455220421</v>
      </c>
      <c r="AD31" s="160">
        <f>S96</f>
        <v>4639.7489416666667</v>
      </c>
      <c r="AE31" s="160">
        <f>Y31*0.024*5*D12</f>
        <v>31184.136000000002</v>
      </c>
      <c r="AF31" s="160" t="e">
        <f>#REF!</f>
        <v>#REF!</v>
      </c>
      <c r="AG31" s="160" t="e">
        <f t="shared" ref="AG31:AG37" si="9">AE31+AF31</f>
        <v>#REF!</v>
      </c>
      <c r="AH31" s="160" t="e">
        <f>#REF!</f>
        <v>#REF!</v>
      </c>
      <c r="AI31" s="160" t="e">
        <f t="shared" ref="AI31:AI36" si="10">(AB31*(AC31+AD31))-(AG31*AH31)</f>
        <v>#REF!</v>
      </c>
    </row>
    <row r="32" spans="2:41" x14ac:dyDescent="0.3">
      <c r="J32" s="96" t="str">
        <f>OtvoroveKonstrukcie!A13</f>
        <v>OO11</v>
      </c>
      <c r="K32" s="470" t="str">
        <f>OtvoroveKonstrukcie!B13</f>
        <v>plastové, izolačné 2-sklo</v>
      </c>
      <c r="L32" s="470"/>
      <c r="M32" s="470"/>
      <c r="N32" s="470"/>
      <c r="O32" s="91">
        <f>OtvoroveKonstrukcie!O13</f>
        <v>11.52</v>
      </c>
      <c r="P32" s="92">
        <f>OtvoroveKonstrukcie!N13</f>
        <v>1.5</v>
      </c>
      <c r="Q32" s="93">
        <f t="shared" si="3"/>
        <v>17.28</v>
      </c>
      <c r="R32" s="242">
        <v>1</v>
      </c>
      <c r="S32" s="93">
        <f t="shared" si="4"/>
        <v>17.28</v>
      </c>
      <c r="T32" s="108">
        <v>1</v>
      </c>
      <c r="U32" s="109">
        <f>OtvoroveKonstrukcie!Q13</f>
        <v>8.64</v>
      </c>
      <c r="V32" s="104">
        <f t="shared" si="7"/>
        <v>8.6400000000000008E-4</v>
      </c>
      <c r="X32" s="104">
        <v>21.5</v>
      </c>
      <c r="Y32" s="104">
        <f>Y44</f>
        <v>30</v>
      </c>
      <c r="Z32" s="104">
        <f t="shared" si="8"/>
        <v>468</v>
      </c>
      <c r="AA32" s="104" t="s">
        <v>526</v>
      </c>
      <c r="AB32" s="160">
        <f t="shared" ref="AB32:AB37" si="11">Z32*0.024</f>
        <v>11.232000000000001</v>
      </c>
      <c r="AC32" s="160">
        <f>S84</f>
        <v>5404.8168455220421</v>
      </c>
      <c r="AD32" s="160">
        <f>S96</f>
        <v>4639.7489416666667</v>
      </c>
      <c r="AE32" s="160">
        <f>Y32*0.024*5*D12</f>
        <v>40674.959999999999</v>
      </c>
      <c r="AF32" s="160" t="e">
        <f>#REF!</f>
        <v>#REF!</v>
      </c>
      <c r="AG32" s="160" t="e">
        <f t="shared" si="9"/>
        <v>#REF!</v>
      </c>
      <c r="AH32" s="160" t="e">
        <f>#REF!</f>
        <v>#REF!</v>
      </c>
      <c r="AI32" s="160" t="e">
        <f t="shared" si="10"/>
        <v>#REF!</v>
      </c>
    </row>
    <row r="33" spans="10:44" x14ac:dyDescent="0.3">
      <c r="J33" s="96" t="str">
        <f>OtvoroveKonstrukcie!A14</f>
        <v>OO12</v>
      </c>
      <c r="K33" s="470" t="str">
        <f>OtvoroveKonstrukcie!B14</f>
        <v>plastové, izolačné 2-sklo</v>
      </c>
      <c r="L33" s="470"/>
      <c r="M33" s="470"/>
      <c r="N33" s="470"/>
      <c r="O33" s="91">
        <f>OtvoroveKonstrukcie!O14</f>
        <v>4.0500000000000007</v>
      </c>
      <c r="P33" s="92">
        <f>OtvoroveKonstrukcie!N14</f>
        <v>1.5</v>
      </c>
      <c r="Q33" s="93">
        <f t="shared" si="3"/>
        <v>6.0750000000000011</v>
      </c>
      <c r="R33" s="242">
        <v>1</v>
      </c>
      <c r="S33" s="93">
        <f t="shared" si="4"/>
        <v>6.0750000000000011</v>
      </c>
      <c r="T33" s="108">
        <v>1</v>
      </c>
      <c r="U33" s="109">
        <f>OtvoroveKonstrukcie!Q14</f>
        <v>5.13</v>
      </c>
      <c r="V33" s="104">
        <f t="shared" si="7"/>
        <v>5.13E-4</v>
      </c>
      <c r="X33" s="104">
        <v>20.9</v>
      </c>
      <c r="Y33" s="104">
        <v>31</v>
      </c>
      <c r="Z33" s="104">
        <f t="shared" si="8"/>
        <v>564.19999999999993</v>
      </c>
      <c r="AA33" s="104" t="s">
        <v>527</v>
      </c>
      <c r="AB33" s="160">
        <f t="shared" si="11"/>
        <v>13.540799999999999</v>
      </c>
      <c r="AC33" s="160">
        <f>S84</f>
        <v>5404.8168455220421</v>
      </c>
      <c r="AD33" s="160">
        <f>S96</f>
        <v>4639.7489416666667</v>
      </c>
      <c r="AE33" s="160">
        <f>Y33*0.024*5*D12</f>
        <v>42030.792000000001</v>
      </c>
      <c r="AF33" s="160" t="e">
        <f>#REF!</f>
        <v>#REF!</v>
      </c>
      <c r="AG33" s="160" t="e">
        <f t="shared" si="9"/>
        <v>#REF!</v>
      </c>
      <c r="AH33" s="160" t="e">
        <f>#REF!</f>
        <v>#REF!</v>
      </c>
      <c r="AI33" s="160" t="e">
        <f t="shared" si="10"/>
        <v>#REF!</v>
      </c>
    </row>
    <row r="34" spans="10:44" x14ac:dyDescent="0.3">
      <c r="J34" s="96" t="str">
        <f>OtvoroveKonstrukcie!A15</f>
        <v>OO13</v>
      </c>
      <c r="K34" s="470" t="str">
        <f>OtvoroveKonstrukcie!B15</f>
        <v>plastové, izolačné 2-sklo</v>
      </c>
      <c r="L34" s="470"/>
      <c r="M34" s="470"/>
      <c r="N34" s="470"/>
      <c r="O34" s="91">
        <f>OtvoroveKonstrukcie!O15</f>
        <v>23.43</v>
      </c>
      <c r="P34" s="92">
        <f>OtvoroveKonstrukcie!N15</f>
        <v>1.5</v>
      </c>
      <c r="Q34" s="93">
        <f t="shared" si="3"/>
        <v>35.144999999999996</v>
      </c>
      <c r="R34" s="242">
        <v>1</v>
      </c>
      <c r="S34" s="93">
        <f t="shared" si="4"/>
        <v>35.144999999999996</v>
      </c>
      <c r="T34" s="108">
        <v>1</v>
      </c>
      <c r="U34" s="109">
        <f>OtvoroveKonstrukcie!Q15</f>
        <v>5.2560000000000002</v>
      </c>
      <c r="V34" s="104">
        <f t="shared" si="7"/>
        <v>5.2560000000000009E-4</v>
      </c>
      <c r="X34" s="104">
        <v>18.3</v>
      </c>
      <c r="Y34" s="104">
        <v>31</v>
      </c>
      <c r="Z34" s="104">
        <f t="shared" si="8"/>
        <v>722.30000000000007</v>
      </c>
      <c r="AA34" s="104" t="s">
        <v>528</v>
      </c>
      <c r="AB34" s="160">
        <f t="shared" si="11"/>
        <v>17.3352</v>
      </c>
      <c r="AC34" s="160">
        <f>S84</f>
        <v>5404.8168455220421</v>
      </c>
      <c r="AD34" s="160">
        <f>S96</f>
        <v>4639.7489416666667</v>
      </c>
      <c r="AE34" s="160">
        <f>Y34*0.024*5*D12</f>
        <v>42030.792000000001</v>
      </c>
      <c r="AF34" s="160" t="e">
        <f>#REF!</f>
        <v>#REF!</v>
      </c>
      <c r="AG34" s="160" t="e">
        <f t="shared" si="9"/>
        <v>#REF!</v>
      </c>
      <c r="AH34" s="160">
        <v>0.96</v>
      </c>
      <c r="AI34" s="160" t="e">
        <f t="shared" si="10"/>
        <v>#REF!</v>
      </c>
    </row>
    <row r="35" spans="10:44" x14ac:dyDescent="0.3">
      <c r="J35" s="96" t="str">
        <f>OtvoroveKonstrukcie!A16</f>
        <v>OO14</v>
      </c>
      <c r="K35" s="470" t="str">
        <f>OtvoroveKonstrukcie!B16</f>
        <v>plastové, izolačné 2-sklo</v>
      </c>
      <c r="L35" s="470"/>
      <c r="M35" s="470"/>
      <c r="N35" s="470"/>
      <c r="O35" s="91">
        <f>OtvoroveKonstrukcie!O16</f>
        <v>41.999999999999993</v>
      </c>
      <c r="P35" s="92">
        <f>OtvoroveKonstrukcie!N16</f>
        <v>1.5</v>
      </c>
      <c r="Q35" s="93">
        <f t="shared" si="3"/>
        <v>62.999999999999986</v>
      </c>
      <c r="R35" s="242">
        <v>1</v>
      </c>
      <c r="S35" s="93">
        <f t="shared" si="4"/>
        <v>62.999999999999986</v>
      </c>
      <c r="T35" s="108">
        <v>1</v>
      </c>
      <c r="U35" s="109">
        <f>OtvoroveKonstrukcie!Q16</f>
        <v>12.78</v>
      </c>
      <c r="V35" s="104">
        <f t="shared" si="7"/>
        <v>1.2780000000000001E-3</v>
      </c>
      <c r="X35" s="104">
        <v>19.5</v>
      </c>
      <c r="Y35" s="104">
        <v>28</v>
      </c>
      <c r="Z35" s="104">
        <f t="shared" si="8"/>
        <v>470.40000000000003</v>
      </c>
      <c r="AA35" s="104" t="s">
        <v>529</v>
      </c>
      <c r="AB35" s="160">
        <f t="shared" si="11"/>
        <v>11.289600000000002</v>
      </c>
      <c r="AC35" s="160">
        <f>S84</f>
        <v>5404.8168455220421</v>
      </c>
      <c r="AD35" s="160">
        <f>S96</f>
        <v>4639.7489416666667</v>
      </c>
      <c r="AE35" s="160">
        <f>Y35*0.024*5*D12</f>
        <v>37963.296000000002</v>
      </c>
      <c r="AF35" s="160" t="e">
        <f>#REF!</f>
        <v>#REF!</v>
      </c>
      <c r="AG35" s="160" t="e">
        <f t="shared" si="9"/>
        <v>#REF!</v>
      </c>
      <c r="AH35" s="160" t="e">
        <f>#REF!</f>
        <v>#REF!</v>
      </c>
      <c r="AI35" s="160" t="e">
        <f t="shared" si="10"/>
        <v>#REF!</v>
      </c>
    </row>
    <row r="36" spans="10:44" x14ac:dyDescent="0.3">
      <c r="J36" s="96" t="str">
        <f>OtvoroveKonstrukcie!A17</f>
        <v>OO15</v>
      </c>
      <c r="K36" s="470" t="str">
        <f>OtvoroveKonstrukcie!B17</f>
        <v>plastové, izolačné 2-sklo</v>
      </c>
      <c r="L36" s="470"/>
      <c r="M36" s="470"/>
      <c r="N36" s="470"/>
      <c r="O36" s="91">
        <f>OtvoroveKonstrukcie!O17</f>
        <v>53.550000000000004</v>
      </c>
      <c r="P36" s="92">
        <f>OtvoroveKonstrukcie!N17</f>
        <v>1.5</v>
      </c>
      <c r="Q36" s="93">
        <f t="shared" si="3"/>
        <v>80.325000000000003</v>
      </c>
      <c r="R36" s="242">
        <v>1</v>
      </c>
      <c r="S36" s="93">
        <f t="shared" si="4"/>
        <v>80.325000000000003</v>
      </c>
      <c r="T36" s="108">
        <v>1</v>
      </c>
      <c r="U36" s="109">
        <f>OtvoroveKonstrukcie!Q17</f>
        <v>6.48</v>
      </c>
      <c r="V36" s="104">
        <f t="shared" si="7"/>
        <v>6.4800000000000003E-4</v>
      </c>
      <c r="X36" s="104">
        <v>23.3</v>
      </c>
      <c r="Y36" s="104">
        <f>Y48</f>
        <v>31</v>
      </c>
      <c r="Z36" s="104">
        <f t="shared" si="8"/>
        <v>437.1</v>
      </c>
      <c r="AA36" s="104" t="s">
        <v>531</v>
      </c>
      <c r="AB36" s="160">
        <f t="shared" si="11"/>
        <v>10.490400000000001</v>
      </c>
      <c r="AC36" s="160">
        <f>S84</f>
        <v>5404.8168455220421</v>
      </c>
      <c r="AD36" s="160">
        <f>S96</f>
        <v>4639.7489416666667</v>
      </c>
      <c r="AE36" s="160">
        <f>Y36*0.024*5*D12</f>
        <v>42030.792000000001</v>
      </c>
      <c r="AF36" s="160" t="e">
        <f>#REF!</f>
        <v>#REF!</v>
      </c>
      <c r="AG36" s="160" t="e">
        <f t="shared" si="9"/>
        <v>#REF!</v>
      </c>
      <c r="AH36" s="160">
        <v>0.77</v>
      </c>
      <c r="AI36" s="160" t="e">
        <f t="shared" si="10"/>
        <v>#REF!</v>
      </c>
    </row>
    <row r="37" spans="10:44" x14ac:dyDescent="0.3">
      <c r="J37" s="96" t="str">
        <f>OtvoroveKonstrukcie!A18</f>
        <v>OO16</v>
      </c>
      <c r="K37" s="470" t="str">
        <f>OtvoroveKonstrukcie!B18</f>
        <v>plastové, izolačné 2-sklo</v>
      </c>
      <c r="L37" s="470"/>
      <c r="M37" s="470"/>
      <c r="N37" s="470"/>
      <c r="O37" s="91">
        <f>OtvoroveKonstrukcie!O18</f>
        <v>225</v>
      </c>
      <c r="P37" s="92">
        <f>OtvoroveKonstrukcie!N18</f>
        <v>1.5</v>
      </c>
      <c r="Q37" s="93">
        <f t="shared" si="3"/>
        <v>337.5</v>
      </c>
      <c r="R37" s="242">
        <v>1</v>
      </c>
      <c r="S37" s="93">
        <f t="shared" si="4"/>
        <v>337.5</v>
      </c>
      <c r="T37" s="108">
        <v>1</v>
      </c>
      <c r="U37" s="109">
        <f>OtvoroveKonstrukcie!Q18</f>
        <v>5.4</v>
      </c>
      <c r="V37" s="104">
        <f t="shared" si="7"/>
        <v>5.4000000000000012E-4</v>
      </c>
      <c r="X37" s="104">
        <v>19.8</v>
      </c>
      <c r="Y37" s="239">
        <f>Y49</f>
        <v>14</v>
      </c>
      <c r="Z37" s="239">
        <f t="shared" si="8"/>
        <v>133</v>
      </c>
      <c r="AA37" s="239" t="s">
        <v>533</v>
      </c>
      <c r="AB37" s="240">
        <f t="shared" si="11"/>
        <v>3.1920000000000002</v>
      </c>
      <c r="AC37" s="240">
        <f>S84</f>
        <v>5404.8168455220421</v>
      </c>
      <c r="AD37" s="240">
        <f>S96</f>
        <v>4639.7489416666667</v>
      </c>
      <c r="AE37" s="240">
        <f>Y37*0.024*5*D12</f>
        <v>18981.648000000001</v>
      </c>
      <c r="AF37" s="240" t="e">
        <f>#REF!</f>
        <v>#REF!</v>
      </c>
      <c r="AG37" s="240" t="e">
        <f t="shared" si="9"/>
        <v>#REF!</v>
      </c>
      <c r="AH37" s="240" t="e">
        <f>#REF!</f>
        <v>#REF!</v>
      </c>
      <c r="AI37" s="240" t="e">
        <f>((AB37*(AC37+AD37))-(AG37*AH37))*0</f>
        <v>#REF!</v>
      </c>
      <c r="AK37" s="477" t="s">
        <v>534</v>
      </c>
      <c r="AL37" s="477"/>
      <c r="AN37" s="477" t="s">
        <v>535</v>
      </c>
      <c r="AO37" s="477"/>
    </row>
    <row r="38" spans="10:44" x14ac:dyDescent="0.3">
      <c r="J38" s="96" t="str">
        <f>OtvoroveKonstrukcie!A19</f>
        <v>OO17</v>
      </c>
      <c r="K38" s="470" t="str">
        <f>OtvoroveKonstrukcie!B19</f>
        <v>plastové, izolačné 2-sklo</v>
      </c>
      <c r="L38" s="470"/>
      <c r="M38" s="470"/>
      <c r="N38" s="470"/>
      <c r="O38" s="91">
        <f>OtvoroveKonstrukcie!O19</f>
        <v>36</v>
      </c>
      <c r="P38" s="92">
        <f>OtvoroveKonstrukcie!N19</f>
        <v>1.5</v>
      </c>
      <c r="Q38" s="93">
        <f t="shared" si="3"/>
        <v>54</v>
      </c>
      <c r="R38" s="242">
        <v>1</v>
      </c>
      <c r="S38" s="93">
        <f t="shared" si="4"/>
        <v>54</v>
      </c>
      <c r="T38" s="108">
        <v>1</v>
      </c>
      <c r="U38" s="109">
        <f>OtvoroveKonstrukcie!Q19</f>
        <v>8.1</v>
      </c>
      <c r="V38" s="104">
        <f t="shared" si="7"/>
        <v>8.0999999999999996E-4</v>
      </c>
      <c r="X38" s="117">
        <f>AVERAGE(X31:X36)</f>
        <v>21.166666666666668</v>
      </c>
      <c r="Y38" s="104">
        <f>SUM(Y31:Y37)</f>
        <v>188</v>
      </c>
      <c r="Z38" s="104">
        <f>SUM(Z31:Z37)</f>
        <v>3143</v>
      </c>
      <c r="AA38" s="136" t="s">
        <v>536</v>
      </c>
      <c r="AB38" s="160"/>
      <c r="AC38" s="160"/>
      <c r="AD38" s="160"/>
      <c r="AE38" s="160"/>
      <c r="AF38" s="160"/>
      <c r="AG38" s="160"/>
      <c r="AH38" s="160" t="e">
        <f>AVERAGE(AH31:AH37)</f>
        <v>#REF!</v>
      </c>
      <c r="AI38" s="150" t="e">
        <f>SUM(AI31:AI37)</f>
        <v>#REF!</v>
      </c>
      <c r="AK38" s="160" t="e">
        <f>#REF!*1000</f>
        <v>#REF!</v>
      </c>
      <c r="AL38" s="104" t="s">
        <v>537</v>
      </c>
      <c r="AN38" s="225" t="e">
        <f>#REF!*12*1000</f>
        <v>#REF!</v>
      </c>
      <c r="AO38" s="104" t="s">
        <v>538</v>
      </c>
    </row>
    <row r="39" spans="10:44" x14ac:dyDescent="0.3">
      <c r="J39" s="96" t="str">
        <f>OtvoroveKonstrukcie!A20</f>
        <v>OO18</v>
      </c>
      <c r="K39" s="470" t="str">
        <f>OtvoroveKonstrukcie!B20</f>
        <v>plastové, izolačné 2-sklo</v>
      </c>
      <c r="L39" s="470"/>
      <c r="M39" s="470"/>
      <c r="N39" s="470"/>
      <c r="O39" s="91">
        <f>OtvoroveKonstrukcie!O20</f>
        <v>4.26</v>
      </c>
      <c r="P39" s="92">
        <f>OtvoroveKonstrukcie!N20</f>
        <v>1.5</v>
      </c>
      <c r="Q39" s="93">
        <f t="shared" si="3"/>
        <v>6.39</v>
      </c>
      <c r="R39" s="242">
        <v>1</v>
      </c>
      <c r="S39" s="93">
        <f t="shared" si="4"/>
        <v>6.39</v>
      </c>
      <c r="T39" s="108">
        <v>1</v>
      </c>
      <c r="U39" s="109">
        <f>OtvoroveKonstrukcie!Q20</f>
        <v>5.2560000000000002</v>
      </c>
      <c r="V39" s="104">
        <f t="shared" si="7"/>
        <v>5.2560000000000009E-4</v>
      </c>
      <c r="Y39" s="117"/>
      <c r="AI39" s="223" t="e">
        <f>AI38/D12</f>
        <v>#REF!</v>
      </c>
      <c r="AJ39" s="117" t="s">
        <v>539</v>
      </c>
      <c r="AK39" s="224">
        <v>0.8</v>
      </c>
      <c r="AL39" s="162"/>
    </row>
    <row r="40" spans="10:44" x14ac:dyDescent="0.3">
      <c r="J40" s="96" t="str">
        <f>OtvoroveKonstrukcie!A21</f>
        <v>OO19</v>
      </c>
      <c r="K40" s="470" t="str">
        <f>OtvoroveKonstrukcie!B21</f>
        <v>plastové, izolačné 2-sklo</v>
      </c>
      <c r="L40" s="470"/>
      <c r="M40" s="470"/>
      <c r="N40" s="470"/>
      <c r="O40" s="91">
        <f>OtvoroveKonstrukcie!O21</f>
        <v>2.16</v>
      </c>
      <c r="P40" s="92">
        <f>OtvoroveKonstrukcie!N21</f>
        <v>1.5</v>
      </c>
      <c r="Q40" s="93">
        <f t="shared" si="3"/>
        <v>3.24</v>
      </c>
      <c r="R40" s="242">
        <v>1</v>
      </c>
      <c r="S40" s="93">
        <f t="shared" si="4"/>
        <v>3.24</v>
      </c>
      <c r="T40" s="108">
        <v>1</v>
      </c>
      <c r="U40" s="109">
        <f>OtvoroveKonstrukcie!Q21</f>
        <v>3.7800000000000002</v>
      </c>
      <c r="V40" s="104">
        <f t="shared" si="7"/>
        <v>3.7800000000000003E-4</v>
      </c>
      <c r="X40" s="478" t="s">
        <v>540</v>
      </c>
      <c r="Y40" s="478"/>
      <c r="Z40" s="478"/>
      <c r="AA40" s="478"/>
      <c r="AK40" s="213" t="e">
        <f>AK39*AK38</f>
        <v>#REF!</v>
      </c>
      <c r="AL40" s="218" t="s">
        <v>537</v>
      </c>
    </row>
    <row r="41" spans="10:44" x14ac:dyDescent="0.3">
      <c r="J41" s="96" t="str">
        <f>OtvoroveKonstrukcie!A22</f>
        <v>OO20</v>
      </c>
      <c r="K41" s="470" t="str">
        <f>OtvoroveKonstrukcie!B22</f>
        <v>plastové, izolačné 2-sklo</v>
      </c>
      <c r="L41" s="470"/>
      <c r="M41" s="470"/>
      <c r="N41" s="470"/>
      <c r="O41" s="91">
        <f>OtvoroveKonstrukcie!O22</f>
        <v>18</v>
      </c>
      <c r="P41" s="92">
        <f>OtvoroveKonstrukcie!N22</f>
        <v>1.5</v>
      </c>
      <c r="Q41" s="93">
        <f t="shared" si="3"/>
        <v>27</v>
      </c>
      <c r="R41" s="242">
        <v>1</v>
      </c>
      <c r="S41" s="93">
        <f t="shared" si="4"/>
        <v>27</v>
      </c>
      <c r="T41" s="108">
        <v>1</v>
      </c>
      <c r="U41" s="109">
        <f>OtvoroveKonstrukcie!Q22</f>
        <v>8.1</v>
      </c>
      <c r="V41" s="104">
        <f t="shared" si="7"/>
        <v>8.0999999999999996E-4</v>
      </c>
      <c r="X41" s="253" t="s">
        <v>511</v>
      </c>
      <c r="Y41" s="253" t="s">
        <v>541</v>
      </c>
      <c r="Z41" s="253" t="s">
        <v>542</v>
      </c>
      <c r="AA41" s="253" t="s">
        <v>108</v>
      </c>
      <c r="AK41" s="232" t="e">
        <f>AI38+AN38</f>
        <v>#REF!</v>
      </c>
      <c r="AL41" s="228" t="s">
        <v>543</v>
      </c>
      <c r="AN41" s="477" t="s">
        <v>544</v>
      </c>
      <c r="AO41" s="477"/>
      <c r="AQ41" s="477" t="s">
        <v>545</v>
      </c>
      <c r="AR41" s="477"/>
    </row>
    <row r="42" spans="10:44" x14ac:dyDescent="0.3">
      <c r="J42" s="96" t="str">
        <f>OtvoroveKonstrukcie!A23</f>
        <v>OO21</v>
      </c>
      <c r="K42" s="470" t="str">
        <f>OtvoroveKonstrukcie!B23</f>
        <v>plastové, izolačné 2-sklo</v>
      </c>
      <c r="L42" s="470"/>
      <c r="M42" s="470"/>
      <c r="N42" s="470"/>
      <c r="O42" s="91">
        <f>OtvoroveKonstrukcie!O23</f>
        <v>1.89</v>
      </c>
      <c r="P42" s="92">
        <f>OtvoroveKonstrukcie!N23</f>
        <v>1.5</v>
      </c>
      <c r="Q42" s="93">
        <f t="shared" si="3"/>
        <v>2.835</v>
      </c>
      <c r="R42" s="242">
        <v>1</v>
      </c>
      <c r="S42" s="93">
        <f t="shared" si="4"/>
        <v>2.835</v>
      </c>
      <c r="T42" s="108">
        <v>1</v>
      </c>
      <c r="U42" s="109">
        <f>OtvoroveKonstrukcie!Q23</f>
        <v>4.95</v>
      </c>
      <c r="V42" s="104">
        <f t="shared" si="7"/>
        <v>4.95E-4</v>
      </c>
      <c r="X42" s="253" t="s">
        <v>547</v>
      </c>
      <c r="Y42" s="104">
        <v>6</v>
      </c>
      <c r="Z42" s="104">
        <v>15.6</v>
      </c>
      <c r="AA42" s="104">
        <f>(20-Z42)*Y42</f>
        <v>26.400000000000002</v>
      </c>
      <c r="AN42" s="225" t="e">
        <f>'PotrebEnergieVYK 2017'!C3</f>
        <v>#REF!</v>
      </c>
      <c r="AO42" s="104" t="s">
        <v>538</v>
      </c>
      <c r="AQ42" s="225" t="e">
        <f>PotrebaEnergieTV!C3</f>
        <v>#REF!</v>
      </c>
      <c r="AR42" s="104" t="s">
        <v>538</v>
      </c>
    </row>
    <row r="43" spans="10:44" x14ac:dyDescent="0.3">
      <c r="J43" s="96" t="str">
        <f>OtvoroveKonstrukcie!A24</f>
        <v>OO22</v>
      </c>
      <c r="K43" s="470" t="str">
        <f>OtvoroveKonstrukcie!B24</f>
        <v>plastové, izolačné 2-sklo</v>
      </c>
      <c r="L43" s="470"/>
      <c r="M43" s="470"/>
      <c r="N43" s="470"/>
      <c r="O43" s="91">
        <f>OtvoroveKonstrukcie!O24</f>
        <v>20.250000000000004</v>
      </c>
      <c r="P43" s="92">
        <f>OtvoroveKonstrukcie!N24</f>
        <v>1.5</v>
      </c>
      <c r="Q43" s="93">
        <f t="shared" si="3"/>
        <v>30.375000000000007</v>
      </c>
      <c r="R43" s="242">
        <v>1</v>
      </c>
      <c r="S43" s="93">
        <f t="shared" si="4"/>
        <v>30.375000000000007</v>
      </c>
      <c r="T43" s="108">
        <v>1</v>
      </c>
      <c r="U43" s="109">
        <f>OtvoroveKonstrukcie!Q24</f>
        <v>7.5600000000000005</v>
      </c>
      <c r="V43" s="104">
        <f t="shared" si="7"/>
        <v>7.5600000000000005E-4</v>
      </c>
      <c r="X43" s="136" t="s">
        <v>525</v>
      </c>
      <c r="Y43" s="136">
        <v>30</v>
      </c>
      <c r="Z43" s="136">
        <v>11.9</v>
      </c>
      <c r="AA43" s="136">
        <f t="shared" ref="AA43:AA48" si="12">(X31-Z43)*Y43</f>
        <v>348</v>
      </c>
      <c r="AK43" s="477" t="s">
        <v>548</v>
      </c>
      <c r="AL43" s="477"/>
    </row>
    <row r="44" spans="10:44" x14ac:dyDescent="0.3">
      <c r="J44" s="96" t="str">
        <f>OtvoroveKonstrukcie!A25</f>
        <v>OO23</v>
      </c>
      <c r="K44" s="470" t="str">
        <f>OtvoroveKonstrukcie!B25</f>
        <v>plastové, izolačné 2-sklo</v>
      </c>
      <c r="L44" s="470"/>
      <c r="M44" s="470"/>
      <c r="N44" s="470"/>
      <c r="O44" s="91">
        <f>OtvoroveKonstrukcie!O25</f>
        <v>3.9600000000000004</v>
      </c>
      <c r="P44" s="92">
        <f>OtvoroveKonstrukcie!N25</f>
        <v>1.5</v>
      </c>
      <c r="Q44" s="93">
        <f t="shared" si="3"/>
        <v>5.94</v>
      </c>
      <c r="R44" s="242">
        <v>1</v>
      </c>
      <c r="S44" s="93">
        <f t="shared" si="4"/>
        <v>5.94</v>
      </c>
      <c r="T44" s="108">
        <v>1</v>
      </c>
      <c r="U44" s="109">
        <f>OtvoroveKonstrukcie!Q25</f>
        <v>7.2</v>
      </c>
      <c r="V44" s="104">
        <f t="shared" si="7"/>
        <v>7.2000000000000005E-4</v>
      </c>
      <c r="X44" s="136" t="s">
        <v>526</v>
      </c>
      <c r="Y44" s="136">
        <v>30</v>
      </c>
      <c r="Z44" s="136">
        <v>5.9</v>
      </c>
      <c r="AA44" s="136">
        <f t="shared" si="12"/>
        <v>468</v>
      </c>
      <c r="AK44" s="157" t="e">
        <f>AN42+AQ42</f>
        <v>#REF!</v>
      </c>
      <c r="AL44" s="153" t="s">
        <v>538</v>
      </c>
    </row>
    <row r="45" spans="10:44" x14ac:dyDescent="0.3">
      <c r="J45" s="96" t="str">
        <f>OtvoroveKonstrukcie!A26</f>
        <v>OO24</v>
      </c>
      <c r="K45" s="470" t="str">
        <f>OtvoroveKonstrukcie!B26</f>
        <v>plastové, izolačné 2-sklo</v>
      </c>
      <c r="L45" s="470"/>
      <c r="M45" s="470"/>
      <c r="N45" s="470"/>
      <c r="O45" s="91">
        <f>OtvoroveKonstrukcie!O26</f>
        <v>24.300000000000004</v>
      </c>
      <c r="P45" s="92">
        <f>OtvoroveKonstrukcie!N26</f>
        <v>1.5</v>
      </c>
      <c r="Q45" s="93">
        <f t="shared" si="3"/>
        <v>36.450000000000003</v>
      </c>
      <c r="R45" s="242">
        <v>1</v>
      </c>
      <c r="S45" s="93">
        <f t="shared" si="4"/>
        <v>36.450000000000003</v>
      </c>
      <c r="T45" s="108">
        <v>1</v>
      </c>
      <c r="U45" s="109">
        <f>OtvoroveKonstrukcie!Q26</f>
        <v>10.26</v>
      </c>
      <c r="V45" s="104">
        <f t="shared" si="7"/>
        <v>1.026E-3</v>
      </c>
      <c r="X45" s="136" t="s">
        <v>527</v>
      </c>
      <c r="Y45" s="136">
        <v>31</v>
      </c>
      <c r="Z45" s="136">
        <v>2.7</v>
      </c>
      <c r="AA45" s="136">
        <f t="shared" si="12"/>
        <v>564.19999999999993</v>
      </c>
    </row>
    <row r="46" spans="10:44" x14ac:dyDescent="0.3">
      <c r="J46" s="96" t="str">
        <f>OtvoroveKonstrukcie!A27</f>
        <v>OO25</v>
      </c>
      <c r="K46" s="470" t="str">
        <f>OtvoroveKonstrukcie!B27</f>
        <v>plastové, izolačné 2-sklo</v>
      </c>
      <c r="L46" s="470"/>
      <c r="M46" s="470"/>
      <c r="N46" s="470"/>
      <c r="O46" s="91">
        <f>OtvoroveKonstrukcie!O27</f>
        <v>16.200000000000003</v>
      </c>
      <c r="P46" s="92">
        <f>OtvoroveKonstrukcie!N27</f>
        <v>1.5</v>
      </c>
      <c r="Q46" s="93">
        <f t="shared" si="3"/>
        <v>24.300000000000004</v>
      </c>
      <c r="R46" s="242">
        <v>1</v>
      </c>
      <c r="S46" s="93">
        <f t="shared" si="4"/>
        <v>24.300000000000004</v>
      </c>
      <c r="T46" s="108">
        <v>1</v>
      </c>
      <c r="U46" s="109">
        <f>OtvoroveKonstrukcie!Q27</f>
        <v>7.5600000000000005</v>
      </c>
      <c r="V46" s="104">
        <f t="shared" si="7"/>
        <v>7.5600000000000005E-4</v>
      </c>
      <c r="X46" s="136" t="s">
        <v>528</v>
      </c>
      <c r="Y46" s="136">
        <v>31</v>
      </c>
      <c r="Z46" s="136">
        <v>-5</v>
      </c>
      <c r="AA46" s="136">
        <f t="shared" si="12"/>
        <v>722.30000000000007</v>
      </c>
    </row>
    <row r="47" spans="10:44" x14ac:dyDescent="0.3">
      <c r="J47" s="96" t="str">
        <f>OtvoroveKonstrukcie!A28</f>
        <v>OO26</v>
      </c>
      <c r="K47" s="470" t="str">
        <f>OtvoroveKonstrukcie!B28</f>
        <v>plastové, izolačné 2-sklo</v>
      </c>
      <c r="L47" s="470"/>
      <c r="M47" s="470"/>
      <c r="N47" s="470"/>
      <c r="O47" s="91">
        <f>OtvoroveKonstrukcie!O28</f>
        <v>23.43</v>
      </c>
      <c r="P47" s="92">
        <f>OtvoroveKonstrukcie!N28</f>
        <v>1.5</v>
      </c>
      <c r="Q47" s="93">
        <f t="shared" si="3"/>
        <v>35.144999999999996</v>
      </c>
      <c r="R47" s="242">
        <v>1</v>
      </c>
      <c r="S47" s="93">
        <f t="shared" si="4"/>
        <v>35.144999999999996</v>
      </c>
      <c r="T47" s="108">
        <v>1</v>
      </c>
      <c r="U47" s="109">
        <f>OtvoroveKonstrukcie!Q28</f>
        <v>5.2560000000000002</v>
      </c>
      <c r="V47" s="104">
        <f t="shared" si="7"/>
        <v>5.2560000000000009E-4</v>
      </c>
      <c r="X47" s="136" t="s">
        <v>529</v>
      </c>
      <c r="Y47" s="136">
        <v>28</v>
      </c>
      <c r="Z47" s="136">
        <v>2.7</v>
      </c>
      <c r="AA47" s="136">
        <f t="shared" si="12"/>
        <v>470.40000000000003</v>
      </c>
    </row>
    <row r="48" spans="10:44" ht="15" customHeight="1" x14ac:dyDescent="0.3">
      <c r="J48" s="96" t="str">
        <f>OtvoroveKonstrukcie!A29</f>
        <v>OO27</v>
      </c>
      <c r="K48" s="470" t="str">
        <f>OtvoroveKonstrukcie!B29</f>
        <v>hliník, izolačné 2-sklo</v>
      </c>
      <c r="L48" s="470"/>
      <c r="M48" s="470"/>
      <c r="N48" s="470"/>
      <c r="O48" s="91">
        <f>OtvoroveKonstrukcie!O29</f>
        <v>12.3225</v>
      </c>
      <c r="P48" s="92">
        <f>OtvoroveKonstrukcie!N29</f>
        <v>1.5</v>
      </c>
      <c r="Q48" s="93">
        <f t="shared" si="3"/>
        <v>18.483750000000001</v>
      </c>
      <c r="R48" s="242">
        <v>1</v>
      </c>
      <c r="S48" s="93">
        <f t="shared" si="4"/>
        <v>18.483750000000001</v>
      </c>
      <c r="T48" s="108">
        <v>1</v>
      </c>
      <c r="U48" s="109">
        <f>OtvoroveKonstrukcie!Q29</f>
        <v>8.9550000000000001</v>
      </c>
      <c r="V48" s="104">
        <f t="shared" si="7"/>
        <v>8.9550000000000003E-4</v>
      </c>
      <c r="X48" s="136" t="s">
        <v>531</v>
      </c>
      <c r="Y48" s="136">
        <v>31</v>
      </c>
      <c r="Z48" s="136">
        <v>9.1999999999999993</v>
      </c>
      <c r="AA48" s="136">
        <f t="shared" si="12"/>
        <v>437.1</v>
      </c>
    </row>
    <row r="49" spans="10:41" x14ac:dyDescent="0.3">
      <c r="J49" s="96" t="str">
        <f>OtvoroveKonstrukcie!A30</f>
        <v>OO28</v>
      </c>
      <c r="K49" s="470" t="str">
        <f>OtvoroveKonstrukcie!B30</f>
        <v>hliník, izolačné 2-sklo</v>
      </c>
      <c r="L49" s="470"/>
      <c r="M49" s="470"/>
      <c r="N49" s="470"/>
      <c r="O49" s="91">
        <f>OtvoroveKonstrukcie!O30</f>
        <v>3.69</v>
      </c>
      <c r="P49" s="92">
        <f>OtvoroveKonstrukcie!N30</f>
        <v>1.5</v>
      </c>
      <c r="Q49" s="93">
        <f t="shared" si="3"/>
        <v>5.5350000000000001</v>
      </c>
      <c r="R49" s="242">
        <v>1</v>
      </c>
      <c r="S49" s="93">
        <f t="shared" si="4"/>
        <v>5.5350000000000001</v>
      </c>
      <c r="T49" s="108">
        <v>1</v>
      </c>
      <c r="U49" s="109">
        <f>OtvoroveKonstrukcie!Q30</f>
        <v>6.93</v>
      </c>
      <c r="V49" s="104">
        <f t="shared" si="7"/>
        <v>6.9300000000000004E-4</v>
      </c>
      <c r="X49" s="136" t="s">
        <v>533</v>
      </c>
      <c r="Y49" s="136">
        <v>14</v>
      </c>
      <c r="Z49" s="136">
        <v>10.3</v>
      </c>
      <c r="AA49" s="136">
        <f>(X37-Z49)*Y49</f>
        <v>133</v>
      </c>
    </row>
    <row r="50" spans="10:41" x14ac:dyDescent="0.3">
      <c r="J50" s="96" t="str">
        <f>OtvoroveKonstrukcie!A31</f>
        <v>OO29</v>
      </c>
      <c r="K50" s="470" t="str">
        <f>OtvoroveKonstrukcie!B31</f>
        <v>plastové, izolačné 2-sklo</v>
      </c>
      <c r="L50" s="470"/>
      <c r="M50" s="470"/>
      <c r="N50" s="470"/>
      <c r="O50" s="91">
        <f>OtvoroveKonstrukcie!O31</f>
        <v>82.8</v>
      </c>
      <c r="P50" s="92">
        <f>OtvoroveKonstrukcie!N31</f>
        <v>1.5</v>
      </c>
      <c r="Q50" s="93">
        <f t="shared" si="3"/>
        <v>124.19999999999999</v>
      </c>
      <c r="R50" s="242">
        <v>1</v>
      </c>
      <c r="S50" s="93">
        <f t="shared" si="4"/>
        <v>124.19999999999999</v>
      </c>
      <c r="T50" s="108">
        <v>1</v>
      </c>
      <c r="U50" s="109">
        <f>OtvoroveKonstrukcie!Q31</f>
        <v>10.53</v>
      </c>
      <c r="V50" s="104">
        <f t="shared" si="7"/>
        <v>1.0529999999999999E-3</v>
      </c>
      <c r="X50" s="104" t="s">
        <v>550</v>
      </c>
      <c r="Y50" s="104">
        <v>2</v>
      </c>
      <c r="Z50" s="104">
        <v>16.7</v>
      </c>
      <c r="AA50" s="104">
        <f>(20-Z50)*Y50</f>
        <v>6.6000000000000014</v>
      </c>
    </row>
    <row r="51" spans="10:41" x14ac:dyDescent="0.3">
      <c r="J51" s="96" t="str">
        <f>OtvoroveKonstrukcie!A32</f>
        <v>OO30</v>
      </c>
      <c r="K51" s="470" t="str">
        <f>OtvoroveKonstrukcie!B32</f>
        <v>plastové, izolačné 2-sklo</v>
      </c>
      <c r="L51" s="470"/>
      <c r="M51" s="470"/>
      <c r="N51" s="470"/>
      <c r="O51" s="91">
        <f>OtvoroveKonstrukcie!O32</f>
        <v>7.9349999999999996</v>
      </c>
      <c r="P51" s="92">
        <f>OtvoroveKonstrukcie!N32</f>
        <v>1.5</v>
      </c>
      <c r="Q51" s="93">
        <f t="shared" si="3"/>
        <v>11.9025</v>
      </c>
      <c r="R51" s="242">
        <v>1</v>
      </c>
      <c r="S51" s="93">
        <f t="shared" si="4"/>
        <v>11.9025</v>
      </c>
      <c r="T51" s="108">
        <v>1</v>
      </c>
      <c r="U51" s="109">
        <f>OtvoroveKonstrukcie!Q32</f>
        <v>10.35</v>
      </c>
      <c r="V51" s="104">
        <f t="shared" si="7"/>
        <v>1.0350000000000001E-3</v>
      </c>
      <c r="X51" s="117"/>
      <c r="Y51" s="136">
        <f>SUM(Y42:Y50)</f>
        <v>203</v>
      </c>
      <c r="Z51" s="141">
        <f>AVERAGE(Z42:Z50)</f>
        <v>7.7777777777777777</v>
      </c>
      <c r="AA51" s="136">
        <f>SUM(AA42:AA50)</f>
        <v>3176</v>
      </c>
    </row>
    <row r="52" spans="10:41" x14ac:dyDescent="0.3">
      <c r="J52" s="96" t="str">
        <f>OtvoroveKonstrukcie!A33</f>
        <v>OO31</v>
      </c>
      <c r="K52" s="470" t="str">
        <f>OtvoroveKonstrukcie!B33</f>
        <v>plastové, izolačné 2-sklo</v>
      </c>
      <c r="L52" s="470"/>
      <c r="M52" s="470"/>
      <c r="N52" s="470"/>
      <c r="O52" s="91">
        <f>OtvoroveKonstrukcie!O33</f>
        <v>82.8</v>
      </c>
      <c r="P52" s="92">
        <f>OtvoroveKonstrukcie!N33</f>
        <v>1.5</v>
      </c>
      <c r="Q52" s="93">
        <f t="shared" si="3"/>
        <v>124.19999999999999</v>
      </c>
      <c r="R52" s="242">
        <v>1</v>
      </c>
      <c r="S52" s="93">
        <f t="shared" si="4"/>
        <v>124.19999999999999</v>
      </c>
      <c r="T52" s="108">
        <v>1</v>
      </c>
      <c r="U52" s="109">
        <f>OtvoroveKonstrukcie!Q33</f>
        <v>10.53</v>
      </c>
      <c r="V52" s="104">
        <f t="shared" si="7"/>
        <v>1.0529999999999999E-3</v>
      </c>
    </row>
    <row r="53" spans="10:41" x14ac:dyDescent="0.3">
      <c r="J53" s="96" t="str">
        <f>OtvoroveKonstrukcie!A34</f>
        <v>OO32</v>
      </c>
      <c r="K53" s="470" t="str">
        <f>OtvoroveKonstrukcie!B34</f>
        <v>plastové, izolačné 2-sklo</v>
      </c>
      <c r="L53" s="470"/>
      <c r="M53" s="470"/>
      <c r="N53" s="470"/>
      <c r="O53" s="91">
        <f>OtvoroveKonstrukcie!O34</f>
        <v>7.9349999999999996</v>
      </c>
      <c r="P53" s="92">
        <f>OtvoroveKonstrukcie!N34</f>
        <v>1.5</v>
      </c>
      <c r="Q53" s="93">
        <f t="shared" si="3"/>
        <v>11.9025</v>
      </c>
      <c r="R53" s="242">
        <v>1</v>
      </c>
      <c r="S53" s="93">
        <f t="shared" si="4"/>
        <v>11.9025</v>
      </c>
      <c r="T53" s="108">
        <v>1</v>
      </c>
      <c r="U53" s="109">
        <f>OtvoroveKonstrukcie!Q34</f>
        <v>10.35</v>
      </c>
      <c r="V53" s="104">
        <f t="shared" si="7"/>
        <v>1.0350000000000001E-3</v>
      </c>
      <c r="Y53" s="238"/>
      <c r="Z53" s="238"/>
    </row>
    <row r="54" spans="10:41" x14ac:dyDescent="0.3">
      <c r="J54" s="96" t="str">
        <f>OtvoroveKonstrukcie!A35</f>
        <v>OO33</v>
      </c>
      <c r="K54" s="470" t="str">
        <f>OtvoroveKonstrukcie!B35</f>
        <v>hliník, izolačné 2-sklo</v>
      </c>
      <c r="L54" s="470"/>
      <c r="M54" s="470"/>
      <c r="N54" s="470"/>
      <c r="O54" s="91">
        <f>OtvoroveKonstrukcie!O35</f>
        <v>9.1425000000000001</v>
      </c>
      <c r="P54" s="92">
        <f>OtvoroveKonstrukcie!N35</f>
        <v>1.5</v>
      </c>
      <c r="Q54" s="93">
        <f t="shared" si="3"/>
        <v>13.713750000000001</v>
      </c>
      <c r="R54" s="242">
        <v>1</v>
      </c>
      <c r="S54" s="93">
        <f t="shared" si="4"/>
        <v>13.713750000000001</v>
      </c>
      <c r="T54" s="108">
        <v>1</v>
      </c>
      <c r="U54" s="109">
        <f>OtvoroveKonstrukcie!Q35</f>
        <v>10.98</v>
      </c>
      <c r="V54" s="104">
        <f t="shared" si="7"/>
        <v>1.098E-3</v>
      </c>
      <c r="Y54" s="238"/>
      <c r="Z54" s="238"/>
    </row>
    <row r="55" spans="10:41" x14ac:dyDescent="0.3">
      <c r="J55" s="96" t="str">
        <f>OtvoroveKonstrukcie!A36</f>
        <v>OO34</v>
      </c>
      <c r="K55" s="470" t="str">
        <f>OtvoroveKonstrukcie!B36</f>
        <v>hliník, izolačné 2-sklo</v>
      </c>
      <c r="L55" s="470"/>
      <c r="M55" s="470"/>
      <c r="N55" s="470"/>
      <c r="O55" s="91">
        <f>OtvoroveKonstrukcie!O36</f>
        <v>17.28</v>
      </c>
      <c r="P55" s="92">
        <f>OtvoroveKonstrukcie!N36</f>
        <v>1.5</v>
      </c>
      <c r="Q55" s="93">
        <f t="shared" si="3"/>
        <v>25.92</v>
      </c>
      <c r="R55" s="242">
        <v>1</v>
      </c>
      <c r="S55" s="93">
        <f t="shared" si="4"/>
        <v>25.92</v>
      </c>
      <c r="T55" s="108">
        <v>1</v>
      </c>
      <c r="U55" s="109">
        <f>OtvoroveKonstrukcie!Q36</f>
        <v>15.120000000000001</v>
      </c>
      <c r="V55" s="104">
        <f t="shared" si="7"/>
        <v>1.5120000000000001E-3</v>
      </c>
      <c r="X55">
        <v>2016</v>
      </c>
    </row>
    <row r="56" spans="10:41" x14ac:dyDescent="0.3">
      <c r="J56" s="96" t="str">
        <f>OtvoroveKonstrukcie!A37</f>
        <v>OO35</v>
      </c>
      <c r="K56" s="470" t="str">
        <f>OtvoroveKonstrukcie!B37</f>
        <v>hliník, izolačné 2-sklo</v>
      </c>
      <c r="L56" s="470"/>
      <c r="M56" s="470"/>
      <c r="N56" s="470"/>
      <c r="O56" s="91">
        <f>OtvoroveKonstrukcie!O37</f>
        <v>8.64</v>
      </c>
      <c r="P56" s="92">
        <v>1.4</v>
      </c>
      <c r="Q56" s="93">
        <f t="shared" si="3"/>
        <v>12.096</v>
      </c>
      <c r="R56" s="242">
        <v>1</v>
      </c>
      <c r="S56" s="93">
        <f t="shared" si="4"/>
        <v>12.096</v>
      </c>
      <c r="T56" s="108">
        <v>1</v>
      </c>
      <c r="U56" s="109">
        <f>OtvoroveKonstrukcie!Q37</f>
        <v>10.8</v>
      </c>
      <c r="V56" s="104">
        <f t="shared" si="7"/>
        <v>1.0800000000000002E-3</v>
      </c>
      <c r="X56" s="473" t="s">
        <v>500</v>
      </c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5"/>
    </row>
    <row r="57" spans="10:41" x14ac:dyDescent="0.3">
      <c r="J57" s="96" t="str">
        <f>OtvoroveKonstrukcie!A38</f>
        <v>OO36</v>
      </c>
      <c r="K57" s="470" t="str">
        <f>OtvoroveKonstrukcie!B38</f>
        <v>plastové, izolačné 2-sklo</v>
      </c>
      <c r="L57" s="470"/>
      <c r="M57" s="470"/>
      <c r="N57" s="470"/>
      <c r="O57" s="91">
        <f>OtvoroveKonstrukcie!O38</f>
        <v>55.811399999999999</v>
      </c>
      <c r="P57" s="92">
        <v>1.4</v>
      </c>
      <c r="Q57" s="93">
        <f t="shared" si="3"/>
        <v>78.135959999999997</v>
      </c>
      <c r="R57" s="242">
        <v>1</v>
      </c>
      <c r="S57" s="93">
        <f t="shared" si="4"/>
        <v>78.135959999999997</v>
      </c>
      <c r="T57" s="108">
        <v>1</v>
      </c>
      <c r="U57" s="109">
        <f>OtvoroveKonstrukcie!Q38</f>
        <v>13.032</v>
      </c>
      <c r="V57" s="104">
        <f t="shared" si="7"/>
        <v>1.3032E-3</v>
      </c>
      <c r="X57" s="162" t="s">
        <v>508</v>
      </c>
      <c r="Y57" s="104" t="s">
        <v>509</v>
      </c>
      <c r="Z57" s="104" t="s">
        <v>510</v>
      </c>
      <c r="AA57" s="104" t="s">
        <v>511</v>
      </c>
      <c r="AB57" s="104" t="s">
        <v>512</v>
      </c>
      <c r="AC57" s="104" t="s">
        <v>513</v>
      </c>
      <c r="AD57" s="104" t="s">
        <v>514</v>
      </c>
      <c r="AE57" s="104" t="s">
        <v>515</v>
      </c>
      <c r="AF57" s="104" t="s">
        <v>516</v>
      </c>
      <c r="AG57" s="104" t="s">
        <v>517</v>
      </c>
      <c r="AH57" s="215" t="s">
        <v>518</v>
      </c>
      <c r="AI57" s="104" t="s">
        <v>519</v>
      </c>
    </row>
    <row r="58" spans="10:41" x14ac:dyDescent="0.3">
      <c r="J58" s="96"/>
      <c r="K58" s="470"/>
      <c r="L58" s="470"/>
      <c r="M58" s="470"/>
      <c r="N58" s="470"/>
      <c r="O58" s="91"/>
      <c r="P58" s="92"/>
      <c r="Q58" s="93"/>
      <c r="R58" s="242"/>
      <c r="S58" s="93"/>
      <c r="T58" s="108"/>
      <c r="U58" s="109"/>
      <c r="V58" s="104"/>
      <c r="X58" s="104">
        <v>21.4</v>
      </c>
      <c r="Y58" s="104">
        <f>Y70</f>
        <v>30</v>
      </c>
      <c r="Z58" s="104">
        <f t="shared" ref="Z58:Z64" si="13">AA70</f>
        <v>347.99999999999994</v>
      </c>
      <c r="AA58" s="104" t="s">
        <v>525</v>
      </c>
      <c r="AB58" s="160">
        <f>Z58*0.024</f>
        <v>8.3519999999999985</v>
      </c>
      <c r="AC58" s="160">
        <f>S84</f>
        <v>5404.8168455220421</v>
      </c>
      <c r="AD58" s="160">
        <f>S96</f>
        <v>4639.7489416666667</v>
      </c>
      <c r="AE58" s="160">
        <f>Y58*0.024*5*D12</f>
        <v>40674.959999999999</v>
      </c>
      <c r="AF58" s="160" t="e">
        <f>#REF!</f>
        <v>#REF!</v>
      </c>
      <c r="AG58" s="160" t="e">
        <f t="shared" ref="AG58:AG64" si="14">AE58+AF58</f>
        <v>#REF!</v>
      </c>
      <c r="AH58" s="160" t="e">
        <f>#REF!</f>
        <v>#REF!</v>
      </c>
      <c r="AI58" s="160" t="e">
        <f t="shared" ref="AI58:AI63" si="15">(AB58*(AC58+AD58))-(AG58*AH58)</f>
        <v>#REF!</v>
      </c>
    </row>
    <row r="59" spans="10:41" x14ac:dyDescent="0.3">
      <c r="J59" s="96"/>
      <c r="K59" s="470"/>
      <c r="L59" s="470"/>
      <c r="M59" s="470"/>
      <c r="N59" s="470"/>
      <c r="O59" s="91"/>
      <c r="P59" s="92"/>
      <c r="Q59" s="93"/>
      <c r="R59" s="242"/>
      <c r="S59" s="93"/>
      <c r="T59" s="108"/>
      <c r="U59" s="109"/>
      <c r="V59" s="104"/>
      <c r="X59" s="104">
        <v>19.100000000000001</v>
      </c>
      <c r="Y59" s="104">
        <f>Y71</f>
        <v>30</v>
      </c>
      <c r="Z59" s="104">
        <f t="shared" si="13"/>
        <v>435.00000000000006</v>
      </c>
      <c r="AA59" s="104" t="s">
        <v>526</v>
      </c>
      <c r="AB59" s="160">
        <f t="shared" ref="AB59:AB64" si="16">Z59*0.024</f>
        <v>10.440000000000001</v>
      </c>
      <c r="AC59" s="160">
        <f>S84</f>
        <v>5404.8168455220421</v>
      </c>
      <c r="AD59" s="160">
        <f>S96</f>
        <v>4639.7489416666667</v>
      </c>
      <c r="AE59" s="160">
        <f>Y59*0.024*5*D12</f>
        <v>40674.959999999999</v>
      </c>
      <c r="AF59" s="160" t="e">
        <f>#REF!</f>
        <v>#REF!</v>
      </c>
      <c r="AG59" s="160" t="e">
        <f t="shared" si="14"/>
        <v>#REF!</v>
      </c>
      <c r="AH59" s="160" t="e">
        <f>#REF!</f>
        <v>#REF!</v>
      </c>
      <c r="AI59" s="160" t="e">
        <f t="shared" si="15"/>
        <v>#REF!</v>
      </c>
    </row>
    <row r="60" spans="10:41" x14ac:dyDescent="0.3">
      <c r="J60" s="96" t="str">
        <f>OtvoroveKonstrukcie!A44</f>
        <v>DO1</v>
      </c>
      <c r="K60" s="470" t="str">
        <f>OtvoroveKonstrukcie!B44</f>
        <v>plastové, izolačné 2-sklo</v>
      </c>
      <c r="L60" s="470"/>
      <c r="M60" s="470"/>
      <c r="N60" s="470"/>
      <c r="O60" s="91">
        <f>OtvoroveKonstrukcie!O44</f>
        <v>240</v>
      </c>
      <c r="P60" s="92">
        <f>OtvoroveKonstrukcie!N44</f>
        <v>1.5</v>
      </c>
      <c r="Q60" s="93">
        <f t="shared" si="3"/>
        <v>360</v>
      </c>
      <c r="R60" s="242">
        <v>1</v>
      </c>
      <c r="S60" s="93">
        <f t="shared" si="4"/>
        <v>360</v>
      </c>
      <c r="T60" s="108">
        <v>1</v>
      </c>
      <c r="U60" s="109">
        <f>OtvoroveKonstrukcie!Q44</f>
        <v>6.12</v>
      </c>
      <c r="V60" s="104">
        <f t="shared" si="7"/>
        <v>6.1200000000000002E-4</v>
      </c>
      <c r="X60" s="104">
        <v>18.5</v>
      </c>
      <c r="Y60" s="104">
        <v>31</v>
      </c>
      <c r="Z60" s="104">
        <f t="shared" si="13"/>
        <v>554.9</v>
      </c>
      <c r="AA60" s="104" t="s">
        <v>527</v>
      </c>
      <c r="AB60" s="160">
        <f t="shared" si="16"/>
        <v>13.317600000000001</v>
      </c>
      <c r="AC60" s="160">
        <f>S84</f>
        <v>5404.8168455220421</v>
      </c>
      <c r="AD60" s="160">
        <f>S96</f>
        <v>4639.7489416666667</v>
      </c>
      <c r="AE60" s="160">
        <f>Y60*0.024*5*D12</f>
        <v>42030.792000000001</v>
      </c>
      <c r="AF60" s="160" t="e">
        <f>#REF!</f>
        <v>#REF!</v>
      </c>
      <c r="AG60" s="160" t="e">
        <f t="shared" si="14"/>
        <v>#REF!</v>
      </c>
      <c r="AH60" s="160">
        <v>0.95</v>
      </c>
      <c r="AI60" s="160" t="e">
        <f t="shared" si="15"/>
        <v>#REF!</v>
      </c>
    </row>
    <row r="61" spans="10:41" x14ac:dyDescent="0.3">
      <c r="J61" s="96" t="str">
        <f>OtvoroveKonstrukcie!A45</f>
        <v>DO2</v>
      </c>
      <c r="K61" s="470" t="str">
        <f>OtvoroveKonstrukcie!B45</f>
        <v>plastové, izolačné 2-sklo</v>
      </c>
      <c r="L61" s="470"/>
      <c r="M61" s="470"/>
      <c r="N61" s="470"/>
      <c r="O61" s="91">
        <f>OtvoroveKonstrukcie!O45</f>
        <v>5.04</v>
      </c>
      <c r="P61" s="92">
        <f>OtvoroveKonstrukcie!N45</f>
        <v>1.5</v>
      </c>
      <c r="Q61" s="93">
        <f t="shared" si="3"/>
        <v>7.5600000000000005</v>
      </c>
      <c r="R61" s="242">
        <v>1</v>
      </c>
      <c r="S61" s="93">
        <f t="shared" si="4"/>
        <v>7.5600000000000005</v>
      </c>
      <c r="T61" s="108">
        <v>1</v>
      </c>
      <c r="U61" s="109">
        <f>OtvoroveKonstrukcie!Q45</f>
        <v>8.1</v>
      </c>
      <c r="V61" s="104">
        <f t="shared" si="7"/>
        <v>8.0999999999999996E-4</v>
      </c>
      <c r="X61" s="104">
        <v>18.5</v>
      </c>
      <c r="Y61" s="104">
        <v>31</v>
      </c>
      <c r="Z61" s="104">
        <f t="shared" si="13"/>
        <v>595.19999999999993</v>
      </c>
      <c r="AA61" s="104" t="s">
        <v>528</v>
      </c>
      <c r="AB61" s="160">
        <f t="shared" si="16"/>
        <v>14.284799999999999</v>
      </c>
      <c r="AC61" s="160">
        <f>S84</f>
        <v>5404.8168455220421</v>
      </c>
      <c r="AD61" s="160">
        <f>S96</f>
        <v>4639.7489416666667</v>
      </c>
      <c r="AE61" s="160">
        <f>Y61*0.024*5*D12</f>
        <v>42030.792000000001</v>
      </c>
      <c r="AF61" s="160" t="e">
        <f>#REF!</f>
        <v>#REF!</v>
      </c>
      <c r="AG61" s="160" t="e">
        <f t="shared" si="14"/>
        <v>#REF!</v>
      </c>
      <c r="AH61" s="160">
        <v>0.95</v>
      </c>
      <c r="AI61" s="160" t="e">
        <f t="shared" si="15"/>
        <v>#REF!</v>
      </c>
    </row>
    <row r="62" spans="10:41" x14ac:dyDescent="0.3">
      <c r="J62" s="96" t="str">
        <f>OtvoroveKonstrukcie!A46</f>
        <v>DO3</v>
      </c>
      <c r="K62" s="470" t="str">
        <f>OtvoroveKonstrukcie!B46</f>
        <v>plastové, izolačné 2-sklo</v>
      </c>
      <c r="L62" s="470"/>
      <c r="M62" s="470"/>
      <c r="N62" s="470"/>
      <c r="O62" s="91">
        <f>OtvoroveKonstrukcie!O46</f>
        <v>214.20000000000005</v>
      </c>
      <c r="P62" s="92">
        <f>OtvoroveKonstrukcie!N46</f>
        <v>1.5</v>
      </c>
      <c r="Q62" s="93">
        <f t="shared" si="3"/>
        <v>321.30000000000007</v>
      </c>
      <c r="R62" s="242">
        <v>1</v>
      </c>
      <c r="S62" s="93">
        <f t="shared" si="4"/>
        <v>321.30000000000007</v>
      </c>
      <c r="T62" s="108">
        <v>1</v>
      </c>
      <c r="U62" s="109">
        <f>OtvoroveKonstrukcie!Q46</f>
        <v>5.5620000000000003</v>
      </c>
      <c r="V62" s="104">
        <f t="shared" si="7"/>
        <v>5.5620000000000008E-4</v>
      </c>
      <c r="X62" s="104">
        <v>23.4</v>
      </c>
      <c r="Y62" s="104">
        <v>28</v>
      </c>
      <c r="Z62" s="104">
        <f t="shared" si="13"/>
        <v>487.19999999999993</v>
      </c>
      <c r="AA62" s="104" t="s">
        <v>529</v>
      </c>
      <c r="AB62" s="160">
        <f t="shared" si="16"/>
        <v>11.692799999999998</v>
      </c>
      <c r="AC62" s="160">
        <f>S84</f>
        <v>5404.8168455220421</v>
      </c>
      <c r="AD62" s="160">
        <f>S96</f>
        <v>4639.7489416666667</v>
      </c>
      <c r="AE62" s="160">
        <f>Y62*0.024*5*D12</f>
        <v>37963.296000000002</v>
      </c>
      <c r="AF62" s="160" t="e">
        <f>#REF!</f>
        <v>#REF!</v>
      </c>
      <c r="AG62" s="160" t="e">
        <f t="shared" si="14"/>
        <v>#REF!</v>
      </c>
      <c r="AH62" s="160" t="e">
        <f>#REF!</f>
        <v>#REF!</v>
      </c>
      <c r="AI62" s="160" t="e">
        <f t="shared" si="15"/>
        <v>#REF!</v>
      </c>
    </row>
    <row r="63" spans="10:41" x14ac:dyDescent="0.3">
      <c r="J63" s="96" t="str">
        <f>OtvoroveKonstrukcie!A47</f>
        <v>DO4</v>
      </c>
      <c r="K63" s="470" t="str">
        <f>OtvoroveKonstrukcie!B47</f>
        <v>plastové, izolačné 2-sklo</v>
      </c>
      <c r="L63" s="470"/>
      <c r="M63" s="470"/>
      <c r="N63" s="470"/>
      <c r="O63" s="91">
        <f>OtvoroveKonstrukcie!O47</f>
        <v>1.64</v>
      </c>
      <c r="P63" s="92">
        <f>OtvoroveKonstrukcie!N47</f>
        <v>1.5</v>
      </c>
      <c r="Q63" s="93">
        <f t="shared" si="3"/>
        <v>2.46</v>
      </c>
      <c r="R63" s="242">
        <v>1</v>
      </c>
      <c r="S63" s="93">
        <f t="shared" si="4"/>
        <v>2.46</v>
      </c>
      <c r="T63" s="108">
        <v>1</v>
      </c>
      <c r="U63" s="109">
        <f>OtvoroveKonstrukcie!Q47</f>
        <v>5.13</v>
      </c>
      <c r="V63" s="104">
        <f t="shared" si="7"/>
        <v>5.13E-4</v>
      </c>
      <c r="X63" s="104">
        <v>22.3</v>
      </c>
      <c r="Y63" s="104">
        <f>Y75</f>
        <v>31</v>
      </c>
      <c r="Z63" s="104">
        <f t="shared" si="13"/>
        <v>486.70000000000005</v>
      </c>
      <c r="AA63" s="104" t="s">
        <v>531</v>
      </c>
      <c r="AB63" s="160">
        <f t="shared" si="16"/>
        <v>11.680800000000001</v>
      </c>
      <c r="AC63" s="160">
        <f>S84</f>
        <v>5404.8168455220421</v>
      </c>
      <c r="AD63" s="160">
        <f>S96</f>
        <v>4639.7489416666667</v>
      </c>
      <c r="AE63" s="160">
        <f>Y63*0.024*5*D12</f>
        <v>42030.792000000001</v>
      </c>
      <c r="AF63" s="160" t="e">
        <f>#REF!</f>
        <v>#REF!</v>
      </c>
      <c r="AG63" s="160" t="e">
        <f t="shared" si="14"/>
        <v>#REF!</v>
      </c>
      <c r="AH63" s="160" t="e">
        <f>#REF!</f>
        <v>#REF!</v>
      </c>
      <c r="AI63" s="160" t="e">
        <f t="shared" si="15"/>
        <v>#REF!</v>
      </c>
    </row>
    <row r="64" spans="10:41" x14ac:dyDescent="0.3">
      <c r="J64" s="96" t="str">
        <f>OtvoroveKonstrukcie!A48</f>
        <v>DO5</v>
      </c>
      <c r="K64" s="470" t="str">
        <f>OtvoroveKonstrukcie!B48</f>
        <v>plastové, izolačné 2-sklo</v>
      </c>
      <c r="L64" s="470"/>
      <c r="M64" s="470"/>
      <c r="N64" s="470"/>
      <c r="O64" s="91">
        <f>OtvoroveKonstrukcie!O48</f>
        <v>1.5760000000000001</v>
      </c>
      <c r="P64" s="92">
        <f>OtvoroveKonstrukcie!N48</f>
        <v>1.5</v>
      </c>
      <c r="Q64" s="93">
        <f t="shared" si="3"/>
        <v>2.3639999999999999</v>
      </c>
      <c r="R64" s="242">
        <v>1</v>
      </c>
      <c r="S64" s="93">
        <f t="shared" si="4"/>
        <v>2.3639999999999999</v>
      </c>
      <c r="T64" s="108">
        <v>1</v>
      </c>
      <c r="U64" s="109">
        <f>OtvoroveKonstrukcie!Q48</f>
        <v>4.9859999999999998</v>
      </c>
      <c r="V64" s="104">
        <f t="shared" si="7"/>
        <v>4.9859999999999998E-4</v>
      </c>
      <c r="X64" s="239">
        <v>33</v>
      </c>
      <c r="Y64" s="239">
        <f>Y76</f>
        <v>14</v>
      </c>
      <c r="Z64" s="239">
        <f t="shared" si="13"/>
        <v>305.2</v>
      </c>
      <c r="AA64" s="239" t="s">
        <v>533</v>
      </c>
      <c r="AB64" s="240">
        <f t="shared" si="16"/>
        <v>7.3247999999999998</v>
      </c>
      <c r="AC64" s="240">
        <f>S84</f>
        <v>5404.8168455220421</v>
      </c>
      <c r="AD64" s="240">
        <f>S96</f>
        <v>4639.7489416666667</v>
      </c>
      <c r="AE64" s="240">
        <f>Y64*0.024*5*D12</f>
        <v>18981.648000000001</v>
      </c>
      <c r="AF64" s="240" t="e">
        <f>#REF!</f>
        <v>#REF!</v>
      </c>
      <c r="AG64" s="240" t="e">
        <f t="shared" si="14"/>
        <v>#REF!</v>
      </c>
      <c r="AH64" s="240" t="e">
        <f>#REF!</f>
        <v>#REF!</v>
      </c>
      <c r="AI64" s="240" t="e">
        <f>((AB64*(AC64+AD64))-(AG64*AH64))*0</f>
        <v>#REF!</v>
      </c>
      <c r="AK64" s="477" t="s">
        <v>534</v>
      </c>
      <c r="AL64" s="477"/>
      <c r="AN64" s="477" t="s">
        <v>535</v>
      </c>
      <c r="AO64" s="477"/>
    </row>
    <row r="65" spans="10:44" x14ac:dyDescent="0.3">
      <c r="J65" s="96" t="str">
        <f>OtvoroveKonstrukcie!A49</f>
        <v>DO6</v>
      </c>
      <c r="K65" s="470" t="str">
        <f>OtvoroveKonstrukcie!B49</f>
        <v>plastové, izolačné 2-sklo</v>
      </c>
      <c r="L65" s="470"/>
      <c r="M65" s="470"/>
      <c r="N65" s="470"/>
      <c r="O65" s="91">
        <f>OtvoroveKonstrukcie!O49</f>
        <v>1.5760000000000001</v>
      </c>
      <c r="P65" s="92">
        <f>OtvoroveKonstrukcie!N49</f>
        <v>1.5</v>
      </c>
      <c r="Q65" s="93">
        <f t="shared" si="3"/>
        <v>2.3639999999999999</v>
      </c>
      <c r="R65" s="242">
        <v>1</v>
      </c>
      <c r="S65" s="93">
        <f t="shared" si="4"/>
        <v>2.3639999999999999</v>
      </c>
      <c r="T65" s="108">
        <v>1</v>
      </c>
      <c r="U65" s="109">
        <f>OtvoroveKonstrukcie!Q49</f>
        <v>4.9859999999999998</v>
      </c>
      <c r="V65" s="104">
        <f t="shared" si="7"/>
        <v>4.9859999999999998E-4</v>
      </c>
      <c r="X65" s="117">
        <f>AVERAGE(X58:X63)</f>
        <v>20.533333333333335</v>
      </c>
      <c r="Y65" s="104">
        <f>SUM(Y58:Y64)</f>
        <v>195</v>
      </c>
      <c r="Z65" s="104">
        <f>SUM(Z58:Z64)</f>
        <v>3212.2</v>
      </c>
      <c r="AA65" s="136" t="s">
        <v>536</v>
      </c>
      <c r="AB65" s="160"/>
      <c r="AC65" s="160"/>
      <c r="AD65" s="160"/>
      <c r="AE65" s="160"/>
      <c r="AF65" s="160"/>
      <c r="AG65" s="160"/>
      <c r="AH65" s="160" t="e">
        <f>AVERAGE(AH58:AH64)</f>
        <v>#REF!</v>
      </c>
      <c r="AI65" s="150" t="e">
        <f>SUM(AI58:AI64)</f>
        <v>#REF!</v>
      </c>
      <c r="AK65" s="160" t="e">
        <f>#REF!*1000</f>
        <v>#REF!</v>
      </c>
      <c r="AL65" s="104" t="s">
        <v>537</v>
      </c>
      <c r="AN65" s="225" t="e">
        <f>#REF!*1000*12</f>
        <v>#REF!</v>
      </c>
      <c r="AO65" s="104" t="s">
        <v>538</v>
      </c>
    </row>
    <row r="66" spans="10:44" x14ac:dyDescent="0.3">
      <c r="J66" s="96" t="str">
        <f>OtvoroveKonstrukcie!A50</f>
        <v>DO7</v>
      </c>
      <c r="K66" s="470" t="str">
        <f>OtvoroveKonstrukcie!B50</f>
        <v>hliník</v>
      </c>
      <c r="L66" s="470"/>
      <c r="M66" s="470"/>
      <c r="N66" s="470"/>
      <c r="O66" s="91">
        <f>OtvoroveKonstrukcie!O50</f>
        <v>2.2050000000000001</v>
      </c>
      <c r="P66" s="92">
        <f>OtvoroveKonstrukcie!N50</f>
        <v>1.5</v>
      </c>
      <c r="Q66" s="93">
        <f t="shared" si="3"/>
        <v>3.3075000000000001</v>
      </c>
      <c r="R66" s="242">
        <v>1</v>
      </c>
      <c r="S66" s="93">
        <f t="shared" si="4"/>
        <v>3.3075000000000001</v>
      </c>
      <c r="T66" s="108">
        <v>1</v>
      </c>
      <c r="U66" s="109">
        <f>OtvoroveKonstrukcie!Q50</f>
        <v>5.6700000000000008</v>
      </c>
      <c r="V66" s="104">
        <f t="shared" si="7"/>
        <v>5.6700000000000012E-4</v>
      </c>
      <c r="Y66" s="117"/>
      <c r="AI66" s="223" t="e">
        <f>AI65/D12</f>
        <v>#REF!</v>
      </c>
      <c r="AJ66" s="117" t="s">
        <v>539</v>
      </c>
      <c r="AK66" s="224">
        <v>0.80400000000000005</v>
      </c>
      <c r="AL66" s="162"/>
    </row>
    <row r="67" spans="10:44" x14ac:dyDescent="0.3">
      <c r="J67" s="96" t="str">
        <f>OtvoroveKonstrukcie!A51</f>
        <v>DO8</v>
      </c>
      <c r="K67" s="470" t="str">
        <f>OtvoroveKonstrukcie!B51</f>
        <v>hliník</v>
      </c>
      <c r="L67" s="470"/>
      <c r="M67" s="470"/>
      <c r="N67" s="470"/>
      <c r="O67" s="91">
        <f>OtvoroveKonstrukcie!O51</f>
        <v>3.0449999999999999</v>
      </c>
      <c r="P67" s="92">
        <f>OtvoroveKonstrukcie!N51</f>
        <v>1.5</v>
      </c>
      <c r="Q67" s="93">
        <f t="shared" si="3"/>
        <v>4.5674999999999999</v>
      </c>
      <c r="R67" s="242">
        <v>1</v>
      </c>
      <c r="S67" s="93">
        <f t="shared" si="4"/>
        <v>4.5674999999999999</v>
      </c>
      <c r="T67" s="108">
        <v>1</v>
      </c>
      <c r="U67" s="109">
        <f>OtvoroveKonstrukcie!Q51</f>
        <v>6.39</v>
      </c>
      <c r="V67" s="104">
        <f t="shared" si="7"/>
        <v>6.3900000000000003E-4</v>
      </c>
      <c r="X67" s="478" t="s">
        <v>616</v>
      </c>
      <c r="Y67" s="478"/>
      <c r="Z67" s="478"/>
      <c r="AA67" s="478"/>
      <c r="AK67" s="213" t="e">
        <f>AK66*AK65</f>
        <v>#REF!</v>
      </c>
      <c r="AL67" s="218" t="s">
        <v>537</v>
      </c>
    </row>
    <row r="68" spans="10:44" x14ac:dyDescent="0.3">
      <c r="J68" s="96" t="str">
        <f>OtvoroveKonstrukcie!A52</f>
        <v>DO9</v>
      </c>
      <c r="K68" s="470" t="str">
        <f>OtvoroveKonstrukcie!B52</f>
        <v>hliník</v>
      </c>
      <c r="L68" s="470"/>
      <c r="M68" s="470"/>
      <c r="N68" s="470"/>
      <c r="O68" s="91">
        <f>OtvoroveKonstrukcie!O52</f>
        <v>2.2050000000000001</v>
      </c>
      <c r="P68" s="92">
        <f>OtvoroveKonstrukcie!N52</f>
        <v>1.5</v>
      </c>
      <c r="Q68" s="93">
        <f t="shared" si="3"/>
        <v>3.3075000000000001</v>
      </c>
      <c r="R68" s="242">
        <v>1</v>
      </c>
      <c r="S68" s="93">
        <f t="shared" si="4"/>
        <v>3.3075000000000001</v>
      </c>
      <c r="T68" s="108">
        <v>1</v>
      </c>
      <c r="U68" s="109">
        <f>OtvoroveKonstrukcie!Q52</f>
        <v>5.6700000000000008</v>
      </c>
      <c r="V68" s="104">
        <f t="shared" ref="V68:V73" si="17">(T68*U68)*0.0001</f>
        <v>5.6700000000000012E-4</v>
      </c>
      <c r="X68" s="253" t="s">
        <v>511</v>
      </c>
      <c r="Y68" s="253" t="s">
        <v>541</v>
      </c>
      <c r="Z68" s="253" t="s">
        <v>542</v>
      </c>
      <c r="AA68" s="253" t="s">
        <v>108</v>
      </c>
      <c r="AK68" s="232" t="e">
        <f>AI65+AN65</f>
        <v>#REF!</v>
      </c>
      <c r="AL68" s="228" t="s">
        <v>543</v>
      </c>
      <c r="AN68" s="477" t="s">
        <v>544</v>
      </c>
      <c r="AO68" s="477"/>
      <c r="AQ68" s="477" t="s">
        <v>545</v>
      </c>
      <c r="AR68" s="477"/>
    </row>
    <row r="69" spans="10:44" x14ac:dyDescent="0.3">
      <c r="J69" s="96" t="str">
        <f>OtvoroveKonstrukcie!A53</f>
        <v>DO10</v>
      </c>
      <c r="K69" s="470" t="str">
        <f>OtvoroveKonstrukcie!B53</f>
        <v>kovové, izolačné 2-sklo</v>
      </c>
      <c r="L69" s="470"/>
      <c r="M69" s="470"/>
      <c r="N69" s="470"/>
      <c r="O69" s="91">
        <f>OtvoroveKonstrukcie!O53</f>
        <v>5.04</v>
      </c>
      <c r="P69" s="92">
        <f>OtvoroveKonstrukcie!N53</f>
        <v>5.6</v>
      </c>
      <c r="Q69" s="93">
        <f>(O69*P69)</f>
        <v>28.223999999999997</v>
      </c>
      <c r="R69" s="242">
        <v>1</v>
      </c>
      <c r="S69" s="93">
        <f xml:space="preserve"> R69*Q69</f>
        <v>28.223999999999997</v>
      </c>
      <c r="T69" s="108">
        <v>1</v>
      </c>
      <c r="U69" s="109">
        <f>OtvoroveKonstrukcie!Q53</f>
        <v>8.1</v>
      </c>
      <c r="V69" s="104">
        <f t="shared" si="17"/>
        <v>8.0999999999999996E-4</v>
      </c>
      <c r="X69" s="253" t="s">
        <v>547</v>
      </c>
      <c r="Y69" s="104">
        <v>0</v>
      </c>
      <c r="Z69" s="104">
        <v>0</v>
      </c>
      <c r="AA69" s="104">
        <f>(20-Z69)*Y69</f>
        <v>0</v>
      </c>
      <c r="AN69" s="225" t="e">
        <f>'PotrebEnergieVYK 2016'!C3</f>
        <v>#REF!</v>
      </c>
      <c r="AO69" s="104" t="s">
        <v>538</v>
      </c>
      <c r="AQ69" s="225" t="e">
        <f>PotrebaEnergieTV!C3</f>
        <v>#REF!</v>
      </c>
      <c r="AR69" s="104" t="s">
        <v>538</v>
      </c>
    </row>
    <row r="70" spans="10:44" x14ac:dyDescent="0.3">
      <c r="J70" s="96" t="str">
        <f>OtvoroveKonstrukcie!A54</f>
        <v>DO11</v>
      </c>
      <c r="K70" s="470" t="str">
        <f>OtvoroveKonstrukcie!B54</f>
        <v>kovové, izolačné 2-sklo</v>
      </c>
      <c r="L70" s="470"/>
      <c r="M70" s="470"/>
      <c r="N70" s="470"/>
      <c r="O70" s="91">
        <f>OtvoroveKonstrukcie!O54</f>
        <v>2.5649999999999999</v>
      </c>
      <c r="P70" s="92">
        <f>OtvoroveKonstrukcie!N54</f>
        <v>5.6</v>
      </c>
      <c r="Q70" s="93">
        <f>(O70*P70)</f>
        <v>14.363999999999999</v>
      </c>
      <c r="R70" s="242">
        <v>1</v>
      </c>
      <c r="S70" s="93">
        <f xml:space="preserve"> R70*Q70</f>
        <v>14.363999999999999</v>
      </c>
      <c r="T70" s="108">
        <v>1</v>
      </c>
      <c r="U70" s="109">
        <f>OtvoroveKonstrukcie!Q54</f>
        <v>6.75</v>
      </c>
      <c r="V70" s="104">
        <f t="shared" si="17"/>
        <v>6.7500000000000004E-4</v>
      </c>
      <c r="X70" s="136" t="s">
        <v>525</v>
      </c>
      <c r="Y70" s="136">
        <v>30</v>
      </c>
      <c r="Z70" s="136">
        <v>9.8000000000000007</v>
      </c>
      <c r="AA70" s="136">
        <f t="shared" ref="AA70:AA75" si="18">(X58-Z70)*Y70</f>
        <v>347.99999999999994</v>
      </c>
      <c r="AK70" s="477" t="s">
        <v>548</v>
      </c>
      <c r="AL70" s="477"/>
    </row>
    <row r="71" spans="10:44" x14ac:dyDescent="0.3">
      <c r="J71" s="96" t="str">
        <f>OtvoroveKonstrukcie!A55</f>
        <v>DO12</v>
      </c>
      <c r="K71" s="470" t="str">
        <f>OtvoroveKonstrukcie!B55</f>
        <v>plastové, izolačné 2-sklo</v>
      </c>
      <c r="L71" s="470"/>
      <c r="M71" s="470"/>
      <c r="N71" s="470"/>
      <c r="O71" s="91">
        <f>OtvoroveKonstrukcie!O55</f>
        <v>7.6950000000000012</v>
      </c>
      <c r="P71" s="92">
        <f>OtvoroveKonstrukcie!N55</f>
        <v>1.4</v>
      </c>
      <c r="Q71" s="93">
        <f>(O71*P71)</f>
        <v>10.773000000000001</v>
      </c>
      <c r="R71" s="242">
        <v>1</v>
      </c>
      <c r="S71" s="93">
        <f xml:space="preserve"> R71*Q71</f>
        <v>10.773000000000001</v>
      </c>
      <c r="T71" s="108">
        <v>1</v>
      </c>
      <c r="U71" s="109">
        <f>OtvoroveKonstrukcie!Q55</f>
        <v>9.990000000000002</v>
      </c>
      <c r="V71" s="104">
        <f t="shared" si="17"/>
        <v>9.9900000000000032E-4</v>
      </c>
      <c r="X71" s="136" t="s">
        <v>526</v>
      </c>
      <c r="Y71" s="136">
        <v>30</v>
      </c>
      <c r="Z71" s="136">
        <v>4.5999999999999996</v>
      </c>
      <c r="AA71" s="136">
        <f t="shared" si="18"/>
        <v>435.00000000000006</v>
      </c>
      <c r="AK71" s="157" t="e">
        <f>AN69+AQ69</f>
        <v>#REF!</v>
      </c>
      <c r="AL71" s="153" t="s">
        <v>538</v>
      </c>
    </row>
    <row r="72" spans="10:44" x14ac:dyDescent="0.3">
      <c r="J72" s="96" t="str">
        <f>OtvoroveKonstrukcie!A56</f>
        <v>DO13</v>
      </c>
      <c r="K72" s="470" t="str">
        <f>OtvoroveKonstrukcie!B56</f>
        <v>Sekciová brána</v>
      </c>
      <c r="L72" s="470"/>
      <c r="M72" s="470"/>
      <c r="N72" s="470"/>
      <c r="O72" s="91">
        <f>OtvoroveKonstrukcie!O56</f>
        <v>11.52</v>
      </c>
      <c r="P72" s="92">
        <f>OtvoroveKonstrukcie!N56</f>
        <v>1.4</v>
      </c>
      <c r="Q72" s="93">
        <f>(O72*P72)</f>
        <v>16.128</v>
      </c>
      <c r="R72" s="242">
        <v>1</v>
      </c>
      <c r="S72" s="93">
        <f xml:space="preserve"> R72*Q72</f>
        <v>16.128</v>
      </c>
      <c r="T72" s="108">
        <v>1</v>
      </c>
      <c r="U72" s="109">
        <f>OtvoroveKonstrukcie!Q56</f>
        <v>8.64</v>
      </c>
      <c r="V72" s="104">
        <f t="shared" si="17"/>
        <v>8.6400000000000008E-4</v>
      </c>
      <c r="X72" s="136" t="s">
        <v>527</v>
      </c>
      <c r="Y72" s="136">
        <v>31</v>
      </c>
      <c r="Z72" s="136">
        <v>0.6</v>
      </c>
      <c r="AA72" s="136">
        <f t="shared" si="18"/>
        <v>554.9</v>
      </c>
    </row>
    <row r="73" spans="10:44" x14ac:dyDescent="0.3">
      <c r="J73" s="96">
        <f>OtvoroveKonstrukcie!A57</f>
        <v>0</v>
      </c>
      <c r="K73" s="470">
        <f>OtvoroveKonstrukcie!B57</f>
        <v>0</v>
      </c>
      <c r="L73" s="470"/>
      <c r="M73" s="470"/>
      <c r="N73" s="470"/>
      <c r="O73" s="91">
        <f>OtvoroveKonstrukcie!O57</f>
        <v>0</v>
      </c>
      <c r="P73" s="92">
        <f>OtvoroveKonstrukcie!N57</f>
        <v>0</v>
      </c>
      <c r="Q73" s="93">
        <f>(O73*P73)</f>
        <v>0</v>
      </c>
      <c r="R73" s="242">
        <v>1</v>
      </c>
      <c r="S73" s="93">
        <f xml:space="preserve"> R73*Q73</f>
        <v>0</v>
      </c>
      <c r="T73" s="108">
        <v>1</v>
      </c>
      <c r="U73" s="109">
        <f>OtvoroveKonstrukcie!Q57</f>
        <v>0</v>
      </c>
      <c r="V73" s="104">
        <f t="shared" si="17"/>
        <v>0</v>
      </c>
      <c r="X73" s="136" t="s">
        <v>528</v>
      </c>
      <c r="Y73" s="136">
        <v>31</v>
      </c>
      <c r="Z73" s="136">
        <v>-0.7</v>
      </c>
      <c r="AA73" s="136">
        <f t="shared" si="18"/>
        <v>595.19999999999993</v>
      </c>
    </row>
    <row r="74" spans="10:44" x14ac:dyDescent="0.3">
      <c r="J74" s="96"/>
      <c r="K74" s="470"/>
      <c r="L74" s="470"/>
      <c r="M74" s="470"/>
      <c r="N74" s="470"/>
      <c r="O74" s="91"/>
      <c r="P74" s="92"/>
      <c r="Q74" s="93"/>
      <c r="R74" s="242"/>
      <c r="S74" s="93"/>
      <c r="T74" s="108"/>
      <c r="U74" s="109"/>
      <c r="V74" s="104"/>
      <c r="X74" s="136" t="s">
        <v>529</v>
      </c>
      <c r="Y74" s="136">
        <v>28</v>
      </c>
      <c r="Z74" s="136">
        <v>6</v>
      </c>
      <c r="AA74" s="136">
        <f t="shared" si="18"/>
        <v>487.19999999999993</v>
      </c>
    </row>
    <row r="75" spans="10:44" x14ac:dyDescent="0.3">
      <c r="J75" s="96"/>
      <c r="K75" s="470"/>
      <c r="L75" s="470"/>
      <c r="M75" s="470"/>
      <c r="N75" s="470"/>
      <c r="O75" s="91"/>
      <c r="P75" s="92"/>
      <c r="Q75" s="93"/>
      <c r="R75" s="242"/>
      <c r="S75" s="93"/>
      <c r="T75" s="108"/>
      <c r="U75" s="109"/>
      <c r="V75" s="104"/>
      <c r="X75" s="136" t="s">
        <v>531</v>
      </c>
      <c r="Y75" s="136">
        <v>31</v>
      </c>
      <c r="Z75" s="136">
        <v>6.6</v>
      </c>
      <c r="AA75" s="136">
        <f t="shared" si="18"/>
        <v>486.70000000000005</v>
      </c>
    </row>
    <row r="76" spans="10:44" ht="15" x14ac:dyDescent="0.35">
      <c r="J76" s="97" t="s">
        <v>551</v>
      </c>
      <c r="K76" s="356"/>
      <c r="L76" s="356"/>
      <c r="M76" s="356"/>
      <c r="N76" s="98" t="s">
        <v>552</v>
      </c>
      <c r="O76" s="112">
        <f>SUM(O5:O75)</f>
        <v>9721.2033999999985</v>
      </c>
      <c r="P76" s="79"/>
      <c r="Q76" s="467" t="s">
        <v>553</v>
      </c>
      <c r="R76" s="468"/>
      <c r="S76" s="112">
        <f xml:space="preserve"> SUM(S5:S75)</f>
        <v>4918.7566755220423</v>
      </c>
      <c r="T76" s="106"/>
      <c r="U76" s="124">
        <f>SUM(U68:U75)</f>
        <v>39.150000000000006</v>
      </c>
      <c r="V76" s="125">
        <f>SUM(V68:V75)</f>
        <v>3.9150000000000001E-3</v>
      </c>
      <c r="X76" s="136" t="s">
        <v>533</v>
      </c>
      <c r="Y76" s="136">
        <v>14</v>
      </c>
      <c r="Z76" s="136">
        <v>11.2</v>
      </c>
      <c r="AA76" s="136">
        <f>(X64-Z76)*Y76</f>
        <v>305.2</v>
      </c>
    </row>
    <row r="77" spans="10:44" x14ac:dyDescent="0.3">
      <c r="T77" s="106"/>
      <c r="U77" s="107"/>
      <c r="X77" s="104" t="s">
        <v>550</v>
      </c>
      <c r="Y77" s="104">
        <v>8</v>
      </c>
      <c r="Z77" s="104">
        <v>15.9</v>
      </c>
      <c r="AA77" s="104">
        <f>(20-Z77)*Y77</f>
        <v>32.799999999999997</v>
      </c>
    </row>
    <row r="78" spans="10:44" x14ac:dyDescent="0.3">
      <c r="J78" s="450" t="s">
        <v>554</v>
      </c>
      <c r="K78" s="451"/>
      <c r="L78" s="451"/>
      <c r="M78" s="451"/>
      <c r="N78" s="451"/>
      <c r="O78" s="451"/>
      <c r="P78" s="451"/>
      <c r="Q78" s="451"/>
      <c r="R78" s="451"/>
      <c r="S78" s="451"/>
      <c r="T78" s="106"/>
      <c r="U78" s="107"/>
      <c r="X78" s="117"/>
      <c r="Y78" s="136">
        <f>SUM(Y69:Y77)</f>
        <v>203</v>
      </c>
      <c r="Z78" s="141">
        <f>AVERAGE(Z69:Z77)</f>
        <v>5.9999999999999991</v>
      </c>
      <c r="AA78" s="136">
        <f>SUM(AA69:AA77)</f>
        <v>3245</v>
      </c>
    </row>
    <row r="79" spans="10:44" x14ac:dyDescent="0.3">
      <c r="J79" s="452"/>
      <c r="K79" s="453"/>
      <c r="L79" s="453"/>
      <c r="M79" s="113"/>
      <c r="N79" s="79" t="s">
        <v>555</v>
      </c>
      <c r="O79" s="458" t="s">
        <v>556</v>
      </c>
      <c r="P79" s="459"/>
      <c r="Q79" s="459"/>
      <c r="R79" s="459"/>
      <c r="S79" s="460"/>
      <c r="T79" s="106"/>
      <c r="U79" s="107"/>
    </row>
    <row r="80" spans="10:44" x14ac:dyDescent="0.3">
      <c r="J80" s="454"/>
      <c r="K80" s="455"/>
      <c r="L80" s="455"/>
      <c r="M80" s="113" t="s">
        <v>557</v>
      </c>
      <c r="N80" s="79" t="s">
        <v>558</v>
      </c>
      <c r="O80" s="242">
        <v>0.05</v>
      </c>
      <c r="P80" s="461" t="s">
        <v>559</v>
      </c>
      <c r="Q80" s="462"/>
      <c r="R80" s="98" t="s">
        <v>560</v>
      </c>
      <c r="S80" s="114">
        <v>0.05</v>
      </c>
      <c r="T80" s="106"/>
      <c r="U80" s="107"/>
    </row>
    <row r="81" spans="10:21" x14ac:dyDescent="0.3">
      <c r="J81" s="454"/>
      <c r="K81" s="455"/>
      <c r="L81" s="455"/>
      <c r="M81" s="463"/>
      <c r="N81" s="464"/>
      <c r="O81" s="242">
        <v>0.1</v>
      </c>
      <c r="P81" s="431" t="s">
        <v>561</v>
      </c>
      <c r="Q81" s="433"/>
      <c r="R81" s="98"/>
      <c r="S81" s="115"/>
      <c r="T81" s="106"/>
      <c r="U81" s="107"/>
    </row>
    <row r="82" spans="10:21" x14ac:dyDescent="0.3">
      <c r="J82" s="456"/>
      <c r="K82" s="457"/>
      <c r="L82" s="457"/>
      <c r="M82" s="465"/>
      <c r="N82" s="466"/>
      <c r="O82" s="242">
        <v>0.2</v>
      </c>
      <c r="P82" s="431" t="s">
        <v>562</v>
      </c>
      <c r="Q82" s="433"/>
      <c r="R82" s="79"/>
      <c r="S82" s="221"/>
      <c r="T82" s="106"/>
      <c r="U82" s="107"/>
    </row>
    <row r="83" spans="10:21" ht="15" x14ac:dyDescent="0.35">
      <c r="J83" s="431" t="s">
        <v>563</v>
      </c>
      <c r="K83" s="432"/>
      <c r="L83" s="432"/>
      <c r="M83" s="433"/>
      <c r="N83" s="434" t="s">
        <v>564</v>
      </c>
      <c r="O83" s="435"/>
      <c r="P83" s="435"/>
      <c r="Q83" s="435"/>
      <c r="R83" s="436"/>
      <c r="S83" s="116">
        <f>S80*O76</f>
        <v>486.06016999999997</v>
      </c>
      <c r="T83" s="106"/>
      <c r="U83" s="107"/>
    </row>
    <row r="84" spans="10:21" ht="15" x14ac:dyDescent="0.35">
      <c r="J84" s="437" t="s">
        <v>565</v>
      </c>
      <c r="K84" s="438"/>
      <c r="L84" s="438"/>
      <c r="M84" s="439"/>
      <c r="N84" s="440" t="s">
        <v>566</v>
      </c>
      <c r="O84" s="441"/>
      <c r="P84" s="441"/>
      <c r="Q84" s="441"/>
      <c r="R84" s="442"/>
      <c r="S84" s="112">
        <f xml:space="preserve"> S76+S83</f>
        <v>5404.8168455220421</v>
      </c>
      <c r="T84" s="106"/>
      <c r="U84" s="107"/>
    </row>
    <row r="85" spans="10:21" x14ac:dyDescent="0.3"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06"/>
      <c r="U85" s="107"/>
    </row>
    <row r="86" spans="10:21" ht="15" x14ac:dyDescent="0.35">
      <c r="J86" s="443" t="s">
        <v>567</v>
      </c>
      <c r="K86" s="444"/>
      <c r="L86" s="444"/>
      <c r="M86" s="444"/>
      <c r="N86" s="444"/>
      <c r="O86" s="444"/>
      <c r="P86" s="445"/>
      <c r="Q86" s="79"/>
      <c r="R86" s="118" t="s">
        <v>568</v>
      </c>
      <c r="S86" s="119">
        <f>S84/O76</f>
        <v>0.55598228152720708</v>
      </c>
      <c r="T86" s="106"/>
      <c r="U86" s="107"/>
    </row>
    <row r="87" spans="10:21" ht="15" x14ac:dyDescent="0.35">
      <c r="J87" s="120" t="s">
        <v>569</v>
      </c>
      <c r="K87" s="89"/>
      <c r="L87" s="89"/>
      <c r="M87" s="121" t="s">
        <v>570</v>
      </c>
      <c r="N87" s="122" t="s">
        <v>571</v>
      </c>
      <c r="O87" s="122" t="s">
        <v>572</v>
      </c>
      <c r="P87" s="123" t="s">
        <v>573</v>
      </c>
      <c r="Q87" s="122" t="s">
        <v>574</v>
      </c>
      <c r="R87" s="446" t="s">
        <v>575</v>
      </c>
      <c r="S87" s="447"/>
      <c r="T87" s="106"/>
      <c r="U87" s="107"/>
    </row>
    <row r="88" spans="10:21" x14ac:dyDescent="0.3">
      <c r="J88" s="448" t="s">
        <v>567</v>
      </c>
      <c r="K88" s="448"/>
      <c r="L88" s="448"/>
      <c r="M88" s="448"/>
      <c r="N88" s="448"/>
      <c r="O88" s="448"/>
      <c r="P88" s="448"/>
      <c r="Q88" s="448"/>
      <c r="R88" s="448"/>
      <c r="S88" s="448"/>
      <c r="T88" s="106"/>
      <c r="U88" s="107"/>
    </row>
    <row r="89" spans="10:21" ht="15" x14ac:dyDescent="0.35">
      <c r="J89" s="449"/>
      <c r="K89" s="449"/>
      <c r="L89" s="449"/>
      <c r="M89" s="449"/>
      <c r="N89" s="449"/>
      <c r="O89" s="449"/>
      <c r="P89" s="449"/>
      <c r="Q89" s="79"/>
      <c r="R89" s="118" t="s">
        <v>568</v>
      </c>
      <c r="S89" s="119">
        <f>S84/O76</f>
        <v>0.55598228152720708</v>
      </c>
      <c r="T89" s="106"/>
      <c r="U89" s="107"/>
    </row>
    <row r="90" spans="10:21" x14ac:dyDescent="0.3">
      <c r="T90" s="106"/>
      <c r="U90" s="107"/>
    </row>
    <row r="91" spans="10:21" x14ac:dyDescent="0.3">
      <c r="J91" s="430" t="s">
        <v>576</v>
      </c>
      <c r="K91" s="430"/>
      <c r="L91" s="430"/>
      <c r="M91" s="430"/>
      <c r="N91" s="430"/>
      <c r="O91" s="430"/>
      <c r="P91" s="430"/>
      <c r="Q91" s="430"/>
      <c r="R91" s="430"/>
      <c r="S91" s="430"/>
      <c r="T91" s="106"/>
      <c r="U91" s="107"/>
    </row>
    <row r="92" spans="10:21" x14ac:dyDescent="0.3">
      <c r="J92" s="375" t="s">
        <v>577</v>
      </c>
      <c r="K92" s="375"/>
      <c r="L92" s="375"/>
      <c r="M92" s="375"/>
      <c r="N92" s="375"/>
      <c r="O92" s="375"/>
      <c r="P92" s="375"/>
      <c r="Q92" s="375"/>
      <c r="R92" s="375"/>
      <c r="S92" s="126">
        <v>0.85</v>
      </c>
      <c r="T92" s="106"/>
      <c r="U92" s="107"/>
    </row>
    <row r="93" spans="10:21" x14ac:dyDescent="0.3">
      <c r="J93" s="375" t="s">
        <v>578</v>
      </c>
      <c r="K93" s="375"/>
      <c r="L93" s="375"/>
      <c r="M93" s="375"/>
      <c r="N93" s="375"/>
      <c r="O93" s="375"/>
      <c r="P93" s="375"/>
      <c r="Q93" s="375"/>
      <c r="R93" s="375"/>
      <c r="S93" s="127">
        <v>1.2</v>
      </c>
      <c r="T93" s="106"/>
      <c r="U93" s="107"/>
    </row>
    <row r="94" spans="10:21" x14ac:dyDescent="0.3">
      <c r="J94" s="375" t="s">
        <v>579</v>
      </c>
      <c r="K94" s="375"/>
      <c r="L94" s="375"/>
      <c r="M94" s="375"/>
      <c r="N94" s="375"/>
      <c r="O94" s="375"/>
      <c r="P94" s="375"/>
      <c r="Q94" s="375"/>
      <c r="R94" s="375"/>
      <c r="S94" s="127">
        <v>1010</v>
      </c>
      <c r="T94" s="106"/>
      <c r="U94" s="226"/>
    </row>
    <row r="95" spans="10:21" x14ac:dyDescent="0.3">
      <c r="J95" s="375" t="s">
        <v>580</v>
      </c>
      <c r="K95" s="375"/>
      <c r="L95" s="375"/>
      <c r="M95" s="375"/>
      <c r="N95" s="375"/>
      <c r="O95" s="375"/>
      <c r="P95" s="375"/>
      <c r="Q95" s="375"/>
      <c r="R95" s="375"/>
      <c r="S95" s="128">
        <f>IF((25200*(V76/D11))&lt;0.5,0.5,(25200*(V76/D11)))</f>
        <v>0.5</v>
      </c>
      <c r="T95" s="106"/>
      <c r="U95" s="107"/>
    </row>
    <row r="96" spans="10:21" ht="15" x14ac:dyDescent="0.35">
      <c r="J96" s="422" t="s">
        <v>581</v>
      </c>
      <c r="K96" s="423"/>
      <c r="L96" s="423"/>
      <c r="M96" s="423"/>
      <c r="N96" s="423"/>
      <c r="O96" s="423"/>
      <c r="P96" s="423"/>
      <c r="Q96" s="423"/>
      <c r="R96" s="424"/>
      <c r="S96" s="129">
        <f>(S92*S93*S94*D11*S95)/3600</f>
        <v>4639.7489416666667</v>
      </c>
      <c r="T96" s="106"/>
      <c r="U96" s="107"/>
    </row>
    <row r="97" spans="10:21" x14ac:dyDescent="0.3">
      <c r="T97" s="106"/>
      <c r="U97" s="107"/>
    </row>
    <row r="98" spans="10:21" x14ac:dyDescent="0.3">
      <c r="J98" s="425" t="s">
        <v>582</v>
      </c>
      <c r="K98" s="426"/>
      <c r="L98" s="426"/>
      <c r="M98" s="426"/>
      <c r="N98" s="426"/>
      <c r="O98" s="426"/>
      <c r="P98" s="426"/>
      <c r="Q98" s="426"/>
      <c r="R98" s="426"/>
      <c r="S98" s="427"/>
      <c r="T98" s="106"/>
      <c r="U98" s="107"/>
    </row>
    <row r="99" spans="10:21" x14ac:dyDescent="0.3">
      <c r="J99" s="256" t="s">
        <v>511</v>
      </c>
      <c r="K99" s="256" t="s">
        <v>583</v>
      </c>
      <c r="L99" s="256" t="s">
        <v>584</v>
      </c>
      <c r="M99" s="256" t="s">
        <v>585</v>
      </c>
      <c r="N99" s="256" t="s">
        <v>586</v>
      </c>
      <c r="O99" s="256" t="s">
        <v>587</v>
      </c>
      <c r="P99" s="256" t="s">
        <v>588</v>
      </c>
      <c r="Q99" s="256" t="s">
        <v>589</v>
      </c>
      <c r="R99" s="428"/>
      <c r="S99" s="420" t="s">
        <v>590</v>
      </c>
      <c r="T99" s="106"/>
      <c r="U99" s="107"/>
    </row>
    <row r="100" spans="10:21" x14ac:dyDescent="0.3">
      <c r="J100" s="256" t="s">
        <v>73</v>
      </c>
      <c r="K100" s="256">
        <f>VstupneUdaje!BJ14</f>
        <v>16.219200000000001</v>
      </c>
      <c r="L100" s="256">
        <f>VstupneUdaje!BJ15</f>
        <v>13.171200000000002</v>
      </c>
      <c r="M100" s="256">
        <f>VstupneUdaje!BJ16</f>
        <v>11.457600000000001</v>
      </c>
      <c r="N100" s="256">
        <f>VstupneUdaje!BJ17</f>
        <v>7.2720000000000002</v>
      </c>
      <c r="O100" s="256">
        <f>VstupneUdaje!BJ18</f>
        <v>7.5888</v>
      </c>
      <c r="P100" s="256">
        <f>VstupneUdaje!BJ19</f>
        <v>11.304</v>
      </c>
      <c r="Q100" s="256">
        <f>VstupneUdaje!BJ20</f>
        <v>15.103200000000001</v>
      </c>
      <c r="R100" s="428"/>
      <c r="S100" s="429"/>
      <c r="T100" s="106"/>
      <c r="U100" s="107"/>
    </row>
    <row r="101" spans="10:21" x14ac:dyDescent="0.3">
      <c r="J101" s="256" t="s">
        <v>416</v>
      </c>
      <c r="K101" s="130">
        <f>S96+S84</f>
        <v>10044.565787188709</v>
      </c>
      <c r="L101" s="130">
        <v>4558.5716155111986</v>
      </c>
      <c r="M101" s="130">
        <v>4558.5716155111986</v>
      </c>
      <c r="N101" s="130">
        <v>4558.5716155111986</v>
      </c>
      <c r="O101" s="130">
        <v>4558.5716155111986</v>
      </c>
      <c r="P101" s="130">
        <v>4558.5716155111986</v>
      </c>
      <c r="Q101" s="130">
        <v>4558.5716155111986</v>
      </c>
      <c r="R101" s="428"/>
      <c r="S101" s="421"/>
      <c r="T101" s="106"/>
      <c r="U101" s="107"/>
    </row>
    <row r="102" spans="10:21" x14ac:dyDescent="0.3">
      <c r="J102" s="257" t="s">
        <v>591</v>
      </c>
      <c r="K102" s="132">
        <f>K100*K101</f>
        <v>162914.82141557112</v>
      </c>
      <c r="L102" s="132">
        <f t="shared" ref="L102:Q102" si="19">L100*L101</f>
        <v>60041.858462221113</v>
      </c>
      <c r="M102" s="132">
        <f t="shared" si="19"/>
        <v>52230.290141881116</v>
      </c>
      <c r="N102" s="132">
        <f t="shared" si="19"/>
        <v>33149.932787997437</v>
      </c>
      <c r="O102" s="132">
        <f t="shared" si="19"/>
        <v>34594.088275791386</v>
      </c>
      <c r="P102" s="132">
        <f t="shared" si="19"/>
        <v>51530.093541738592</v>
      </c>
      <c r="Q102" s="132">
        <f t="shared" si="19"/>
        <v>68849.018823388746</v>
      </c>
      <c r="R102" s="428"/>
      <c r="S102" s="131">
        <f>SUM(K102:Q102)</f>
        <v>463310.10344858945</v>
      </c>
      <c r="T102" s="106"/>
      <c r="U102" s="107"/>
    </row>
    <row r="103" spans="10:21" x14ac:dyDescent="0.3">
      <c r="T103" s="106"/>
      <c r="U103" s="107"/>
    </row>
    <row r="104" spans="10:21" hidden="1" x14ac:dyDescent="0.3">
      <c r="J104" s="425" t="s">
        <v>592</v>
      </c>
      <c r="K104" s="426"/>
      <c r="L104" s="426"/>
      <c r="M104" s="426"/>
      <c r="N104" s="426"/>
      <c r="O104" s="426"/>
      <c r="P104" s="426"/>
      <c r="Q104" s="426"/>
      <c r="R104" s="426"/>
      <c r="S104" s="427"/>
      <c r="T104" s="106"/>
      <c r="U104" s="107"/>
    </row>
    <row r="105" spans="10:21" hidden="1" x14ac:dyDescent="0.3">
      <c r="J105" s="410" t="s">
        <v>593</v>
      </c>
      <c r="K105" s="410"/>
      <c r="L105" s="410"/>
      <c r="M105" s="410"/>
      <c r="N105" s="410"/>
      <c r="O105" s="410"/>
      <c r="P105" s="410"/>
      <c r="Q105" s="410"/>
      <c r="R105" s="410"/>
      <c r="S105" s="131">
        <f>S84+S96</f>
        <v>10044.565787188709</v>
      </c>
      <c r="T105" s="106"/>
      <c r="U105" s="107"/>
    </row>
    <row r="106" spans="10:21" hidden="1" x14ac:dyDescent="0.3">
      <c r="T106" s="106"/>
      <c r="U106" s="107"/>
    </row>
    <row r="107" spans="10:21" hidden="1" x14ac:dyDescent="0.3">
      <c r="J107" s="425" t="s">
        <v>594</v>
      </c>
      <c r="K107" s="426"/>
      <c r="L107" s="426"/>
      <c r="M107" s="426"/>
      <c r="N107" s="426"/>
      <c r="O107" s="426"/>
      <c r="P107" s="426"/>
      <c r="Q107" s="426"/>
      <c r="R107" s="426"/>
      <c r="S107" s="427"/>
      <c r="T107" s="106"/>
      <c r="U107" s="107"/>
    </row>
    <row r="108" spans="10:21" x14ac:dyDescent="0.3">
      <c r="J108" s="417" t="s">
        <v>595</v>
      </c>
      <c r="K108" s="418"/>
      <c r="L108" s="418"/>
      <c r="M108" s="418"/>
      <c r="N108" s="418"/>
      <c r="O108" s="418"/>
      <c r="P108" s="418"/>
      <c r="Q108" s="418"/>
      <c r="R108" s="419"/>
      <c r="S108" s="420" t="s">
        <v>590</v>
      </c>
      <c r="T108" s="106"/>
      <c r="U108" s="107"/>
    </row>
    <row r="109" spans="10:21" hidden="1" x14ac:dyDescent="0.3">
      <c r="J109" s="135" t="s">
        <v>596</v>
      </c>
      <c r="K109" s="130">
        <f>G20</f>
        <v>198.33333333333334</v>
      </c>
      <c r="L109" s="411"/>
      <c r="M109" s="412"/>
      <c r="N109" s="412"/>
      <c r="O109" s="412"/>
      <c r="P109" s="412"/>
      <c r="Q109" s="412"/>
      <c r="R109" s="413"/>
      <c r="S109" s="421"/>
      <c r="T109" s="106"/>
      <c r="U109" s="107"/>
    </row>
    <row r="110" spans="10:21" hidden="1" x14ac:dyDescent="0.3">
      <c r="J110" s="135" t="s">
        <v>597</v>
      </c>
      <c r="K110" s="130">
        <v>5</v>
      </c>
      <c r="L110" s="411"/>
      <c r="M110" s="412"/>
      <c r="N110" s="412"/>
      <c r="O110" s="412"/>
      <c r="P110" s="412"/>
      <c r="Q110" s="412"/>
      <c r="R110" s="413"/>
      <c r="S110" s="131">
        <f>K109*0.024*K110*D12</f>
        <v>268906.68000000005</v>
      </c>
      <c r="T110" s="106"/>
      <c r="U110" s="107"/>
    </row>
    <row r="111" spans="10:21" hidden="1" x14ac:dyDescent="0.3">
      <c r="T111" s="106"/>
      <c r="U111" s="107"/>
    </row>
    <row r="112" spans="10:21" hidden="1" x14ac:dyDescent="0.3">
      <c r="J112" s="409" t="s">
        <v>598</v>
      </c>
      <c r="K112" s="409"/>
      <c r="L112" s="409"/>
      <c r="M112" s="409"/>
      <c r="N112" s="409"/>
      <c r="O112" s="409"/>
      <c r="P112" s="409"/>
      <c r="Q112" s="409"/>
      <c r="R112" s="409"/>
      <c r="S112" s="409"/>
      <c r="T112" s="106"/>
      <c r="U112" s="107"/>
    </row>
    <row r="113" spans="10:21" hidden="1" x14ac:dyDescent="0.3">
      <c r="J113" s="348" t="s">
        <v>401</v>
      </c>
      <c r="K113" s="348"/>
      <c r="L113" s="348"/>
      <c r="M113" s="253" t="str">
        <f>OtvoroveKonstrukcie!C2</f>
        <v>J</v>
      </c>
      <c r="N113" s="253" t="str">
        <f>OtvoroveKonstrukcie!D2</f>
        <v>V</v>
      </c>
      <c r="O113" s="253" t="str">
        <f>OtvoroveKonstrukcie!E2</f>
        <v>Z</v>
      </c>
      <c r="P113" s="253" t="str">
        <f>OtvoroveKonstrukcie!F2</f>
        <v>S</v>
      </c>
      <c r="Q113" s="253" t="str">
        <f>OtvoroveKonstrukcie!G2</f>
        <v>H</v>
      </c>
      <c r="R113" s="104"/>
      <c r="S113" s="414" t="s">
        <v>590</v>
      </c>
      <c r="T113" s="106"/>
      <c r="U113" s="107"/>
    </row>
    <row r="114" spans="10:21" hidden="1" x14ac:dyDescent="0.3">
      <c r="J114" s="348" t="s">
        <v>599</v>
      </c>
      <c r="K114" s="348"/>
      <c r="L114" s="348"/>
      <c r="M114" s="104" t="e">
        <f>#REF!</f>
        <v>#REF!</v>
      </c>
      <c r="N114" s="104" t="e">
        <f>#REF!</f>
        <v>#REF!</v>
      </c>
      <c r="O114" s="104" t="e">
        <f>#REF!</f>
        <v>#REF!</v>
      </c>
      <c r="P114" s="104" t="e">
        <f>#REF!</f>
        <v>#REF!</v>
      </c>
      <c r="Q114" s="104" t="e">
        <f>#REF!</f>
        <v>#REF!</v>
      </c>
      <c r="R114" s="104"/>
      <c r="S114" s="415"/>
      <c r="T114" s="106"/>
      <c r="U114" s="107"/>
    </row>
    <row r="115" spans="10:21" hidden="1" x14ac:dyDescent="0.3">
      <c r="J115" s="348" t="s">
        <v>600</v>
      </c>
      <c r="K115" s="348"/>
      <c r="L115" s="348"/>
      <c r="M115" s="104">
        <v>200</v>
      </c>
      <c r="N115" s="104">
        <v>200</v>
      </c>
      <c r="O115" s="104">
        <v>200</v>
      </c>
      <c r="P115" s="104">
        <v>200</v>
      </c>
      <c r="Q115" s="104">
        <v>200</v>
      </c>
      <c r="R115" s="104"/>
      <c r="S115" s="415"/>
      <c r="T115" s="94"/>
      <c r="U115" s="89"/>
    </row>
    <row r="116" spans="10:21" hidden="1" x14ac:dyDescent="0.3">
      <c r="J116" s="348" t="s">
        <v>601</v>
      </c>
      <c r="K116" s="348"/>
      <c r="L116" s="348"/>
      <c r="M116" s="104">
        <v>0.5</v>
      </c>
      <c r="N116" s="104">
        <v>0.5</v>
      </c>
      <c r="O116" s="104">
        <v>0.5</v>
      </c>
      <c r="P116" s="104">
        <v>0.5</v>
      </c>
      <c r="Q116" s="104">
        <v>0.5</v>
      </c>
      <c r="R116" s="104"/>
      <c r="S116" s="415"/>
    </row>
    <row r="117" spans="10:21" hidden="1" x14ac:dyDescent="0.3">
      <c r="J117" s="348" t="s">
        <v>602</v>
      </c>
      <c r="K117" s="348"/>
      <c r="L117" s="348"/>
      <c r="M117" s="104">
        <v>0.6</v>
      </c>
      <c r="N117" s="104">
        <v>0.6</v>
      </c>
      <c r="O117" s="104">
        <v>0.6</v>
      </c>
      <c r="P117" s="104">
        <v>0.6</v>
      </c>
      <c r="Q117" s="104">
        <v>0.6</v>
      </c>
      <c r="R117" s="104"/>
      <c r="S117" s="415"/>
      <c r="T117" t="s">
        <v>603</v>
      </c>
    </row>
    <row r="118" spans="10:21" hidden="1" x14ac:dyDescent="0.3">
      <c r="J118" s="348" t="s">
        <v>604</v>
      </c>
      <c r="K118" s="348"/>
      <c r="L118" s="348"/>
      <c r="M118" s="104">
        <f>0.8*M117*(1-0.8)*M115</f>
        <v>19.199999999999996</v>
      </c>
      <c r="N118" s="104">
        <f>0.8*N117*(1-0.8)*N115</f>
        <v>19.199999999999996</v>
      </c>
      <c r="O118" s="104">
        <f>0.8*O117*(1-0.8)*O115</f>
        <v>19.199999999999996</v>
      </c>
      <c r="P118" s="104">
        <f>0.8*P117*(1-0.8)*P115</f>
        <v>19.199999999999996</v>
      </c>
      <c r="Q118" s="104">
        <f>0.8*Q117*(1-0.8)*Q115</f>
        <v>19.199999999999996</v>
      </c>
      <c r="R118" s="104"/>
      <c r="S118" s="416"/>
      <c r="T118" t="s">
        <v>605</v>
      </c>
    </row>
    <row r="119" spans="10:21" hidden="1" x14ac:dyDescent="0.3">
      <c r="J119" s="408" t="s">
        <v>606</v>
      </c>
      <c r="K119" s="408"/>
      <c r="L119" s="408"/>
      <c r="M119" s="104" t="e">
        <f>M116*M118*M114</f>
        <v>#REF!</v>
      </c>
      <c r="N119" s="104" t="e">
        <f>N116*N118*N114</f>
        <v>#REF!</v>
      </c>
      <c r="O119" s="104" t="e">
        <f>O116*O118*O114</f>
        <v>#REF!</v>
      </c>
      <c r="P119" s="104" t="e">
        <f>P116*P118*P114</f>
        <v>#REF!</v>
      </c>
      <c r="Q119" s="104" t="e">
        <f>Q116*Q118*Q114</f>
        <v>#REF!</v>
      </c>
      <c r="R119" s="104"/>
      <c r="S119" s="131" t="e">
        <f>SUM(M119:Q119)</f>
        <v>#REF!</v>
      </c>
    </row>
    <row r="120" spans="10:21" hidden="1" x14ac:dyDescent="0.3"/>
    <row r="121" spans="10:21" hidden="1" x14ac:dyDescent="0.3">
      <c r="J121" s="409" t="s">
        <v>607</v>
      </c>
      <c r="K121" s="409"/>
      <c r="L121" s="409"/>
      <c r="M121" s="409"/>
      <c r="N121" s="409"/>
      <c r="O121" s="409"/>
      <c r="P121" s="409"/>
      <c r="Q121" s="409"/>
      <c r="R121" s="409"/>
      <c r="S121" s="409"/>
    </row>
    <row r="122" spans="10:21" hidden="1" x14ac:dyDescent="0.3">
      <c r="J122" s="410" t="s">
        <v>608</v>
      </c>
      <c r="K122" s="410"/>
      <c r="L122" s="410"/>
      <c r="M122" s="410"/>
      <c r="N122" s="410"/>
      <c r="O122" s="410"/>
      <c r="P122" s="410"/>
      <c r="Q122" s="410"/>
      <c r="R122" s="410"/>
      <c r="S122" s="131" t="e">
        <f>S110+S119</f>
        <v>#REF!</v>
      </c>
    </row>
    <row r="123" spans="10:21" hidden="1" x14ac:dyDescent="0.3"/>
    <row r="124" spans="10:21" hidden="1" x14ac:dyDescent="0.3">
      <c r="J124" s="409" t="s">
        <v>609</v>
      </c>
      <c r="K124" s="409"/>
      <c r="L124" s="409"/>
      <c r="M124" s="409"/>
      <c r="N124" s="409"/>
      <c r="O124" s="409"/>
      <c r="P124" s="409"/>
      <c r="Q124" s="409"/>
      <c r="R124" s="409"/>
      <c r="S124" s="409"/>
    </row>
    <row r="125" spans="10:21" hidden="1" x14ac:dyDescent="0.3">
      <c r="J125" s="405" t="s">
        <v>610</v>
      </c>
      <c r="K125" s="406"/>
      <c r="L125" s="406"/>
      <c r="M125" s="406"/>
      <c r="N125" s="406"/>
      <c r="O125" s="406"/>
      <c r="P125" s="406"/>
      <c r="Q125" s="406"/>
      <c r="R125" s="407"/>
      <c r="S125" s="131" t="e">
        <f>S105*(20-G21)*G20*0.024-0.95*S122</f>
        <v>#REF!</v>
      </c>
    </row>
    <row r="126" spans="10:21" hidden="1" x14ac:dyDescent="0.3"/>
    <row r="127" spans="10:21" x14ac:dyDescent="0.3">
      <c r="J127" s="409" t="s">
        <v>611</v>
      </c>
      <c r="K127" s="409"/>
      <c r="L127" s="409"/>
      <c r="M127" s="409"/>
      <c r="N127" s="409"/>
      <c r="O127" s="409"/>
      <c r="P127" s="409"/>
      <c r="Q127" s="409"/>
      <c r="R127" s="409"/>
      <c r="S127" s="409"/>
    </row>
    <row r="128" spans="10:21" x14ac:dyDescent="0.3">
      <c r="J128" s="405" t="s">
        <v>612</v>
      </c>
      <c r="K128" s="406"/>
      <c r="L128" s="406"/>
      <c r="M128" s="406"/>
      <c r="N128" s="406"/>
      <c r="O128" s="406"/>
      <c r="P128" s="406"/>
      <c r="Q128" s="406"/>
      <c r="R128" s="407"/>
      <c r="S128" s="131" t="e">
        <f>S125/D12</f>
        <v>#REF!</v>
      </c>
      <c r="T128" t="s">
        <v>613</v>
      </c>
    </row>
    <row r="129" spans="19:21" x14ac:dyDescent="0.3">
      <c r="S129">
        <f>(25200*(V76/D11))</f>
        <v>3.0424739953557075E-3</v>
      </c>
      <c r="T129">
        <v>1.4</v>
      </c>
      <c r="U129">
        <v>1.0980000000000001</v>
      </c>
    </row>
  </sheetData>
  <mergeCells count="154">
    <mergeCell ref="B8:D8"/>
    <mergeCell ref="K8:N8"/>
    <mergeCell ref="B2:D2"/>
    <mergeCell ref="J2:S2"/>
    <mergeCell ref="K13:N13"/>
    <mergeCell ref="X13:AA13"/>
    <mergeCell ref="K14:N14"/>
    <mergeCell ref="AN14:AO14"/>
    <mergeCell ref="AQ14:AR14"/>
    <mergeCell ref="X2:AI2"/>
    <mergeCell ref="C3:D3"/>
    <mergeCell ref="J3:N4"/>
    <mergeCell ref="C4:D4"/>
    <mergeCell ref="C5:D5"/>
    <mergeCell ref="K5:N5"/>
    <mergeCell ref="C6:D6"/>
    <mergeCell ref="K6:N6"/>
    <mergeCell ref="K7:N7"/>
    <mergeCell ref="K15:N15"/>
    <mergeCell ref="AK15:AL15"/>
    <mergeCell ref="K9:N9"/>
    <mergeCell ref="K10:N10"/>
    <mergeCell ref="AK10:AL10"/>
    <mergeCell ref="AN10:AO10"/>
    <mergeCell ref="K11:N11"/>
    <mergeCell ref="K12:N12"/>
    <mergeCell ref="B20:C20"/>
    <mergeCell ref="K20:N20"/>
    <mergeCell ref="B21:C21"/>
    <mergeCell ref="K21:N21"/>
    <mergeCell ref="B22:C22"/>
    <mergeCell ref="K22:N22"/>
    <mergeCell ref="K16:N16"/>
    <mergeCell ref="K17:N17"/>
    <mergeCell ref="AN17:AO17"/>
    <mergeCell ref="B18:G18"/>
    <mergeCell ref="K18:N18"/>
    <mergeCell ref="B19:C19"/>
    <mergeCell ref="K19:N19"/>
    <mergeCell ref="K29:N29"/>
    <mergeCell ref="X29:AI29"/>
    <mergeCell ref="K30:N30"/>
    <mergeCell ref="K31:N31"/>
    <mergeCell ref="K32:N32"/>
    <mergeCell ref="K33:N33"/>
    <mergeCell ref="K23:N23"/>
    <mergeCell ref="K24:N24"/>
    <mergeCell ref="K25:N25"/>
    <mergeCell ref="K26:N26"/>
    <mergeCell ref="K27:N27"/>
    <mergeCell ref="K28:N28"/>
    <mergeCell ref="K38:N38"/>
    <mergeCell ref="K39:N39"/>
    <mergeCell ref="K40:N40"/>
    <mergeCell ref="X40:AA40"/>
    <mergeCell ref="K41:N41"/>
    <mergeCell ref="AN41:AO41"/>
    <mergeCell ref="K34:N34"/>
    <mergeCell ref="K35:N35"/>
    <mergeCell ref="K36:N36"/>
    <mergeCell ref="K37:N37"/>
    <mergeCell ref="AK37:AL37"/>
    <mergeCell ref="AN37:AO37"/>
    <mergeCell ref="X56:AI56"/>
    <mergeCell ref="K46:N46"/>
    <mergeCell ref="K47:N47"/>
    <mergeCell ref="K48:N48"/>
    <mergeCell ref="K49:N49"/>
    <mergeCell ref="K50:N50"/>
    <mergeCell ref="K51:N51"/>
    <mergeCell ref="AQ41:AR41"/>
    <mergeCell ref="K42:N42"/>
    <mergeCell ref="K43:N43"/>
    <mergeCell ref="AK43:AL43"/>
    <mergeCell ref="K44:N44"/>
    <mergeCell ref="K45:N45"/>
    <mergeCell ref="K57:N57"/>
    <mergeCell ref="K58:N58"/>
    <mergeCell ref="K59:N59"/>
    <mergeCell ref="K60:N60"/>
    <mergeCell ref="K61:N61"/>
    <mergeCell ref="K62:N62"/>
    <mergeCell ref="K52:N52"/>
    <mergeCell ref="K53:N53"/>
    <mergeCell ref="K54:N54"/>
    <mergeCell ref="K55:N55"/>
    <mergeCell ref="K56:N56"/>
    <mergeCell ref="AN68:AO68"/>
    <mergeCell ref="AQ68:AR68"/>
    <mergeCell ref="K69:N69"/>
    <mergeCell ref="K63:N63"/>
    <mergeCell ref="K64:N64"/>
    <mergeCell ref="AK64:AL64"/>
    <mergeCell ref="AN64:AO64"/>
    <mergeCell ref="K65:N65"/>
    <mergeCell ref="K66:N66"/>
    <mergeCell ref="K70:N70"/>
    <mergeCell ref="AK70:AL70"/>
    <mergeCell ref="K71:N71"/>
    <mergeCell ref="K72:N72"/>
    <mergeCell ref="K73:N73"/>
    <mergeCell ref="K74:N74"/>
    <mergeCell ref="K67:N67"/>
    <mergeCell ref="X67:AA67"/>
    <mergeCell ref="K68:N68"/>
    <mergeCell ref="K75:N75"/>
    <mergeCell ref="K76:M76"/>
    <mergeCell ref="Q76:R76"/>
    <mergeCell ref="J78:S78"/>
    <mergeCell ref="J79:L82"/>
    <mergeCell ref="O79:S79"/>
    <mergeCell ref="P80:Q80"/>
    <mergeCell ref="M81:N82"/>
    <mergeCell ref="P81:Q81"/>
    <mergeCell ref="P82:Q82"/>
    <mergeCell ref="J88:S88"/>
    <mergeCell ref="J89:P89"/>
    <mergeCell ref="J91:S91"/>
    <mergeCell ref="J92:R92"/>
    <mergeCell ref="J93:R93"/>
    <mergeCell ref="J94:R94"/>
    <mergeCell ref="J83:M83"/>
    <mergeCell ref="N83:R83"/>
    <mergeCell ref="J84:M84"/>
    <mergeCell ref="N84:R84"/>
    <mergeCell ref="J86:P86"/>
    <mergeCell ref="R87:S87"/>
    <mergeCell ref="J105:R105"/>
    <mergeCell ref="J107:S107"/>
    <mergeCell ref="J108:R108"/>
    <mergeCell ref="S108:S109"/>
    <mergeCell ref="L109:R109"/>
    <mergeCell ref="L110:R110"/>
    <mergeCell ref="J95:R95"/>
    <mergeCell ref="J96:R96"/>
    <mergeCell ref="J98:S98"/>
    <mergeCell ref="R99:R102"/>
    <mergeCell ref="S99:S101"/>
    <mergeCell ref="J104:S104"/>
    <mergeCell ref="J128:R128"/>
    <mergeCell ref="J119:L119"/>
    <mergeCell ref="J121:S121"/>
    <mergeCell ref="J122:R122"/>
    <mergeCell ref="J124:S124"/>
    <mergeCell ref="J125:R125"/>
    <mergeCell ref="J127:S127"/>
    <mergeCell ref="J112:S112"/>
    <mergeCell ref="J113:L113"/>
    <mergeCell ref="S113:S118"/>
    <mergeCell ref="J114:L114"/>
    <mergeCell ref="J115:L115"/>
    <mergeCell ref="J116:L116"/>
    <mergeCell ref="J117:L117"/>
    <mergeCell ref="J118:L118"/>
  </mergeCells>
  <dataValidations count="4">
    <dataValidation allowBlank="1" showInputMessage="1" showErrorMessage="1" errorTitle="Hygienické minimum" error="Priemerná intenzita výmeny vzduchu nižšia ako hygienické minimum. Voliť minimum 0,5 l/h." sqref="S95" xr:uid="{00000000-0002-0000-0C00-000000000000}"/>
    <dataValidation type="list" allowBlank="1" showInputMessage="1" showErrorMessage="1" sqref="S80" xr:uid="{00000000-0002-0000-0C00-000001000000}">
      <formula1>$O$80:$O$82</formula1>
    </dataValidation>
    <dataValidation type="decimal" operator="greaterThanOrEqual" allowBlank="1" showInputMessage="1" showErrorMessage="1" errorTitle="POZOR" error="zadaj číslo &gt;=0" sqref="D9:D12 D16" xr:uid="{00000000-0002-0000-0C00-000002000000}">
      <formula1>0</formula1>
    </dataValidation>
    <dataValidation type="whole" allowBlank="1" showInputMessage="1" showErrorMessage="1" errorTitle="Rok spracovania EA" error="Zadajte štvorciferné celé číslo väčšie ako 2000 a menšie ako 2020." sqref="C6:D6" xr:uid="{00000000-0002-0000-0C00-000003000000}">
      <formula1>2011</formula1>
      <formula2>2020</formula2>
    </dataValidation>
  </dataValidations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C00-000004000000}">
          <x14:formula1>
            <xm:f>VstupneUdaje!$M$28:$M$40</xm:f>
          </x14:formula1>
          <xm:sqref>R5:R75</xm:sqref>
        </x14:dataValidation>
        <x14:dataValidation type="list" allowBlank="1" showInputMessage="1" showErrorMessage="1" prompt="Bytové domy = 5 W/m2_x000a_Rodinné domy = 4 W/m2_x000a_Ostatné = 6 W/m2" xr:uid="{00000000-0002-0000-0C00-000005000000}">
          <x14:formula1>
            <xm:f>VstupneUdaje!$BI$2:$BI$4</xm:f>
          </x14:formula1>
          <xm:sqref>K110</xm:sqref>
        </x14:dataValidation>
        <x14:dataValidation type="list" allowBlank="1" showInputMessage="1" showErrorMessage="1" xr:uid="{00000000-0002-0000-0C00-000006000000}">
          <x14:formula1>
            <xm:f>Dennostupne!$B$3:$B$81</xm:f>
          </x14:formula1>
          <xm:sqref>C3:D3</xm:sqref>
        </x14:dataValidation>
        <x14:dataValidation type="list" allowBlank="1" showInputMessage="1" showErrorMessage="1" xr:uid="{00000000-0002-0000-0C00-000007000000}">
          <x14:formula1>
            <xm:f>VstupneUdaje!$L$2:$L$10</xm:f>
          </x14:formula1>
          <xm:sqref>C5:D5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R129"/>
  <sheetViews>
    <sheetView topLeftCell="W1" zoomScaleNormal="100" workbookViewId="0">
      <selection activeCell="P28" sqref="P28"/>
    </sheetView>
  </sheetViews>
  <sheetFormatPr defaultColWidth="8.88671875" defaultRowHeight="14.4" x14ac:dyDescent="0.3"/>
  <cols>
    <col min="2" max="2" width="28.5546875" bestFit="1" customWidth="1"/>
    <col min="4" max="6" width="11.44140625" bestFit="1" customWidth="1"/>
    <col min="10" max="10" width="12.88671875" customWidth="1"/>
    <col min="11" max="12" width="9.44140625" bestFit="1" customWidth="1"/>
    <col min="13" max="13" width="10.6640625" customWidth="1"/>
    <col min="14" max="15" width="9.44140625" bestFit="1" customWidth="1"/>
    <col min="16" max="16" width="19.33203125" bestFit="1" customWidth="1"/>
    <col min="17" max="17" width="9.44140625" bestFit="1" customWidth="1"/>
    <col min="18" max="18" width="9" bestFit="1" customWidth="1"/>
    <col min="19" max="19" width="9.6640625" bestFit="1" customWidth="1"/>
    <col min="20" max="21" width="9" bestFit="1" customWidth="1"/>
    <col min="25" max="25" width="10.44140625" customWidth="1"/>
    <col min="26" max="27" width="8.88671875" style="117"/>
    <col min="28" max="28" width="9.5546875" style="117" bestFit="1" customWidth="1"/>
    <col min="29" max="31" width="8.88671875" style="117"/>
    <col min="32" max="32" width="10" style="117" bestFit="1" customWidth="1"/>
    <col min="33" max="33" width="8.88671875" style="117"/>
    <col min="34" max="34" width="4.88671875" style="117" customWidth="1"/>
    <col min="35" max="35" width="11.33203125" style="117" customWidth="1"/>
    <col min="37" max="37" width="12.6640625" bestFit="1" customWidth="1"/>
    <col min="40" max="40" width="12.6640625" bestFit="1" customWidth="1"/>
    <col min="43" max="43" width="9.88671875" bestFit="1" customWidth="1"/>
    <col min="46" max="46" width="9.88671875" bestFit="1" customWidth="1"/>
  </cols>
  <sheetData>
    <row r="1" spans="2:44" x14ac:dyDescent="0.3">
      <c r="J1" s="138" t="s">
        <v>497</v>
      </c>
      <c r="X1">
        <v>2018</v>
      </c>
    </row>
    <row r="2" spans="2:44" x14ac:dyDescent="0.3">
      <c r="B2" s="472" t="s">
        <v>315</v>
      </c>
      <c r="C2" s="472"/>
      <c r="D2" s="472"/>
      <c r="F2" s="217" t="s">
        <v>498</v>
      </c>
      <c r="J2" s="430" t="s">
        <v>499</v>
      </c>
      <c r="K2" s="430"/>
      <c r="L2" s="430"/>
      <c r="M2" s="430"/>
      <c r="N2" s="430"/>
      <c r="O2" s="430"/>
      <c r="P2" s="430"/>
      <c r="Q2" s="430"/>
      <c r="R2" s="430"/>
      <c r="S2" s="430"/>
      <c r="T2" s="89"/>
      <c r="U2" s="89"/>
      <c r="X2" s="473" t="s">
        <v>500</v>
      </c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5"/>
    </row>
    <row r="3" spans="2:44" x14ac:dyDescent="0.3">
      <c r="B3" s="244" t="s">
        <v>316</v>
      </c>
      <c r="C3" s="469" t="s">
        <v>168</v>
      </c>
      <c r="D3" s="469"/>
      <c r="F3" s="218" t="s">
        <v>501</v>
      </c>
      <c r="J3" s="476" t="s">
        <v>502</v>
      </c>
      <c r="K3" s="476"/>
      <c r="L3" s="476"/>
      <c r="M3" s="476"/>
      <c r="N3" s="476"/>
      <c r="O3" s="254" t="s">
        <v>503</v>
      </c>
      <c r="P3" s="99" t="s">
        <v>504</v>
      </c>
      <c r="Q3" s="99" t="s">
        <v>505</v>
      </c>
      <c r="R3" s="254" t="s">
        <v>506</v>
      </c>
      <c r="S3" s="99" t="s">
        <v>507</v>
      </c>
      <c r="T3" s="89"/>
      <c r="U3" s="89"/>
      <c r="X3" s="162" t="s">
        <v>508</v>
      </c>
      <c r="Y3" s="104" t="s">
        <v>509</v>
      </c>
      <c r="Z3" s="104" t="s">
        <v>510</v>
      </c>
      <c r="AA3" s="104" t="s">
        <v>511</v>
      </c>
      <c r="AB3" s="104" t="s">
        <v>512</v>
      </c>
      <c r="AC3" s="104" t="s">
        <v>513</v>
      </c>
      <c r="AD3" s="104" t="s">
        <v>514</v>
      </c>
      <c r="AE3" s="104" t="s">
        <v>515</v>
      </c>
      <c r="AF3" s="104" t="s">
        <v>516</v>
      </c>
      <c r="AG3" s="104" t="s">
        <v>517</v>
      </c>
      <c r="AH3" s="215" t="s">
        <v>518</v>
      </c>
      <c r="AI3" s="104" t="s">
        <v>519</v>
      </c>
    </row>
    <row r="4" spans="2:44" x14ac:dyDescent="0.3">
      <c r="B4" s="244" t="s">
        <v>520</v>
      </c>
      <c r="C4" s="469"/>
      <c r="D4" s="469"/>
      <c r="J4" s="476"/>
      <c r="K4" s="476"/>
      <c r="L4" s="476"/>
      <c r="M4" s="476"/>
      <c r="N4" s="476"/>
      <c r="O4" s="76" t="s">
        <v>521</v>
      </c>
      <c r="P4" s="76" t="s">
        <v>522</v>
      </c>
      <c r="Q4" s="76" t="s">
        <v>523</v>
      </c>
      <c r="R4" s="76" t="s">
        <v>524</v>
      </c>
      <c r="S4" s="76" t="s">
        <v>523</v>
      </c>
      <c r="T4" s="90"/>
      <c r="U4" s="90"/>
      <c r="X4" s="104">
        <v>23.2</v>
      </c>
      <c r="Y4" s="104">
        <f>Y16</f>
        <v>30</v>
      </c>
      <c r="Z4" s="104">
        <f t="shared" ref="Z4:Z10" si="0">AA16</f>
        <v>338.99999999999994</v>
      </c>
      <c r="AA4" s="104" t="s">
        <v>525</v>
      </c>
      <c r="AB4" s="160">
        <f>Z4*0.024</f>
        <v>8.1359999999999992</v>
      </c>
      <c r="AC4" s="160">
        <f>S84</f>
        <v>5855.1214352953466</v>
      </c>
      <c r="AD4" s="160">
        <f>S96</f>
        <v>4639.7489416666667</v>
      </c>
      <c r="AE4" s="160">
        <f>Y4*0.024*5*D12</f>
        <v>40674.959999999999</v>
      </c>
      <c r="AF4" s="160" t="e">
        <f>#REF!</f>
        <v>#REF!</v>
      </c>
      <c r="AG4" s="160" t="e">
        <f t="shared" ref="AG4:AG10" si="1">AE4+AF4</f>
        <v>#REF!</v>
      </c>
      <c r="AH4" s="160" t="e">
        <f>#REF!</f>
        <v>#REF!</v>
      </c>
      <c r="AI4" s="160" t="e">
        <f t="shared" ref="AI4:AI9" si="2">(AB4*(AC4+AD4))-(AG4*AH4)</f>
        <v>#REF!</v>
      </c>
    </row>
    <row r="5" spans="2:44" x14ac:dyDescent="0.3">
      <c r="B5" s="244" t="s">
        <v>3</v>
      </c>
      <c r="C5" s="469" t="s">
        <v>30</v>
      </c>
      <c r="D5" s="469"/>
      <c r="J5" s="96" t="str">
        <f>KonstrukcieSUM!B2</f>
        <v>SO1</v>
      </c>
      <c r="K5" s="470" t="str">
        <f>KonstrukcieSUM!C2</f>
        <v>Obvodová stena ŠD</v>
      </c>
      <c r="L5" s="470"/>
      <c r="M5" s="470"/>
      <c r="N5" s="470"/>
      <c r="O5" s="91">
        <f>KonstrukcieSUM!G2</f>
        <v>465.1</v>
      </c>
      <c r="P5" s="92">
        <f>Konstrukcie!E13</f>
        <v>0.33016272305636352</v>
      </c>
      <c r="Q5" s="93">
        <f t="shared" ref="Q5:Q68" si="3">(O5*P5)</f>
        <v>153.55868249351468</v>
      </c>
      <c r="R5" s="242">
        <v>1</v>
      </c>
      <c r="S5" s="93">
        <f t="shared" ref="S5:S68" si="4" xml:space="preserve"> R5*Q5</f>
        <v>153.55868249351468</v>
      </c>
      <c r="T5" s="94"/>
      <c r="U5" s="89"/>
      <c r="X5" s="104">
        <v>20.8</v>
      </c>
      <c r="Y5" s="104">
        <f>Y17</f>
        <v>30</v>
      </c>
      <c r="Z5" s="104">
        <f t="shared" si="0"/>
        <v>447</v>
      </c>
      <c r="AA5" s="104" t="s">
        <v>526</v>
      </c>
      <c r="AB5" s="160">
        <f t="shared" ref="AB5:AB10" si="5">Z5*0.024</f>
        <v>10.728</v>
      </c>
      <c r="AC5" s="160">
        <f>S84</f>
        <v>5855.1214352953466</v>
      </c>
      <c r="AD5" s="160">
        <f>S96</f>
        <v>4639.7489416666667</v>
      </c>
      <c r="AE5" s="160">
        <f>Y5*0.024*5*D12</f>
        <v>40674.959999999999</v>
      </c>
      <c r="AF5" s="160" t="e">
        <f>#REF!</f>
        <v>#REF!</v>
      </c>
      <c r="AG5" s="160" t="e">
        <f t="shared" si="1"/>
        <v>#REF!</v>
      </c>
      <c r="AH5" s="160" t="e">
        <f>#REF!</f>
        <v>#REF!</v>
      </c>
      <c r="AI5" s="160" t="e">
        <f t="shared" si="2"/>
        <v>#REF!</v>
      </c>
    </row>
    <row r="6" spans="2:44" x14ac:dyDescent="0.3">
      <c r="B6" s="244" t="s">
        <v>320</v>
      </c>
      <c r="C6" s="471">
        <v>2018</v>
      </c>
      <c r="D6" s="471"/>
      <c r="J6" s="96" t="str">
        <f>KonstrukcieSUM!B3</f>
        <v>SO2</v>
      </c>
      <c r="K6" s="470" t="str">
        <f>KonstrukcieSUM!C3</f>
        <v>Obvodová stena ŠD2</v>
      </c>
      <c r="L6" s="470"/>
      <c r="M6" s="470"/>
      <c r="N6" s="470"/>
      <c r="O6" s="91">
        <f>KonstrukcieSUM!G3</f>
        <v>1217.2</v>
      </c>
      <c r="P6" s="92">
        <f>Konstrukcie!E26</f>
        <v>0.31893726029240721</v>
      </c>
      <c r="Q6" s="93">
        <f t="shared" si="3"/>
        <v>388.21043322791809</v>
      </c>
      <c r="R6" s="242">
        <v>1</v>
      </c>
      <c r="S6" s="93">
        <f t="shared" si="4"/>
        <v>388.21043322791809</v>
      </c>
      <c r="T6" s="94"/>
      <c r="U6" s="89"/>
      <c r="X6" s="104">
        <v>19.8</v>
      </c>
      <c r="Y6" s="104">
        <v>31</v>
      </c>
      <c r="Z6" s="104">
        <f t="shared" si="0"/>
        <v>530.1</v>
      </c>
      <c r="AA6" s="104" t="s">
        <v>527</v>
      </c>
      <c r="AB6" s="160">
        <f t="shared" si="5"/>
        <v>12.7224</v>
      </c>
      <c r="AC6" s="160">
        <f>S84</f>
        <v>5855.1214352953466</v>
      </c>
      <c r="AD6" s="160">
        <f>S96</f>
        <v>4639.7489416666667</v>
      </c>
      <c r="AE6" s="160">
        <f>Y6*0.024*5*D12</f>
        <v>42030.792000000001</v>
      </c>
      <c r="AF6" s="160" t="e">
        <f>#REF!</f>
        <v>#REF!</v>
      </c>
      <c r="AG6" s="160" t="e">
        <f t="shared" si="1"/>
        <v>#REF!</v>
      </c>
      <c r="AH6" s="160" t="e">
        <f>#REF!</f>
        <v>#REF!</v>
      </c>
      <c r="AI6" s="160" t="e">
        <f t="shared" si="2"/>
        <v>#REF!</v>
      </c>
    </row>
    <row r="7" spans="2:44" x14ac:dyDescent="0.3">
      <c r="B7" s="23"/>
      <c r="C7" s="24"/>
      <c r="D7" s="24"/>
      <c r="J7" s="96" t="str">
        <f>Konstrukcie!A28</f>
        <v>SO3</v>
      </c>
      <c r="K7" s="470" t="str">
        <f>Konstrukcie!B28</f>
        <v>Obvodová stena - Nezateplená časť</v>
      </c>
      <c r="L7" s="470"/>
      <c r="M7" s="470"/>
      <c r="N7" s="470"/>
      <c r="O7" s="91">
        <f>Konstrukcie!E28</f>
        <v>307.8</v>
      </c>
      <c r="P7" s="92">
        <f>'Konstrukcie nové'!E38</f>
        <v>4.6015686274509804</v>
      </c>
      <c r="Q7" s="93">
        <f t="shared" si="3"/>
        <v>1416.3628235294118</v>
      </c>
      <c r="R7" s="242">
        <v>1</v>
      </c>
      <c r="S7" s="93">
        <f t="shared" si="4"/>
        <v>1416.3628235294118</v>
      </c>
      <c r="T7" s="94"/>
      <c r="U7" s="89"/>
      <c r="X7" s="104">
        <v>21.7</v>
      </c>
      <c r="Y7" s="104">
        <v>31</v>
      </c>
      <c r="Z7" s="104">
        <f t="shared" si="0"/>
        <v>573.5</v>
      </c>
      <c r="AA7" s="104" t="s">
        <v>528</v>
      </c>
      <c r="AB7" s="160">
        <f t="shared" si="5"/>
        <v>13.764000000000001</v>
      </c>
      <c r="AC7" s="160">
        <f>S84</f>
        <v>5855.1214352953466</v>
      </c>
      <c r="AD7" s="160">
        <f>S96</f>
        <v>4639.7489416666667</v>
      </c>
      <c r="AE7" s="160">
        <f>Y7*0.024*5*D12</f>
        <v>42030.792000000001</v>
      </c>
      <c r="AF7" s="160" t="e">
        <f>#REF!</f>
        <v>#REF!</v>
      </c>
      <c r="AG7" s="160" t="e">
        <f t="shared" si="1"/>
        <v>#REF!</v>
      </c>
      <c r="AH7" s="160" t="e">
        <f>#REF!</f>
        <v>#REF!</v>
      </c>
      <c r="AI7" s="160" t="e">
        <f t="shared" si="2"/>
        <v>#REF!</v>
      </c>
    </row>
    <row r="8" spans="2:44" x14ac:dyDescent="0.3">
      <c r="B8" s="472" t="s">
        <v>321</v>
      </c>
      <c r="C8" s="472"/>
      <c r="D8" s="472"/>
      <c r="J8" s="96" t="str">
        <f>Konstrukcie!A43</f>
        <v>SO4</v>
      </c>
      <c r="K8" s="470" t="str">
        <f>Konstrukcie!B43</f>
        <v>Obvodová stena Jedáleň</v>
      </c>
      <c r="L8" s="470"/>
      <c r="M8" s="470"/>
      <c r="N8" s="470"/>
      <c r="O8" s="91">
        <f>Konstrukcie!E43</f>
        <v>333</v>
      </c>
      <c r="P8" s="92">
        <f>Konstrukcie!E54</f>
        <v>0.30064423765211168</v>
      </c>
      <c r="Q8" s="93">
        <f t="shared" si="3"/>
        <v>100.11453113815318</v>
      </c>
      <c r="R8" s="242">
        <v>1</v>
      </c>
      <c r="S8" s="93">
        <f t="shared" si="4"/>
        <v>100.11453113815318</v>
      </c>
      <c r="T8" s="94"/>
      <c r="U8" s="89"/>
      <c r="X8" s="104">
        <v>17.100000000000001</v>
      </c>
      <c r="Y8" s="104">
        <v>28</v>
      </c>
      <c r="Z8" s="104">
        <f t="shared" si="0"/>
        <v>492.80000000000007</v>
      </c>
      <c r="AA8" s="104" t="s">
        <v>529</v>
      </c>
      <c r="AB8" s="160">
        <f t="shared" si="5"/>
        <v>11.827200000000001</v>
      </c>
      <c r="AC8" s="160">
        <f>S84</f>
        <v>5855.1214352953466</v>
      </c>
      <c r="AD8" s="160">
        <f>S96</f>
        <v>4639.7489416666667</v>
      </c>
      <c r="AE8" s="160">
        <f>Y8*0.024*5*D12</f>
        <v>37963.296000000002</v>
      </c>
      <c r="AF8" s="160" t="e">
        <f>#REF!</f>
        <v>#REF!</v>
      </c>
      <c r="AG8" s="160" t="e">
        <f t="shared" si="1"/>
        <v>#REF!</v>
      </c>
      <c r="AH8" s="160" t="e">
        <f>#REF!</f>
        <v>#REF!</v>
      </c>
      <c r="AI8" s="160" t="e">
        <f t="shared" si="2"/>
        <v>#REF!</v>
      </c>
    </row>
    <row r="9" spans="2:44" x14ac:dyDescent="0.3">
      <c r="B9" s="88" t="s">
        <v>322</v>
      </c>
      <c r="C9" s="243" t="s">
        <v>323</v>
      </c>
      <c r="D9" s="44">
        <v>1930.2</v>
      </c>
      <c r="F9" s="104" t="s">
        <v>530</v>
      </c>
      <c r="G9" s="142">
        <v>50</v>
      </c>
      <c r="H9" s="162" t="s">
        <v>114</v>
      </c>
      <c r="J9" s="96" t="str">
        <f>Konstrukcie!A56</f>
        <v>SO5</v>
      </c>
      <c r="K9" s="470" t="str">
        <f>Konstrukcie!B56</f>
        <v>Obvodová stena Jedáleň2</v>
      </c>
      <c r="L9" s="470"/>
      <c r="M9" s="470"/>
      <c r="N9" s="470"/>
      <c r="O9" s="91">
        <f>Konstrukcie!E56</f>
        <v>1912.6</v>
      </c>
      <c r="P9" s="92">
        <f>Konstrukcie!E67</f>
        <v>0.44249707171055486</v>
      </c>
      <c r="Q9" s="93">
        <f t="shared" si="3"/>
        <v>846.31989935360718</v>
      </c>
      <c r="R9" s="242">
        <v>1</v>
      </c>
      <c r="S9" s="93">
        <f t="shared" si="4"/>
        <v>846.31989935360718</v>
      </c>
      <c r="T9" s="94"/>
      <c r="U9" s="89"/>
      <c r="X9" s="104">
        <v>18.600000000000001</v>
      </c>
      <c r="Y9" s="104">
        <f>Y21</f>
        <v>31</v>
      </c>
      <c r="Z9" s="104">
        <f t="shared" si="0"/>
        <v>468.1</v>
      </c>
      <c r="AA9" s="104" t="s">
        <v>531</v>
      </c>
      <c r="AB9" s="160">
        <f t="shared" si="5"/>
        <v>11.234400000000001</v>
      </c>
      <c r="AC9" s="160">
        <f>S84</f>
        <v>5855.1214352953466</v>
      </c>
      <c r="AD9" s="160">
        <f>S96</f>
        <v>4639.7489416666667</v>
      </c>
      <c r="AE9" s="160">
        <f>Y9*0.024*5*D12</f>
        <v>42030.792000000001</v>
      </c>
      <c r="AF9" s="160" t="e">
        <f>#REF!</f>
        <v>#REF!</v>
      </c>
      <c r="AG9" s="160" t="e">
        <f t="shared" si="1"/>
        <v>#REF!</v>
      </c>
      <c r="AH9" s="160" t="e">
        <f>#REF!</f>
        <v>#REF!</v>
      </c>
      <c r="AI9" s="160" t="e">
        <f t="shared" si="2"/>
        <v>#REF!</v>
      </c>
    </row>
    <row r="10" spans="2:44" x14ac:dyDescent="0.3">
      <c r="B10" s="88" t="s">
        <v>324</v>
      </c>
      <c r="C10" s="243" t="s">
        <v>325</v>
      </c>
      <c r="D10" s="44">
        <f>128+134.24</f>
        <v>262.24</v>
      </c>
      <c r="F10" s="104" t="s">
        <v>532</v>
      </c>
      <c r="G10" s="142">
        <v>20</v>
      </c>
      <c r="H10" s="162" t="s">
        <v>114</v>
      </c>
      <c r="J10" s="96"/>
      <c r="K10" s="470"/>
      <c r="L10" s="470"/>
      <c r="M10" s="470"/>
      <c r="N10" s="470"/>
      <c r="O10" s="91"/>
      <c r="P10" s="92"/>
      <c r="Q10" s="93"/>
      <c r="R10" s="242"/>
      <c r="S10" s="93"/>
      <c r="T10" s="94"/>
      <c r="U10" s="89"/>
      <c r="X10" s="239">
        <v>33</v>
      </c>
      <c r="Y10" s="239">
        <f>Y22</f>
        <v>14</v>
      </c>
      <c r="Z10" s="239">
        <f t="shared" si="0"/>
        <v>247.79999999999998</v>
      </c>
      <c r="AA10" s="239" t="s">
        <v>533</v>
      </c>
      <c r="AB10" s="240">
        <f t="shared" si="5"/>
        <v>5.9471999999999996</v>
      </c>
      <c r="AC10" s="240">
        <f>S84</f>
        <v>5855.1214352953466</v>
      </c>
      <c r="AD10" s="240">
        <f>S96</f>
        <v>4639.7489416666667</v>
      </c>
      <c r="AE10" s="240">
        <f>Y10*0.024*5*D13</f>
        <v>16331.621711999998</v>
      </c>
      <c r="AF10" s="240" t="e">
        <f>#REF!</f>
        <v>#REF!</v>
      </c>
      <c r="AG10" s="240" t="e">
        <f t="shared" si="1"/>
        <v>#REF!</v>
      </c>
      <c r="AH10" s="240" t="e">
        <f>#REF!</f>
        <v>#REF!</v>
      </c>
      <c r="AI10" s="240" t="e">
        <f>((AB10*(AC10+AD10))-(AG10*AH10))*0</f>
        <v>#REF!</v>
      </c>
      <c r="AK10" s="477" t="s">
        <v>534</v>
      </c>
      <c r="AL10" s="477"/>
      <c r="AN10" s="477" t="s">
        <v>535</v>
      </c>
      <c r="AO10" s="477"/>
    </row>
    <row r="11" spans="2:44" x14ac:dyDescent="0.3">
      <c r="B11" s="88" t="s">
        <v>326</v>
      </c>
      <c r="C11" s="243" t="s">
        <v>327</v>
      </c>
      <c r="D11" s="44">
        <v>32426.9</v>
      </c>
      <c r="J11" s="96" t="str">
        <f>Konstrukcie!I1</f>
        <v>STR1</v>
      </c>
      <c r="K11" s="470" t="str">
        <f>Konstrukcie!J1</f>
        <v>Plochá strecha ŠD</v>
      </c>
      <c r="L11" s="470"/>
      <c r="M11" s="470"/>
      <c r="N11" s="470"/>
      <c r="O11" s="91">
        <f>Konstrukcie!M1</f>
        <v>825.5</v>
      </c>
      <c r="P11" s="92">
        <f>Konstrukcie!M14</f>
        <v>0.19555768862273304</v>
      </c>
      <c r="Q11" s="93">
        <f t="shared" si="3"/>
        <v>161.43287195806613</v>
      </c>
      <c r="R11" s="242">
        <v>1</v>
      </c>
      <c r="S11" s="93">
        <f t="shared" si="4"/>
        <v>161.43287195806613</v>
      </c>
      <c r="T11" s="94"/>
      <c r="U11" s="89"/>
      <c r="X11" s="117">
        <f>AVERAGE(X4:X9)</f>
        <v>20.2</v>
      </c>
      <c r="Y11" s="104">
        <f>SUM(Y4:Y10)</f>
        <v>195</v>
      </c>
      <c r="Z11" s="104">
        <f>SUM(Z4:Z10)</f>
        <v>3098.3</v>
      </c>
      <c r="AA11" s="136" t="s">
        <v>536</v>
      </c>
      <c r="AB11" s="160"/>
      <c r="AC11" s="160"/>
      <c r="AD11" s="160"/>
      <c r="AE11" s="160"/>
      <c r="AF11" s="160"/>
      <c r="AG11" s="160"/>
      <c r="AH11" s="160" t="e">
        <f>AVERAGE(AH4:AH10)</f>
        <v>#REF!</v>
      </c>
      <c r="AI11" s="150" t="e">
        <f>SUM(AI4:AI10)</f>
        <v>#REF!</v>
      </c>
      <c r="AK11" s="160" t="e">
        <f>#REF!*1000</f>
        <v>#REF!</v>
      </c>
      <c r="AL11" s="104" t="s">
        <v>537</v>
      </c>
      <c r="AN11" s="225" t="e">
        <f>PotrebaEnergieTV!C10</f>
        <v>#REF!</v>
      </c>
      <c r="AO11" s="104" t="s">
        <v>538</v>
      </c>
    </row>
    <row r="12" spans="2:44" x14ac:dyDescent="0.3">
      <c r="B12" s="88" t="s">
        <v>328</v>
      </c>
      <c r="C12" s="243" t="s">
        <v>329</v>
      </c>
      <c r="D12" s="44">
        <v>11298.6</v>
      </c>
      <c r="J12" s="96" t="str">
        <f>Konstrukcie!I16</f>
        <v>STR2</v>
      </c>
      <c r="K12" s="470" t="str">
        <f>Konstrukcie!J16</f>
        <v>Strecha Jedáleň</v>
      </c>
      <c r="L12" s="470"/>
      <c r="M12" s="470"/>
      <c r="N12" s="470"/>
      <c r="O12" s="91">
        <f>Konstrukcie!M16</f>
        <v>1104.7</v>
      </c>
      <c r="P12" s="92">
        <f>Konstrukcie!M29</f>
        <v>0.19941579034550028</v>
      </c>
      <c r="Q12" s="93">
        <f t="shared" si="3"/>
        <v>220.29462359467416</v>
      </c>
      <c r="R12" s="242">
        <v>1</v>
      </c>
      <c r="S12" s="93">
        <f t="shared" si="4"/>
        <v>220.29462359467416</v>
      </c>
      <c r="T12" s="94"/>
      <c r="U12" s="89"/>
      <c r="W12" s="117"/>
      <c r="Y12" s="117"/>
      <c r="AI12" s="223" t="e">
        <f>AI11/D12</f>
        <v>#REF!</v>
      </c>
      <c r="AJ12" s="117" t="s">
        <v>539</v>
      </c>
      <c r="AK12" s="224">
        <v>0.8</v>
      </c>
      <c r="AL12" s="162"/>
      <c r="AN12" s="237"/>
    </row>
    <row r="13" spans="2:44" x14ac:dyDescent="0.3">
      <c r="B13" s="245" t="s">
        <v>330</v>
      </c>
      <c r="C13" s="243" t="s">
        <v>331</v>
      </c>
      <c r="D13" s="46">
        <f>O76</f>
        <v>9721.2033999999985</v>
      </c>
      <c r="J13" s="96">
        <f>Konstrukcie!I31</f>
        <v>0</v>
      </c>
      <c r="K13" s="470">
        <f>Konstrukcie!J31</f>
        <v>0</v>
      </c>
      <c r="L13" s="470"/>
      <c r="M13" s="470"/>
      <c r="N13" s="470"/>
      <c r="O13" s="91">
        <f>Konstrukcie!M31</f>
        <v>0</v>
      </c>
      <c r="P13" s="92">
        <f>Konstrukcie!M43</f>
        <v>0</v>
      </c>
      <c r="Q13" s="93">
        <f t="shared" si="3"/>
        <v>0</v>
      </c>
      <c r="R13" s="242">
        <v>1</v>
      </c>
      <c r="S13" s="93">
        <f t="shared" si="4"/>
        <v>0</v>
      </c>
      <c r="T13" s="94"/>
      <c r="U13" s="89"/>
      <c r="W13" s="117"/>
      <c r="X13" s="478" t="s">
        <v>540</v>
      </c>
      <c r="Y13" s="478"/>
      <c r="Z13" s="478"/>
      <c r="AA13" s="478"/>
      <c r="AI13" s="236"/>
      <c r="AK13" s="213" t="e">
        <f>AK11*AK12</f>
        <v>#REF!</v>
      </c>
      <c r="AL13" s="218" t="s">
        <v>537</v>
      </c>
    </row>
    <row r="14" spans="2:44" x14ac:dyDescent="0.3">
      <c r="B14" s="88" t="s">
        <v>332</v>
      </c>
      <c r="C14" s="243" t="s">
        <v>333</v>
      </c>
      <c r="D14" s="47">
        <f>D13/D11</f>
        <v>0.29978824371123969</v>
      </c>
      <c r="J14" s="96">
        <f>Konstrukcie!I45</f>
        <v>0</v>
      </c>
      <c r="K14" s="470">
        <f>Konstrukcie!J45</f>
        <v>0</v>
      </c>
      <c r="L14" s="470"/>
      <c r="M14" s="470"/>
      <c r="N14" s="470"/>
      <c r="O14" s="91">
        <f>Konstrukcie!M45</f>
        <v>0</v>
      </c>
      <c r="P14" s="92">
        <f>Konstrukcie!M58</f>
        <v>0</v>
      </c>
      <c r="Q14" s="93">
        <f t="shared" si="3"/>
        <v>0</v>
      </c>
      <c r="R14" s="242">
        <v>1</v>
      </c>
      <c r="S14" s="93">
        <f t="shared" si="4"/>
        <v>0</v>
      </c>
      <c r="T14" s="94"/>
      <c r="U14" s="89"/>
      <c r="W14" s="117"/>
      <c r="X14" s="253" t="s">
        <v>511</v>
      </c>
      <c r="Y14" s="253" t="s">
        <v>541</v>
      </c>
      <c r="Z14" s="253" t="s">
        <v>542</v>
      </c>
      <c r="AA14" s="253" t="s">
        <v>108</v>
      </c>
      <c r="AK14" s="232" t="e">
        <f>AI11+AN11</f>
        <v>#REF!</v>
      </c>
      <c r="AL14" s="228" t="s">
        <v>543</v>
      </c>
      <c r="AN14" s="477" t="s">
        <v>544</v>
      </c>
      <c r="AO14" s="477"/>
      <c r="AQ14" s="477" t="s">
        <v>545</v>
      </c>
      <c r="AR14" s="477"/>
    </row>
    <row r="15" spans="2:44" x14ac:dyDescent="0.3">
      <c r="B15" s="88" t="s">
        <v>546</v>
      </c>
      <c r="C15" s="243"/>
      <c r="D15" s="44">
        <v>3</v>
      </c>
      <c r="J15" s="96">
        <f>Konstrukcie!I60</f>
        <v>0</v>
      </c>
      <c r="K15" s="470">
        <f>Konstrukcie!J60</f>
        <v>0</v>
      </c>
      <c r="L15" s="470"/>
      <c r="M15" s="470"/>
      <c r="N15" s="470"/>
      <c r="O15" s="91">
        <f>Konstrukcie!M60</f>
        <v>0</v>
      </c>
      <c r="P15" s="92">
        <f>Konstrukcie!M72</f>
        <v>0</v>
      </c>
      <c r="Q15" s="93">
        <f t="shared" si="3"/>
        <v>0</v>
      </c>
      <c r="R15" s="242">
        <v>1</v>
      </c>
      <c r="S15" s="93">
        <f t="shared" si="4"/>
        <v>0</v>
      </c>
      <c r="T15" s="94"/>
      <c r="U15" s="89"/>
      <c r="W15" s="117"/>
      <c r="X15" s="253" t="s">
        <v>547</v>
      </c>
      <c r="Y15" s="104">
        <v>6</v>
      </c>
      <c r="Z15" s="104">
        <v>15.6</v>
      </c>
      <c r="AA15" s="104">
        <f>(20-Z15)*Y15</f>
        <v>26.400000000000002</v>
      </c>
      <c r="AF15" s="235"/>
      <c r="AK15" s="477" t="s">
        <v>615</v>
      </c>
      <c r="AL15" s="477"/>
      <c r="AN15" s="225" t="e">
        <f>'PotrebEnergieVYK 2018'!C3</f>
        <v>#REF!</v>
      </c>
      <c r="AO15" s="104" t="s">
        <v>538</v>
      </c>
      <c r="AQ15" s="225" t="e">
        <f>PotrebaEnergieTV!C3</f>
        <v>#REF!</v>
      </c>
      <c r="AR15" s="104" t="s">
        <v>538</v>
      </c>
    </row>
    <row r="16" spans="2:44" x14ac:dyDescent="0.3">
      <c r="B16" s="245" t="s">
        <v>335</v>
      </c>
      <c r="C16" s="243" t="s">
        <v>336</v>
      </c>
      <c r="D16" s="45">
        <v>2.87</v>
      </c>
      <c r="J16" s="96">
        <f>Konstrukcie!I74</f>
        <v>0</v>
      </c>
      <c r="K16" s="470">
        <f>Konstrukcie!J74</f>
        <v>0</v>
      </c>
      <c r="L16" s="470"/>
      <c r="M16" s="470"/>
      <c r="N16" s="470"/>
      <c r="O16" s="91">
        <f>Konstrukcie!M74</f>
        <v>0</v>
      </c>
      <c r="P16" s="92">
        <f>Konstrukcie!M86</f>
        <v>0</v>
      </c>
      <c r="Q16" s="93">
        <f t="shared" si="3"/>
        <v>0</v>
      </c>
      <c r="R16" s="242">
        <v>1</v>
      </c>
      <c r="S16" s="93">
        <f t="shared" si="4"/>
        <v>0</v>
      </c>
      <c r="T16" s="94"/>
      <c r="U16" s="89"/>
      <c r="W16" s="117"/>
      <c r="X16" s="136" t="s">
        <v>525</v>
      </c>
      <c r="Y16" s="136">
        <v>30</v>
      </c>
      <c r="Z16" s="136">
        <v>11.9</v>
      </c>
      <c r="AA16" s="136">
        <f t="shared" ref="AA16:AA21" si="6">(X4-Z16)*Y16</f>
        <v>338.99999999999994</v>
      </c>
      <c r="AF16" s="236"/>
      <c r="AK16" s="261" t="e">
        <f>AK13-AN11</f>
        <v>#REF!</v>
      </c>
      <c r="AL16" s="260" t="s">
        <v>543</v>
      </c>
    </row>
    <row r="17" spans="2:41" x14ac:dyDescent="0.3">
      <c r="J17" s="96"/>
      <c r="K17" s="470"/>
      <c r="L17" s="470"/>
      <c r="M17" s="470"/>
      <c r="N17" s="470"/>
      <c r="O17" s="91"/>
      <c r="P17" s="92"/>
      <c r="Q17" s="93">
        <f t="shared" si="3"/>
        <v>0</v>
      </c>
      <c r="R17" s="242">
        <v>1</v>
      </c>
      <c r="S17" s="93">
        <f t="shared" si="4"/>
        <v>0</v>
      </c>
      <c r="T17" s="94"/>
      <c r="U17" s="89"/>
      <c r="W17" s="117"/>
      <c r="X17" s="136" t="s">
        <v>526</v>
      </c>
      <c r="Y17" s="136">
        <v>30</v>
      </c>
      <c r="Z17" s="136">
        <v>5.9</v>
      </c>
      <c r="AA17" s="136">
        <f t="shared" si="6"/>
        <v>447</v>
      </c>
      <c r="AF17" s="236"/>
      <c r="AN17" s="477" t="s">
        <v>548</v>
      </c>
      <c r="AO17" s="477"/>
    </row>
    <row r="18" spans="2:41" x14ac:dyDescent="0.3">
      <c r="B18" s="349" t="s">
        <v>337</v>
      </c>
      <c r="C18" s="350"/>
      <c r="D18" s="350"/>
      <c r="E18" s="350"/>
      <c r="F18" s="350"/>
      <c r="G18" s="351"/>
      <c r="H18" s="24"/>
      <c r="I18" s="24"/>
      <c r="J18" s="96" t="str">
        <f>Konstrukcie!Q1</f>
        <v>PDL1</v>
      </c>
      <c r="K18" s="470" t="str">
        <f>Konstrukcie!R1</f>
        <v>Podlaha na teréne ŽS</v>
      </c>
      <c r="L18" s="470"/>
      <c r="M18" s="470"/>
      <c r="N18" s="470"/>
      <c r="O18" s="91">
        <f>Konstrukcie!U1</f>
        <v>825.5</v>
      </c>
      <c r="P18" s="92">
        <f>Konstrukcie!U15</f>
        <v>0.26</v>
      </c>
      <c r="Q18" s="93">
        <f t="shared" si="3"/>
        <v>214.63</v>
      </c>
      <c r="R18" s="242">
        <v>1</v>
      </c>
      <c r="S18" s="93">
        <f t="shared" si="4"/>
        <v>214.63</v>
      </c>
      <c r="T18" s="94"/>
      <c r="U18" s="89"/>
      <c r="W18" s="117"/>
      <c r="X18" s="136" t="s">
        <v>527</v>
      </c>
      <c r="Y18" s="136">
        <v>31</v>
      </c>
      <c r="Z18" s="136">
        <v>2.7</v>
      </c>
      <c r="AA18" s="136">
        <f t="shared" si="6"/>
        <v>530.1</v>
      </c>
      <c r="AN18" s="157" t="e">
        <f>AN15+AQ15</f>
        <v>#REF!</v>
      </c>
      <c r="AO18" s="153" t="s">
        <v>538</v>
      </c>
    </row>
    <row r="19" spans="2:41" x14ac:dyDescent="0.3">
      <c r="B19" s="368" t="s">
        <v>338</v>
      </c>
      <c r="C19" s="368"/>
      <c r="D19" s="243">
        <f>C6-3</f>
        <v>2015</v>
      </c>
      <c r="E19" s="243">
        <f>C6-2</f>
        <v>2016</v>
      </c>
      <c r="F19" s="243">
        <f>C6-1</f>
        <v>2017</v>
      </c>
      <c r="G19" s="52" t="s">
        <v>339</v>
      </c>
      <c r="J19" s="96" t="str">
        <f>Konstrukcie!Q17</f>
        <v>PDL2</v>
      </c>
      <c r="K19" s="470" t="str">
        <f>Konstrukcie!R17</f>
        <v>Podlaha na teréne Jedáleň</v>
      </c>
      <c r="L19" s="470"/>
      <c r="M19" s="470"/>
      <c r="N19" s="470"/>
      <c r="O19" s="91">
        <f>Konstrukcie!U17</f>
        <v>1104.7</v>
      </c>
      <c r="P19" s="92">
        <f>Konstrukcie!U28</f>
        <v>0.22</v>
      </c>
      <c r="Q19" s="93">
        <f t="shared" si="3"/>
        <v>243.03400000000002</v>
      </c>
      <c r="R19" s="242">
        <v>1</v>
      </c>
      <c r="S19" s="93">
        <f t="shared" si="4"/>
        <v>243.03400000000002</v>
      </c>
      <c r="T19" s="94"/>
      <c r="U19" s="89"/>
      <c r="W19" s="219"/>
      <c r="X19" s="136" t="s">
        <v>528</v>
      </c>
      <c r="Y19" s="136">
        <v>31</v>
      </c>
      <c r="Z19" s="136">
        <v>3.2</v>
      </c>
      <c r="AA19" s="136">
        <f t="shared" si="6"/>
        <v>573.5</v>
      </c>
    </row>
    <row r="20" spans="2:41" ht="15" thickBot="1" x14ac:dyDescent="0.35">
      <c r="B20" s="368" t="s">
        <v>340</v>
      </c>
      <c r="C20" s="368"/>
      <c r="D20" s="53">
        <f>VLOOKUP($C$3,Dennostupne!B1:AR81,D24,FALSE)</f>
        <v>183</v>
      </c>
      <c r="E20" s="53">
        <f>VLOOKUP($C$3,Dennostupne!B1:AR81,E24,FALSE)</f>
        <v>205</v>
      </c>
      <c r="F20" s="53">
        <f>VLOOKUP($C$3,Dennostupne!B1:AR81,F24,FALSE)</f>
        <v>207</v>
      </c>
      <c r="G20" s="54">
        <f>SUM(D20:F20)/COUNT(D20:F20)</f>
        <v>198.33333333333334</v>
      </c>
      <c r="J20" s="96">
        <f>Konstrukcie!Q30</f>
        <v>0</v>
      </c>
      <c r="K20" s="470">
        <f>Konstrukcie!R30</f>
        <v>0</v>
      </c>
      <c r="L20" s="470"/>
      <c r="M20" s="470"/>
      <c r="N20" s="470"/>
      <c r="O20" s="91">
        <f>Konstrukcie!U30</f>
        <v>0</v>
      </c>
      <c r="P20" s="92">
        <f>Konstrukcie!U41</f>
        <v>0</v>
      </c>
      <c r="Q20" s="93">
        <f t="shared" si="3"/>
        <v>0</v>
      </c>
      <c r="R20" s="242">
        <v>1</v>
      </c>
      <c r="S20" s="93">
        <f t="shared" si="4"/>
        <v>0</v>
      </c>
      <c r="T20" s="94"/>
      <c r="U20" s="89"/>
      <c r="X20" s="136" t="s">
        <v>529</v>
      </c>
      <c r="Y20" s="136">
        <v>28</v>
      </c>
      <c r="Z20" s="136">
        <v>-0.5</v>
      </c>
      <c r="AA20" s="136">
        <f t="shared" si="6"/>
        <v>492.80000000000007</v>
      </c>
    </row>
    <row r="21" spans="2:41" ht="15" x14ac:dyDescent="0.35">
      <c r="B21" s="368" t="s">
        <v>341</v>
      </c>
      <c r="C21" s="368"/>
      <c r="D21" s="55">
        <f>VLOOKUP($C$3,Dennostupne!B3:AR81,D24+1,FALSE)</f>
        <v>5.6</v>
      </c>
      <c r="E21" s="55">
        <f>VLOOKUP($C$3,Dennostupne!B3:AR81,E24+1,FALSE)</f>
        <v>5.3</v>
      </c>
      <c r="F21" s="55">
        <f>VLOOKUP($C$3,Dennostupne!B3:AR81,F24+1,FALSE)</f>
        <v>5.5</v>
      </c>
      <c r="G21" s="56">
        <f>SUM(D21:F21)/COUNT(D21:F21)</f>
        <v>5.4666666666666659</v>
      </c>
      <c r="J21" s="96"/>
      <c r="K21" s="470"/>
      <c r="L21" s="470"/>
      <c r="M21" s="470"/>
      <c r="N21" s="470"/>
      <c r="O21" s="91"/>
      <c r="P21" s="92"/>
      <c r="Q21" s="93"/>
      <c r="R21" s="242"/>
      <c r="S21" s="93"/>
      <c r="T21" s="110" t="s">
        <v>118</v>
      </c>
      <c r="U21" s="111" t="s">
        <v>549</v>
      </c>
      <c r="X21" s="136" t="s">
        <v>531</v>
      </c>
      <c r="Y21" s="136">
        <v>31</v>
      </c>
      <c r="Z21" s="136">
        <v>3.5</v>
      </c>
      <c r="AA21" s="136">
        <f t="shared" si="6"/>
        <v>468.1</v>
      </c>
    </row>
    <row r="22" spans="2:41" x14ac:dyDescent="0.3">
      <c r="B22" s="368" t="s">
        <v>342</v>
      </c>
      <c r="C22" s="368"/>
      <c r="D22" s="57">
        <f>IF(ISNUMBER(D21),(VstupneUdaje!O16-D21)*D20,"-")</f>
        <v>2635.2000000000003</v>
      </c>
      <c r="E22" s="57">
        <f>IF(ISNUMBER(E21),(VstupneUdaje!O16-E21)*E20,"-")</f>
        <v>3013.5</v>
      </c>
      <c r="F22" s="57">
        <f>IF(ISNUMBER(F21),(VstupneUdaje!O16-F21)*F20,"-")</f>
        <v>3001.5</v>
      </c>
      <c r="G22" s="57">
        <f>AVERAGE(D22:F22)</f>
        <v>2883.4</v>
      </c>
      <c r="J22" s="96" t="str">
        <f>OtvoroveKonstrukcie!A3</f>
        <v>OO1</v>
      </c>
      <c r="K22" s="470" t="str">
        <f>OtvoroveKonstrukcie!B3</f>
        <v>plastové, izolačné 2-sklo</v>
      </c>
      <c r="L22" s="470"/>
      <c r="M22" s="470"/>
      <c r="N22" s="470"/>
      <c r="O22" s="91">
        <f>OtvoroveKonstrukcie!O3</f>
        <v>225</v>
      </c>
      <c r="P22" s="92">
        <f>'OtvoroveKonstrukcie nové'!N3</f>
        <v>1</v>
      </c>
      <c r="Q22" s="93">
        <f t="shared" si="3"/>
        <v>225</v>
      </c>
      <c r="R22" s="242">
        <v>1</v>
      </c>
      <c r="S22" s="93">
        <f t="shared" si="4"/>
        <v>225</v>
      </c>
      <c r="T22" s="108">
        <v>1</v>
      </c>
      <c r="U22" s="109">
        <f>OtvoroveKonstrukcie!Q3</f>
        <v>5.4</v>
      </c>
      <c r="V22" s="104">
        <f t="shared" ref="V22:V67" si="7">(T22*U22)*0.0001</f>
        <v>5.4000000000000012E-4</v>
      </c>
      <c r="X22" s="136" t="s">
        <v>533</v>
      </c>
      <c r="Y22" s="136">
        <v>14</v>
      </c>
      <c r="Z22" s="136">
        <v>15.3</v>
      </c>
      <c r="AA22" s="136">
        <f>(X10-Z22)*Y22</f>
        <v>247.79999999999998</v>
      </c>
    </row>
    <row r="23" spans="2:41" ht="16.2" customHeight="1" x14ac:dyDescent="0.3">
      <c r="D23" s="62">
        <f>$G22</f>
        <v>2883.4</v>
      </c>
      <c r="E23" s="62">
        <f>$G22</f>
        <v>2883.4</v>
      </c>
      <c r="F23" s="62">
        <f>$G22</f>
        <v>2883.4</v>
      </c>
      <c r="J23" s="96" t="str">
        <f>OtvoroveKonstrukcie!A4</f>
        <v>OO2</v>
      </c>
      <c r="K23" s="470" t="str">
        <f>OtvoroveKonstrukcie!B4</f>
        <v>plastové, izolačné 2-sklo</v>
      </c>
      <c r="L23" s="470"/>
      <c r="M23" s="470"/>
      <c r="N23" s="470"/>
      <c r="O23" s="91">
        <f>OtvoroveKonstrukcie!O4</f>
        <v>2.7</v>
      </c>
      <c r="P23" s="92">
        <f>'OtvoroveKonstrukcie nové'!N4</f>
        <v>1</v>
      </c>
      <c r="Q23" s="93">
        <f t="shared" si="3"/>
        <v>2.7</v>
      </c>
      <c r="R23" s="242">
        <v>1</v>
      </c>
      <c r="S23" s="93">
        <f t="shared" si="4"/>
        <v>2.7</v>
      </c>
      <c r="T23" s="108">
        <v>1</v>
      </c>
      <c r="U23" s="109">
        <f>OtvoroveKonstrukcie!Q4</f>
        <v>4.32</v>
      </c>
      <c r="V23" s="104">
        <f t="shared" si="7"/>
        <v>4.3200000000000004E-4</v>
      </c>
      <c r="X23" s="104" t="s">
        <v>550</v>
      </c>
      <c r="Y23" s="104">
        <v>2</v>
      </c>
      <c r="Z23" s="104">
        <v>18.8</v>
      </c>
      <c r="AA23" s="104">
        <f>(20-Z23)*Y23</f>
        <v>2.3999999999999986</v>
      </c>
    </row>
    <row r="24" spans="2:41" x14ac:dyDescent="0.3">
      <c r="D24" s="65">
        <f>MATCH(D19,Dennostupne!B1:AR1)</f>
        <v>34</v>
      </c>
      <c r="E24" s="65">
        <f>MATCH(E19,Dennostupne!B1:AR1)</f>
        <v>36</v>
      </c>
      <c r="F24" s="65">
        <f>MATCH(F19,Dennostupne!B1:AR1)</f>
        <v>38</v>
      </c>
      <c r="J24" s="96" t="str">
        <f>OtvoroveKonstrukcie!A5</f>
        <v>OO3</v>
      </c>
      <c r="K24" s="470" t="str">
        <f>OtvoroveKonstrukcie!B5</f>
        <v>plastové, izolačné 2-sklo</v>
      </c>
      <c r="L24" s="470"/>
      <c r="M24" s="470"/>
      <c r="N24" s="470"/>
      <c r="O24" s="91">
        <f>OtvoroveKonstrukcie!O5</f>
        <v>50.400000000000006</v>
      </c>
      <c r="P24" s="92">
        <f>'OtvoroveKonstrukcie nové'!N5</f>
        <v>1</v>
      </c>
      <c r="Q24" s="93">
        <f t="shared" si="3"/>
        <v>50.400000000000006</v>
      </c>
      <c r="R24" s="242">
        <v>1</v>
      </c>
      <c r="S24" s="93">
        <f t="shared" si="4"/>
        <v>50.400000000000006</v>
      </c>
      <c r="T24" s="108">
        <v>1</v>
      </c>
      <c r="U24" s="109">
        <f>OtvoroveKonstrukcie!Q5</f>
        <v>6.48</v>
      </c>
      <c r="V24" s="104">
        <f t="shared" si="7"/>
        <v>6.4800000000000003E-4</v>
      </c>
      <c r="X24" s="117"/>
      <c r="Y24" s="136">
        <f>SUM(Y15:Y23)</f>
        <v>203</v>
      </c>
      <c r="Z24" s="141">
        <f>AVERAGE(Z15:Z23)</f>
        <v>8.4888888888888889</v>
      </c>
      <c r="AA24" s="136">
        <f>SUM(AA15:AA23)</f>
        <v>3127.1000000000004</v>
      </c>
    </row>
    <row r="25" spans="2:41" x14ac:dyDescent="0.3">
      <c r="J25" s="96" t="str">
        <f>OtvoroveKonstrukcie!A6</f>
        <v>OO4</v>
      </c>
      <c r="K25" s="470" t="str">
        <f>OtvoroveKonstrukcie!B6</f>
        <v>plastové, izolačné 2-sklo</v>
      </c>
      <c r="L25" s="470"/>
      <c r="M25" s="470"/>
      <c r="N25" s="470"/>
      <c r="O25" s="91">
        <f>OtvoroveKonstrukcie!O6</f>
        <v>18</v>
      </c>
      <c r="P25" s="92">
        <f>'OtvoroveKonstrukcie nové'!N6</f>
        <v>1</v>
      </c>
      <c r="Q25" s="93">
        <f t="shared" si="3"/>
        <v>18</v>
      </c>
      <c r="R25" s="242">
        <v>1</v>
      </c>
      <c r="S25" s="93">
        <f t="shared" si="4"/>
        <v>18</v>
      </c>
      <c r="T25" s="108">
        <v>1</v>
      </c>
      <c r="U25" s="109">
        <f>OtvoroveKonstrukcie!Q6</f>
        <v>8.1</v>
      </c>
      <c r="V25" s="104">
        <f t="shared" si="7"/>
        <v>8.0999999999999996E-4</v>
      </c>
    </row>
    <row r="26" spans="2:41" x14ac:dyDescent="0.3">
      <c r="J26" s="96" t="str">
        <f>OtvoroveKonstrukcie!A7</f>
        <v>OO5</v>
      </c>
      <c r="K26" s="470" t="str">
        <f>OtvoroveKonstrukcie!B7</f>
        <v>plastové, izolačné 2-sklo</v>
      </c>
      <c r="L26" s="470"/>
      <c r="M26" s="470"/>
      <c r="N26" s="470"/>
      <c r="O26" s="91">
        <f>OtvoroveKonstrukcie!O7</f>
        <v>3.24</v>
      </c>
      <c r="P26" s="92">
        <f>'OtvoroveKonstrukcie nové'!N7</f>
        <v>1</v>
      </c>
      <c r="Q26" s="93">
        <f t="shared" si="3"/>
        <v>3.24</v>
      </c>
      <c r="R26" s="242">
        <v>1</v>
      </c>
      <c r="S26" s="93">
        <f t="shared" si="4"/>
        <v>3.24</v>
      </c>
      <c r="T26" s="108">
        <v>1</v>
      </c>
      <c r="U26" s="109">
        <f>OtvoroveKonstrukcie!Q7</f>
        <v>3.7800000000000002</v>
      </c>
      <c r="V26" s="104">
        <f t="shared" si="7"/>
        <v>3.7800000000000003E-4</v>
      </c>
    </row>
    <row r="27" spans="2:41" x14ac:dyDescent="0.3">
      <c r="J27" s="96" t="str">
        <f>OtvoroveKonstrukcie!A8</f>
        <v>OO6</v>
      </c>
      <c r="K27" s="470" t="str">
        <f>OtvoroveKonstrukcie!B8</f>
        <v>plastové, izolačné 2-sklo</v>
      </c>
      <c r="L27" s="470"/>
      <c r="M27" s="470"/>
      <c r="N27" s="470"/>
      <c r="O27" s="91">
        <f>OtvoroveKonstrukcie!O8</f>
        <v>1.89</v>
      </c>
      <c r="P27" s="92">
        <f>'OtvoroveKonstrukcie nové'!N8</f>
        <v>1</v>
      </c>
      <c r="Q27" s="93">
        <f t="shared" si="3"/>
        <v>1.89</v>
      </c>
      <c r="R27" s="242">
        <v>1</v>
      </c>
      <c r="S27" s="93">
        <f t="shared" si="4"/>
        <v>1.89</v>
      </c>
      <c r="T27" s="108">
        <v>1</v>
      </c>
      <c r="U27" s="109">
        <f>OtvoroveKonstrukcie!Q8</f>
        <v>4.95</v>
      </c>
      <c r="V27" s="104">
        <f t="shared" si="7"/>
        <v>4.95E-4</v>
      </c>
    </row>
    <row r="28" spans="2:41" x14ac:dyDescent="0.3">
      <c r="J28" s="96" t="str">
        <f>OtvoroveKonstrukcie!A9</f>
        <v>OO7</v>
      </c>
      <c r="K28" s="470" t="str">
        <f>OtvoroveKonstrukcie!B9</f>
        <v>plastové, izolačné 2-sklo</v>
      </c>
      <c r="L28" s="470"/>
      <c r="M28" s="470"/>
      <c r="N28" s="470"/>
      <c r="O28" s="91">
        <f>OtvoroveKonstrukcie!O9</f>
        <v>8.1000000000000014</v>
      </c>
      <c r="P28" s="92">
        <f>'OtvoroveKonstrukcie nové'!N9</f>
        <v>1</v>
      </c>
      <c r="Q28" s="93">
        <f t="shared" si="3"/>
        <v>8.1000000000000014</v>
      </c>
      <c r="R28" s="242">
        <v>1</v>
      </c>
      <c r="S28" s="93">
        <f t="shared" si="4"/>
        <v>8.1000000000000014</v>
      </c>
      <c r="T28" s="108">
        <v>1</v>
      </c>
      <c r="U28" s="109">
        <f>OtvoroveKonstrukcie!Q9</f>
        <v>5.13</v>
      </c>
      <c r="V28" s="104">
        <f t="shared" si="7"/>
        <v>5.13E-4</v>
      </c>
      <c r="X28">
        <v>2017</v>
      </c>
    </row>
    <row r="29" spans="2:41" x14ac:dyDescent="0.3">
      <c r="J29" s="96" t="str">
        <f>OtvoroveKonstrukcie!A10</f>
        <v>OO8</v>
      </c>
      <c r="K29" s="470" t="str">
        <f>OtvoroveKonstrukcie!B10</f>
        <v>plastové, izolačné 2-sklo</v>
      </c>
      <c r="L29" s="470"/>
      <c r="M29" s="470"/>
      <c r="N29" s="470"/>
      <c r="O29" s="91">
        <f>OtvoroveKonstrukcie!O10</f>
        <v>0.89999999999999991</v>
      </c>
      <c r="P29" s="92">
        <f>'OtvoroveKonstrukcie nové'!N10</f>
        <v>1</v>
      </c>
      <c r="Q29" s="93">
        <f t="shared" si="3"/>
        <v>0.89999999999999991</v>
      </c>
      <c r="R29" s="242">
        <v>1</v>
      </c>
      <c r="S29" s="93">
        <f t="shared" si="4"/>
        <v>0.89999999999999991</v>
      </c>
      <c r="T29" s="108">
        <v>1</v>
      </c>
      <c r="U29" s="109">
        <f>OtvoroveKonstrukcie!Q10</f>
        <v>3.7800000000000002</v>
      </c>
      <c r="V29" s="104">
        <f t="shared" si="7"/>
        <v>3.7800000000000003E-4</v>
      </c>
      <c r="X29" s="473" t="s">
        <v>500</v>
      </c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5"/>
    </row>
    <row r="30" spans="2:41" x14ac:dyDescent="0.3">
      <c r="J30" s="96" t="str">
        <f>OtvoroveKonstrukcie!A11</f>
        <v>OO9</v>
      </c>
      <c r="K30" s="470" t="str">
        <f>OtvoroveKonstrukcie!B11</f>
        <v>plastové, izolačné 2-sklo</v>
      </c>
      <c r="L30" s="470"/>
      <c r="M30" s="470"/>
      <c r="N30" s="470"/>
      <c r="O30" s="91">
        <f>OtvoroveKonstrukcie!O11</f>
        <v>16.200000000000003</v>
      </c>
      <c r="P30" s="92">
        <f>'OtvoroveKonstrukcie nové'!N11</f>
        <v>1</v>
      </c>
      <c r="Q30" s="93">
        <f t="shared" si="3"/>
        <v>16.200000000000003</v>
      </c>
      <c r="R30" s="242">
        <v>1</v>
      </c>
      <c r="S30" s="93">
        <f t="shared" si="4"/>
        <v>16.200000000000003</v>
      </c>
      <c r="T30" s="108">
        <v>1</v>
      </c>
      <c r="U30" s="109">
        <f>OtvoroveKonstrukcie!Q11</f>
        <v>7.5600000000000005</v>
      </c>
      <c r="V30" s="104">
        <f t="shared" si="7"/>
        <v>7.5600000000000005E-4</v>
      </c>
      <c r="X30" s="162" t="s">
        <v>508</v>
      </c>
      <c r="Y30" s="104" t="s">
        <v>509</v>
      </c>
      <c r="Z30" s="104" t="s">
        <v>510</v>
      </c>
      <c r="AA30" s="104" t="s">
        <v>511</v>
      </c>
      <c r="AB30" s="104" t="s">
        <v>512</v>
      </c>
      <c r="AC30" s="104" t="s">
        <v>513</v>
      </c>
      <c r="AD30" s="104" t="s">
        <v>514</v>
      </c>
      <c r="AE30" s="104" t="s">
        <v>515</v>
      </c>
      <c r="AF30" s="104" t="s">
        <v>516</v>
      </c>
      <c r="AG30" s="104" t="s">
        <v>517</v>
      </c>
      <c r="AH30" s="215" t="s">
        <v>518</v>
      </c>
      <c r="AI30" s="104" t="s">
        <v>519</v>
      </c>
    </row>
    <row r="31" spans="2:41" x14ac:dyDescent="0.3">
      <c r="J31" s="96" t="str">
        <f>OtvoroveKonstrukcie!A12</f>
        <v>OO10</v>
      </c>
      <c r="K31" s="470" t="str">
        <f>OtvoroveKonstrukcie!B12</f>
        <v>plastové, izolačné 2-sklo</v>
      </c>
      <c r="L31" s="470"/>
      <c r="M31" s="470"/>
      <c r="N31" s="470"/>
      <c r="O31" s="91">
        <f>OtvoroveKonstrukcie!O12</f>
        <v>2.0100000000000002</v>
      </c>
      <c r="P31" s="92">
        <f>'OtvoroveKonstrukcie nové'!N12</f>
        <v>1</v>
      </c>
      <c r="Q31" s="93">
        <f t="shared" si="3"/>
        <v>2.0100000000000002</v>
      </c>
      <c r="R31" s="242">
        <v>1</v>
      </c>
      <c r="S31" s="93">
        <f t="shared" si="4"/>
        <v>2.0100000000000002</v>
      </c>
      <c r="T31" s="108">
        <v>1</v>
      </c>
      <c r="U31" s="109">
        <f>OtvoroveKonstrukcie!Q12</f>
        <v>5.1120000000000001</v>
      </c>
      <c r="V31" s="104">
        <f t="shared" si="7"/>
        <v>5.1120000000000007E-4</v>
      </c>
      <c r="X31" s="104">
        <v>23.5</v>
      </c>
      <c r="Y31" s="104">
        <v>23</v>
      </c>
      <c r="Z31" s="104">
        <f t="shared" ref="Z31:Z37" si="8">AA43</f>
        <v>348</v>
      </c>
      <c r="AA31" s="104" t="s">
        <v>525</v>
      </c>
      <c r="AB31" s="160">
        <f>Z31*0.024</f>
        <v>8.3520000000000003</v>
      </c>
      <c r="AC31" s="160">
        <f>S84</f>
        <v>5855.1214352953466</v>
      </c>
      <c r="AD31" s="160">
        <f>S96</f>
        <v>4639.7489416666667</v>
      </c>
      <c r="AE31" s="160">
        <f>Y31*0.024*5*D12</f>
        <v>31184.136000000002</v>
      </c>
      <c r="AF31" s="160" t="e">
        <f>#REF!</f>
        <v>#REF!</v>
      </c>
      <c r="AG31" s="160" t="e">
        <f t="shared" ref="AG31:AG37" si="9">AE31+AF31</f>
        <v>#REF!</v>
      </c>
      <c r="AH31" s="160" t="e">
        <f>#REF!</f>
        <v>#REF!</v>
      </c>
      <c r="AI31" s="160" t="e">
        <f t="shared" ref="AI31:AI36" si="10">(AB31*(AC31+AD31))-(AG31*AH31)</f>
        <v>#REF!</v>
      </c>
    </row>
    <row r="32" spans="2:41" x14ac:dyDescent="0.3">
      <c r="J32" s="96" t="str">
        <f>OtvoroveKonstrukcie!A13</f>
        <v>OO11</v>
      </c>
      <c r="K32" s="470" t="str">
        <f>OtvoroveKonstrukcie!B13</f>
        <v>plastové, izolačné 2-sklo</v>
      </c>
      <c r="L32" s="470"/>
      <c r="M32" s="470"/>
      <c r="N32" s="470"/>
      <c r="O32" s="91">
        <f>OtvoroveKonstrukcie!O13</f>
        <v>11.52</v>
      </c>
      <c r="P32" s="92">
        <f>'OtvoroveKonstrukcie nové'!N13</f>
        <v>1</v>
      </c>
      <c r="Q32" s="93">
        <f t="shared" si="3"/>
        <v>11.52</v>
      </c>
      <c r="R32" s="242">
        <v>1</v>
      </c>
      <c r="S32" s="93">
        <f t="shared" si="4"/>
        <v>11.52</v>
      </c>
      <c r="T32" s="108">
        <v>1</v>
      </c>
      <c r="U32" s="109">
        <f>OtvoroveKonstrukcie!Q13</f>
        <v>8.64</v>
      </c>
      <c r="V32" s="104">
        <f t="shared" si="7"/>
        <v>8.6400000000000008E-4</v>
      </c>
      <c r="X32" s="104">
        <v>21.5</v>
      </c>
      <c r="Y32" s="104">
        <f>Y44</f>
        <v>30</v>
      </c>
      <c r="Z32" s="104">
        <f t="shared" si="8"/>
        <v>468</v>
      </c>
      <c r="AA32" s="104" t="s">
        <v>526</v>
      </c>
      <c r="AB32" s="160">
        <f t="shared" ref="AB32:AB37" si="11">Z32*0.024</f>
        <v>11.232000000000001</v>
      </c>
      <c r="AC32" s="160">
        <f>S84</f>
        <v>5855.1214352953466</v>
      </c>
      <c r="AD32" s="160">
        <f>S96</f>
        <v>4639.7489416666667</v>
      </c>
      <c r="AE32" s="160">
        <f>Y32*0.024*5*D12</f>
        <v>40674.959999999999</v>
      </c>
      <c r="AF32" s="160" t="e">
        <f>#REF!</f>
        <v>#REF!</v>
      </c>
      <c r="AG32" s="160" t="e">
        <f t="shared" si="9"/>
        <v>#REF!</v>
      </c>
      <c r="AH32" s="160" t="e">
        <f>#REF!</f>
        <v>#REF!</v>
      </c>
      <c r="AI32" s="160" t="e">
        <f t="shared" si="10"/>
        <v>#REF!</v>
      </c>
    </row>
    <row r="33" spans="10:44" x14ac:dyDescent="0.3">
      <c r="J33" s="96" t="str">
        <f>OtvoroveKonstrukcie!A14</f>
        <v>OO12</v>
      </c>
      <c r="K33" s="470" t="str">
        <f>OtvoroveKonstrukcie!B14</f>
        <v>plastové, izolačné 2-sklo</v>
      </c>
      <c r="L33" s="470"/>
      <c r="M33" s="470"/>
      <c r="N33" s="470"/>
      <c r="O33" s="91">
        <f>OtvoroveKonstrukcie!O14</f>
        <v>4.0500000000000007</v>
      </c>
      <c r="P33" s="92">
        <f>'OtvoroveKonstrukcie nové'!N14</f>
        <v>1</v>
      </c>
      <c r="Q33" s="93">
        <f t="shared" si="3"/>
        <v>4.0500000000000007</v>
      </c>
      <c r="R33" s="242">
        <v>1</v>
      </c>
      <c r="S33" s="93">
        <f t="shared" si="4"/>
        <v>4.0500000000000007</v>
      </c>
      <c r="T33" s="108">
        <v>1</v>
      </c>
      <c r="U33" s="109">
        <f>OtvoroveKonstrukcie!Q14</f>
        <v>5.13</v>
      </c>
      <c r="V33" s="104">
        <f t="shared" si="7"/>
        <v>5.13E-4</v>
      </c>
      <c r="X33" s="104">
        <v>20.9</v>
      </c>
      <c r="Y33" s="104">
        <v>31</v>
      </c>
      <c r="Z33" s="104">
        <f t="shared" si="8"/>
        <v>564.19999999999993</v>
      </c>
      <c r="AA33" s="104" t="s">
        <v>527</v>
      </c>
      <c r="AB33" s="160">
        <f t="shared" si="11"/>
        <v>13.540799999999999</v>
      </c>
      <c r="AC33" s="160">
        <f>S84</f>
        <v>5855.1214352953466</v>
      </c>
      <c r="AD33" s="160">
        <f>S96</f>
        <v>4639.7489416666667</v>
      </c>
      <c r="AE33" s="160">
        <f>Y33*0.024*5*D12</f>
        <v>42030.792000000001</v>
      </c>
      <c r="AF33" s="160" t="e">
        <f>#REF!</f>
        <v>#REF!</v>
      </c>
      <c r="AG33" s="160" t="e">
        <f t="shared" si="9"/>
        <v>#REF!</v>
      </c>
      <c r="AH33" s="160" t="e">
        <f>#REF!</f>
        <v>#REF!</v>
      </c>
      <c r="AI33" s="160" t="e">
        <f t="shared" si="10"/>
        <v>#REF!</v>
      </c>
    </row>
    <row r="34" spans="10:44" x14ac:dyDescent="0.3">
      <c r="J34" s="96" t="str">
        <f>OtvoroveKonstrukcie!A15</f>
        <v>OO13</v>
      </c>
      <c r="K34" s="470" t="str">
        <f>OtvoroveKonstrukcie!B15</f>
        <v>plastové, izolačné 2-sklo</v>
      </c>
      <c r="L34" s="470"/>
      <c r="M34" s="470"/>
      <c r="N34" s="470"/>
      <c r="O34" s="91">
        <f>OtvoroveKonstrukcie!O15</f>
        <v>23.43</v>
      </c>
      <c r="P34" s="92">
        <f>'OtvoroveKonstrukcie nové'!N15</f>
        <v>1</v>
      </c>
      <c r="Q34" s="93">
        <f t="shared" si="3"/>
        <v>23.43</v>
      </c>
      <c r="R34" s="242">
        <v>1</v>
      </c>
      <c r="S34" s="93">
        <f t="shared" si="4"/>
        <v>23.43</v>
      </c>
      <c r="T34" s="108">
        <v>1</v>
      </c>
      <c r="U34" s="109">
        <f>OtvoroveKonstrukcie!Q15</f>
        <v>5.2560000000000002</v>
      </c>
      <c r="V34" s="104">
        <f t="shared" si="7"/>
        <v>5.2560000000000009E-4</v>
      </c>
      <c r="X34" s="104">
        <v>18.3</v>
      </c>
      <c r="Y34" s="104">
        <v>31</v>
      </c>
      <c r="Z34" s="104">
        <f t="shared" si="8"/>
        <v>722.30000000000007</v>
      </c>
      <c r="AA34" s="104" t="s">
        <v>528</v>
      </c>
      <c r="AB34" s="160">
        <f t="shared" si="11"/>
        <v>17.3352</v>
      </c>
      <c r="AC34" s="160">
        <f>S84</f>
        <v>5855.1214352953466</v>
      </c>
      <c r="AD34" s="160">
        <f>S96</f>
        <v>4639.7489416666667</v>
      </c>
      <c r="AE34" s="160">
        <f>Y34*0.024*5*D12</f>
        <v>42030.792000000001</v>
      </c>
      <c r="AF34" s="160" t="e">
        <f>#REF!</f>
        <v>#REF!</v>
      </c>
      <c r="AG34" s="160" t="e">
        <f t="shared" si="9"/>
        <v>#REF!</v>
      </c>
      <c r="AH34" s="160">
        <v>0.96</v>
      </c>
      <c r="AI34" s="160" t="e">
        <f t="shared" si="10"/>
        <v>#REF!</v>
      </c>
    </row>
    <row r="35" spans="10:44" x14ac:dyDescent="0.3">
      <c r="J35" s="96" t="str">
        <f>OtvoroveKonstrukcie!A16</f>
        <v>OO14</v>
      </c>
      <c r="K35" s="470" t="str">
        <f>OtvoroveKonstrukcie!B16</f>
        <v>plastové, izolačné 2-sklo</v>
      </c>
      <c r="L35" s="470"/>
      <c r="M35" s="470"/>
      <c r="N35" s="470"/>
      <c r="O35" s="91">
        <f>OtvoroveKonstrukcie!O16</f>
        <v>41.999999999999993</v>
      </c>
      <c r="P35" s="92">
        <f>'OtvoroveKonstrukcie nové'!N16</f>
        <v>1</v>
      </c>
      <c r="Q35" s="93">
        <f t="shared" si="3"/>
        <v>41.999999999999993</v>
      </c>
      <c r="R35" s="242">
        <v>1</v>
      </c>
      <c r="S35" s="93">
        <f t="shared" si="4"/>
        <v>41.999999999999993</v>
      </c>
      <c r="T35" s="108">
        <v>1</v>
      </c>
      <c r="U35" s="109">
        <f>OtvoroveKonstrukcie!Q16</f>
        <v>12.78</v>
      </c>
      <c r="V35" s="104">
        <f t="shared" si="7"/>
        <v>1.2780000000000001E-3</v>
      </c>
      <c r="X35" s="104">
        <v>19.5</v>
      </c>
      <c r="Y35" s="104">
        <v>28</v>
      </c>
      <c r="Z35" s="104">
        <f t="shared" si="8"/>
        <v>470.40000000000003</v>
      </c>
      <c r="AA35" s="104" t="s">
        <v>529</v>
      </c>
      <c r="AB35" s="160">
        <f t="shared" si="11"/>
        <v>11.289600000000002</v>
      </c>
      <c r="AC35" s="160">
        <f>S84</f>
        <v>5855.1214352953466</v>
      </c>
      <c r="AD35" s="160">
        <f>S96</f>
        <v>4639.7489416666667</v>
      </c>
      <c r="AE35" s="160">
        <f>Y35*0.024*5*D12</f>
        <v>37963.296000000002</v>
      </c>
      <c r="AF35" s="160" t="e">
        <f>#REF!</f>
        <v>#REF!</v>
      </c>
      <c r="AG35" s="160" t="e">
        <f t="shared" si="9"/>
        <v>#REF!</v>
      </c>
      <c r="AH35" s="160" t="e">
        <f>#REF!</f>
        <v>#REF!</v>
      </c>
      <c r="AI35" s="160" t="e">
        <f t="shared" si="10"/>
        <v>#REF!</v>
      </c>
    </row>
    <row r="36" spans="10:44" x14ac:dyDescent="0.3">
      <c r="J36" s="96" t="str">
        <f>OtvoroveKonstrukcie!A17</f>
        <v>OO15</v>
      </c>
      <c r="K36" s="470" t="str">
        <f>OtvoroveKonstrukcie!B17</f>
        <v>plastové, izolačné 2-sklo</v>
      </c>
      <c r="L36" s="470"/>
      <c r="M36" s="470"/>
      <c r="N36" s="470"/>
      <c r="O36" s="91">
        <f>OtvoroveKonstrukcie!O17</f>
        <v>53.550000000000004</v>
      </c>
      <c r="P36" s="92">
        <f>'OtvoroveKonstrukcie nové'!N17</f>
        <v>1</v>
      </c>
      <c r="Q36" s="93">
        <f t="shared" si="3"/>
        <v>53.550000000000004</v>
      </c>
      <c r="R36" s="242">
        <v>1</v>
      </c>
      <c r="S36" s="93">
        <f t="shared" si="4"/>
        <v>53.550000000000004</v>
      </c>
      <c r="T36" s="108">
        <v>1</v>
      </c>
      <c r="U36" s="109">
        <f>OtvoroveKonstrukcie!Q17</f>
        <v>6.48</v>
      </c>
      <c r="V36" s="104">
        <f t="shared" si="7"/>
        <v>6.4800000000000003E-4</v>
      </c>
      <c r="X36" s="104">
        <v>23.3</v>
      </c>
      <c r="Y36" s="104">
        <f>Y48</f>
        <v>31</v>
      </c>
      <c r="Z36" s="104">
        <f t="shared" si="8"/>
        <v>437.1</v>
      </c>
      <c r="AA36" s="104" t="s">
        <v>531</v>
      </c>
      <c r="AB36" s="160">
        <f t="shared" si="11"/>
        <v>10.490400000000001</v>
      </c>
      <c r="AC36" s="160">
        <f>S84</f>
        <v>5855.1214352953466</v>
      </c>
      <c r="AD36" s="160">
        <f>S96</f>
        <v>4639.7489416666667</v>
      </c>
      <c r="AE36" s="160">
        <f>Y36*0.024*5*D12</f>
        <v>42030.792000000001</v>
      </c>
      <c r="AF36" s="160" t="e">
        <f>#REF!</f>
        <v>#REF!</v>
      </c>
      <c r="AG36" s="160" t="e">
        <f t="shared" si="9"/>
        <v>#REF!</v>
      </c>
      <c r="AH36" s="160">
        <v>0.77</v>
      </c>
      <c r="AI36" s="160" t="e">
        <f t="shared" si="10"/>
        <v>#REF!</v>
      </c>
    </row>
    <row r="37" spans="10:44" x14ac:dyDescent="0.3">
      <c r="J37" s="96" t="str">
        <f>OtvoroveKonstrukcie!A18</f>
        <v>OO16</v>
      </c>
      <c r="K37" s="470" t="str">
        <f>OtvoroveKonstrukcie!B18</f>
        <v>plastové, izolačné 2-sklo</v>
      </c>
      <c r="L37" s="470"/>
      <c r="M37" s="470"/>
      <c r="N37" s="470"/>
      <c r="O37" s="91">
        <f>OtvoroveKonstrukcie!O18</f>
        <v>225</v>
      </c>
      <c r="P37" s="92">
        <f>'OtvoroveKonstrukcie nové'!N18</f>
        <v>1</v>
      </c>
      <c r="Q37" s="93">
        <f t="shared" si="3"/>
        <v>225</v>
      </c>
      <c r="R37" s="242">
        <v>1</v>
      </c>
      <c r="S37" s="93">
        <f t="shared" si="4"/>
        <v>225</v>
      </c>
      <c r="T37" s="108">
        <v>1</v>
      </c>
      <c r="U37" s="109">
        <f>OtvoroveKonstrukcie!Q18</f>
        <v>5.4</v>
      </c>
      <c r="V37" s="104">
        <f t="shared" si="7"/>
        <v>5.4000000000000012E-4</v>
      </c>
      <c r="X37" s="104">
        <v>19.8</v>
      </c>
      <c r="Y37" s="239">
        <f>Y49</f>
        <v>14</v>
      </c>
      <c r="Z37" s="239">
        <f t="shared" si="8"/>
        <v>133</v>
      </c>
      <c r="AA37" s="239" t="s">
        <v>533</v>
      </c>
      <c r="AB37" s="240">
        <f t="shared" si="11"/>
        <v>3.1920000000000002</v>
      </c>
      <c r="AC37" s="240">
        <f>S84</f>
        <v>5855.1214352953466</v>
      </c>
      <c r="AD37" s="240">
        <f>S96</f>
        <v>4639.7489416666667</v>
      </c>
      <c r="AE37" s="240">
        <f>Y37*0.024*5*D12</f>
        <v>18981.648000000001</v>
      </c>
      <c r="AF37" s="240" t="e">
        <f>#REF!</f>
        <v>#REF!</v>
      </c>
      <c r="AG37" s="240" t="e">
        <f t="shared" si="9"/>
        <v>#REF!</v>
      </c>
      <c r="AH37" s="240" t="e">
        <f>#REF!</f>
        <v>#REF!</v>
      </c>
      <c r="AI37" s="240" t="e">
        <f>((AB37*(AC37+AD37))-(AG37*AH37))*0</f>
        <v>#REF!</v>
      </c>
      <c r="AK37" s="477" t="s">
        <v>534</v>
      </c>
      <c r="AL37" s="477"/>
      <c r="AN37" s="477" t="s">
        <v>535</v>
      </c>
      <c r="AO37" s="477"/>
    </row>
    <row r="38" spans="10:44" x14ac:dyDescent="0.3">
      <c r="J38" s="96" t="str">
        <f>OtvoroveKonstrukcie!A19</f>
        <v>OO17</v>
      </c>
      <c r="K38" s="470" t="str">
        <f>OtvoroveKonstrukcie!B19</f>
        <v>plastové, izolačné 2-sklo</v>
      </c>
      <c r="L38" s="470"/>
      <c r="M38" s="470"/>
      <c r="N38" s="470"/>
      <c r="O38" s="91">
        <f>OtvoroveKonstrukcie!O19</f>
        <v>36</v>
      </c>
      <c r="P38" s="92">
        <f>'OtvoroveKonstrukcie nové'!N19</f>
        <v>1</v>
      </c>
      <c r="Q38" s="93">
        <f t="shared" si="3"/>
        <v>36</v>
      </c>
      <c r="R38" s="242">
        <v>1</v>
      </c>
      <c r="S38" s="93">
        <f t="shared" si="4"/>
        <v>36</v>
      </c>
      <c r="T38" s="108">
        <v>1</v>
      </c>
      <c r="U38" s="109">
        <f>OtvoroveKonstrukcie!Q19</f>
        <v>8.1</v>
      </c>
      <c r="V38" s="104">
        <f t="shared" si="7"/>
        <v>8.0999999999999996E-4</v>
      </c>
      <c r="X38" s="117">
        <f>AVERAGE(X31:X36)</f>
        <v>21.166666666666668</v>
      </c>
      <c r="Y38" s="104">
        <f>SUM(Y31:Y37)</f>
        <v>188</v>
      </c>
      <c r="Z38" s="104">
        <f>SUM(Z31:Z37)</f>
        <v>3143</v>
      </c>
      <c r="AA38" s="136" t="s">
        <v>536</v>
      </c>
      <c r="AB38" s="160"/>
      <c r="AC38" s="160"/>
      <c r="AD38" s="160"/>
      <c r="AE38" s="160"/>
      <c r="AF38" s="160"/>
      <c r="AG38" s="160"/>
      <c r="AH38" s="160" t="e">
        <f>AVERAGE(AH31:AH37)</f>
        <v>#REF!</v>
      </c>
      <c r="AI38" s="150" t="e">
        <f>SUM(AI31:AI37)</f>
        <v>#REF!</v>
      </c>
      <c r="AK38" s="160" t="e">
        <f>#REF!*1000</f>
        <v>#REF!</v>
      </c>
      <c r="AL38" s="104" t="s">
        <v>537</v>
      </c>
      <c r="AN38" s="225" t="e">
        <f>#REF!*12*1000</f>
        <v>#REF!</v>
      </c>
      <c r="AO38" s="104" t="s">
        <v>538</v>
      </c>
    </row>
    <row r="39" spans="10:44" x14ac:dyDescent="0.3">
      <c r="J39" s="96" t="str">
        <f>OtvoroveKonstrukcie!A20</f>
        <v>OO18</v>
      </c>
      <c r="K39" s="470" t="str">
        <f>OtvoroveKonstrukcie!B20</f>
        <v>plastové, izolačné 2-sklo</v>
      </c>
      <c r="L39" s="470"/>
      <c r="M39" s="470"/>
      <c r="N39" s="470"/>
      <c r="O39" s="91">
        <f>OtvoroveKonstrukcie!O20</f>
        <v>4.26</v>
      </c>
      <c r="P39" s="92">
        <f>'OtvoroveKonstrukcie nové'!N20</f>
        <v>1</v>
      </c>
      <c r="Q39" s="93">
        <f t="shared" si="3"/>
        <v>4.26</v>
      </c>
      <c r="R39" s="242">
        <v>1</v>
      </c>
      <c r="S39" s="93">
        <f t="shared" si="4"/>
        <v>4.26</v>
      </c>
      <c r="T39" s="108">
        <v>1</v>
      </c>
      <c r="U39" s="109">
        <f>OtvoroveKonstrukcie!Q20</f>
        <v>5.2560000000000002</v>
      </c>
      <c r="V39" s="104">
        <f t="shared" si="7"/>
        <v>5.2560000000000009E-4</v>
      </c>
      <c r="Y39" s="117"/>
      <c r="AI39" s="223" t="e">
        <f>AI38/D12</f>
        <v>#REF!</v>
      </c>
      <c r="AJ39" s="117" t="s">
        <v>539</v>
      </c>
      <c r="AK39" s="224">
        <v>0.8</v>
      </c>
      <c r="AL39" s="162"/>
    </row>
    <row r="40" spans="10:44" x14ac:dyDescent="0.3">
      <c r="J40" s="96" t="str">
        <f>OtvoroveKonstrukcie!A21</f>
        <v>OO19</v>
      </c>
      <c r="K40" s="470" t="str">
        <f>OtvoroveKonstrukcie!B21</f>
        <v>plastové, izolačné 2-sklo</v>
      </c>
      <c r="L40" s="470"/>
      <c r="M40" s="470"/>
      <c r="N40" s="470"/>
      <c r="O40" s="91">
        <f>OtvoroveKonstrukcie!O21</f>
        <v>2.16</v>
      </c>
      <c r="P40" s="92">
        <f>'OtvoroveKonstrukcie nové'!N21</f>
        <v>1</v>
      </c>
      <c r="Q40" s="93">
        <f t="shared" si="3"/>
        <v>2.16</v>
      </c>
      <c r="R40" s="242">
        <v>1</v>
      </c>
      <c r="S40" s="93">
        <f t="shared" si="4"/>
        <v>2.16</v>
      </c>
      <c r="T40" s="108">
        <v>1</v>
      </c>
      <c r="U40" s="109">
        <f>OtvoroveKonstrukcie!Q21</f>
        <v>3.7800000000000002</v>
      </c>
      <c r="V40" s="104">
        <f t="shared" si="7"/>
        <v>3.7800000000000003E-4</v>
      </c>
      <c r="X40" s="478" t="s">
        <v>540</v>
      </c>
      <c r="Y40" s="478"/>
      <c r="Z40" s="478"/>
      <c r="AA40" s="478"/>
      <c r="AK40" s="213" t="e">
        <f>AK39*AK38</f>
        <v>#REF!</v>
      </c>
      <c r="AL40" s="218" t="s">
        <v>537</v>
      </c>
    </row>
    <row r="41" spans="10:44" x14ac:dyDescent="0.3">
      <c r="J41" s="96" t="str">
        <f>OtvoroveKonstrukcie!A22</f>
        <v>OO20</v>
      </c>
      <c r="K41" s="470" t="str">
        <f>OtvoroveKonstrukcie!B22</f>
        <v>plastové, izolačné 2-sklo</v>
      </c>
      <c r="L41" s="470"/>
      <c r="M41" s="470"/>
      <c r="N41" s="470"/>
      <c r="O41" s="91">
        <f>OtvoroveKonstrukcie!O22</f>
        <v>18</v>
      </c>
      <c r="P41" s="92">
        <f>'OtvoroveKonstrukcie nové'!N22</f>
        <v>1</v>
      </c>
      <c r="Q41" s="93">
        <f t="shared" si="3"/>
        <v>18</v>
      </c>
      <c r="R41" s="242">
        <v>1</v>
      </c>
      <c r="S41" s="93">
        <f t="shared" si="4"/>
        <v>18</v>
      </c>
      <c r="T41" s="108">
        <v>1</v>
      </c>
      <c r="U41" s="109">
        <f>OtvoroveKonstrukcie!Q22</f>
        <v>8.1</v>
      </c>
      <c r="V41" s="104">
        <f t="shared" si="7"/>
        <v>8.0999999999999996E-4</v>
      </c>
      <c r="X41" s="253" t="s">
        <v>511</v>
      </c>
      <c r="Y41" s="253" t="s">
        <v>541</v>
      </c>
      <c r="Z41" s="253" t="s">
        <v>542</v>
      </c>
      <c r="AA41" s="253" t="s">
        <v>108</v>
      </c>
      <c r="AK41" s="232" t="e">
        <f>AI38+AN38</f>
        <v>#REF!</v>
      </c>
      <c r="AL41" s="228" t="s">
        <v>543</v>
      </c>
      <c r="AN41" s="477" t="s">
        <v>544</v>
      </c>
      <c r="AO41" s="477"/>
      <c r="AQ41" s="477" t="s">
        <v>545</v>
      </c>
      <c r="AR41" s="477"/>
    </row>
    <row r="42" spans="10:44" x14ac:dyDescent="0.3">
      <c r="J42" s="96" t="str">
        <f>OtvoroveKonstrukcie!A23</f>
        <v>OO21</v>
      </c>
      <c r="K42" s="470" t="str">
        <f>OtvoroveKonstrukcie!B23</f>
        <v>plastové, izolačné 2-sklo</v>
      </c>
      <c r="L42" s="470"/>
      <c r="M42" s="470"/>
      <c r="N42" s="470"/>
      <c r="O42" s="91">
        <f>OtvoroveKonstrukcie!O23</f>
        <v>1.89</v>
      </c>
      <c r="P42" s="92">
        <f>'OtvoroveKonstrukcie nové'!N23</f>
        <v>1</v>
      </c>
      <c r="Q42" s="93">
        <f t="shared" si="3"/>
        <v>1.89</v>
      </c>
      <c r="R42" s="242">
        <v>1</v>
      </c>
      <c r="S42" s="93">
        <f t="shared" si="4"/>
        <v>1.89</v>
      </c>
      <c r="T42" s="108">
        <v>1</v>
      </c>
      <c r="U42" s="109">
        <f>OtvoroveKonstrukcie!Q23</f>
        <v>4.95</v>
      </c>
      <c r="V42" s="104">
        <f t="shared" si="7"/>
        <v>4.95E-4</v>
      </c>
      <c r="X42" s="253" t="s">
        <v>547</v>
      </c>
      <c r="Y42" s="104">
        <v>6</v>
      </c>
      <c r="Z42" s="104">
        <v>15.6</v>
      </c>
      <c r="AA42" s="104">
        <f>(20-Z42)*Y42</f>
        <v>26.400000000000002</v>
      </c>
      <c r="AN42" s="225" t="e">
        <f>'PotrebEnergieVYK 2017'!C3</f>
        <v>#REF!</v>
      </c>
      <c r="AO42" s="104" t="s">
        <v>538</v>
      </c>
      <c r="AQ42" s="225" t="e">
        <f>PotrebaEnergieTV!C3</f>
        <v>#REF!</v>
      </c>
      <c r="AR42" s="104" t="s">
        <v>538</v>
      </c>
    </row>
    <row r="43" spans="10:44" x14ac:dyDescent="0.3">
      <c r="J43" s="96" t="str">
        <f>OtvoroveKonstrukcie!A24</f>
        <v>OO22</v>
      </c>
      <c r="K43" s="470" t="str">
        <f>OtvoroveKonstrukcie!B24</f>
        <v>plastové, izolačné 2-sklo</v>
      </c>
      <c r="L43" s="470"/>
      <c r="M43" s="470"/>
      <c r="N43" s="470"/>
      <c r="O43" s="91">
        <f>OtvoroveKonstrukcie!O24</f>
        <v>20.250000000000004</v>
      </c>
      <c r="P43" s="92">
        <f>'OtvoroveKonstrukcie nové'!N24</f>
        <v>1</v>
      </c>
      <c r="Q43" s="93">
        <f t="shared" si="3"/>
        <v>20.250000000000004</v>
      </c>
      <c r="R43" s="242">
        <v>1</v>
      </c>
      <c r="S43" s="93">
        <f t="shared" si="4"/>
        <v>20.250000000000004</v>
      </c>
      <c r="T43" s="108">
        <v>1</v>
      </c>
      <c r="U43" s="109">
        <f>OtvoroveKonstrukcie!Q24</f>
        <v>7.5600000000000005</v>
      </c>
      <c r="V43" s="104">
        <f t="shared" si="7"/>
        <v>7.5600000000000005E-4</v>
      </c>
      <c r="X43" s="136" t="s">
        <v>525</v>
      </c>
      <c r="Y43" s="136">
        <v>30</v>
      </c>
      <c r="Z43" s="136">
        <v>11.9</v>
      </c>
      <c r="AA43" s="136">
        <f t="shared" ref="AA43:AA48" si="12">(X31-Z43)*Y43</f>
        <v>348</v>
      </c>
      <c r="AK43" s="477" t="s">
        <v>548</v>
      </c>
      <c r="AL43" s="477"/>
    </row>
    <row r="44" spans="10:44" x14ac:dyDescent="0.3">
      <c r="J44" s="96" t="str">
        <f>OtvoroveKonstrukcie!A25</f>
        <v>OO23</v>
      </c>
      <c r="K44" s="470" t="str">
        <f>OtvoroveKonstrukcie!B25</f>
        <v>plastové, izolačné 2-sklo</v>
      </c>
      <c r="L44" s="470"/>
      <c r="M44" s="470"/>
      <c r="N44" s="470"/>
      <c r="O44" s="91">
        <f>OtvoroveKonstrukcie!O25</f>
        <v>3.9600000000000004</v>
      </c>
      <c r="P44" s="92">
        <f>'OtvoroveKonstrukcie nové'!N25</f>
        <v>1</v>
      </c>
      <c r="Q44" s="93">
        <f t="shared" si="3"/>
        <v>3.9600000000000004</v>
      </c>
      <c r="R44" s="242">
        <v>1</v>
      </c>
      <c r="S44" s="93">
        <f t="shared" si="4"/>
        <v>3.9600000000000004</v>
      </c>
      <c r="T44" s="108">
        <v>1</v>
      </c>
      <c r="U44" s="109">
        <f>OtvoroveKonstrukcie!Q25</f>
        <v>7.2</v>
      </c>
      <c r="V44" s="104">
        <f t="shared" si="7"/>
        <v>7.2000000000000005E-4</v>
      </c>
      <c r="X44" s="136" t="s">
        <v>526</v>
      </c>
      <c r="Y44" s="136">
        <v>30</v>
      </c>
      <c r="Z44" s="136">
        <v>5.9</v>
      </c>
      <c r="AA44" s="136">
        <f t="shared" si="12"/>
        <v>468</v>
      </c>
      <c r="AK44" s="157" t="e">
        <f>AN42+AQ42</f>
        <v>#REF!</v>
      </c>
      <c r="AL44" s="153" t="s">
        <v>538</v>
      </c>
    </row>
    <row r="45" spans="10:44" x14ac:dyDescent="0.3">
      <c r="J45" s="96" t="str">
        <f>OtvoroveKonstrukcie!A26</f>
        <v>OO24</v>
      </c>
      <c r="K45" s="470" t="str">
        <f>OtvoroveKonstrukcie!B26</f>
        <v>plastové, izolačné 2-sklo</v>
      </c>
      <c r="L45" s="470"/>
      <c r="M45" s="470"/>
      <c r="N45" s="470"/>
      <c r="O45" s="91">
        <f>OtvoroveKonstrukcie!O26</f>
        <v>24.300000000000004</v>
      </c>
      <c r="P45" s="92">
        <f>'OtvoroveKonstrukcie nové'!N26</f>
        <v>1</v>
      </c>
      <c r="Q45" s="93">
        <f t="shared" si="3"/>
        <v>24.300000000000004</v>
      </c>
      <c r="R45" s="242">
        <v>1</v>
      </c>
      <c r="S45" s="93">
        <f t="shared" si="4"/>
        <v>24.300000000000004</v>
      </c>
      <c r="T45" s="108">
        <v>1</v>
      </c>
      <c r="U45" s="109">
        <f>OtvoroveKonstrukcie!Q26</f>
        <v>10.26</v>
      </c>
      <c r="V45" s="104">
        <f t="shared" si="7"/>
        <v>1.026E-3</v>
      </c>
      <c r="X45" s="136" t="s">
        <v>527</v>
      </c>
      <c r="Y45" s="136">
        <v>31</v>
      </c>
      <c r="Z45" s="136">
        <v>2.7</v>
      </c>
      <c r="AA45" s="136">
        <f t="shared" si="12"/>
        <v>564.19999999999993</v>
      </c>
    </row>
    <row r="46" spans="10:44" x14ac:dyDescent="0.3">
      <c r="J46" s="96" t="str">
        <f>OtvoroveKonstrukcie!A27</f>
        <v>OO25</v>
      </c>
      <c r="K46" s="470" t="str">
        <f>OtvoroveKonstrukcie!B27</f>
        <v>plastové, izolačné 2-sklo</v>
      </c>
      <c r="L46" s="470"/>
      <c r="M46" s="470"/>
      <c r="N46" s="470"/>
      <c r="O46" s="91">
        <f>OtvoroveKonstrukcie!O27</f>
        <v>16.200000000000003</v>
      </c>
      <c r="P46" s="92">
        <f>'OtvoroveKonstrukcie nové'!N27</f>
        <v>1</v>
      </c>
      <c r="Q46" s="93">
        <f t="shared" si="3"/>
        <v>16.200000000000003</v>
      </c>
      <c r="R46" s="242">
        <v>1</v>
      </c>
      <c r="S46" s="93">
        <f t="shared" si="4"/>
        <v>16.200000000000003</v>
      </c>
      <c r="T46" s="108">
        <v>1</v>
      </c>
      <c r="U46" s="109">
        <f>OtvoroveKonstrukcie!Q27</f>
        <v>7.5600000000000005</v>
      </c>
      <c r="V46" s="104">
        <f t="shared" si="7"/>
        <v>7.5600000000000005E-4</v>
      </c>
      <c r="X46" s="136" t="s">
        <v>528</v>
      </c>
      <c r="Y46" s="136">
        <v>31</v>
      </c>
      <c r="Z46" s="136">
        <v>-5</v>
      </c>
      <c r="AA46" s="136">
        <f t="shared" si="12"/>
        <v>722.30000000000007</v>
      </c>
    </row>
    <row r="47" spans="10:44" x14ac:dyDescent="0.3">
      <c r="J47" s="96" t="str">
        <f>OtvoroveKonstrukcie!A28</f>
        <v>OO26</v>
      </c>
      <c r="K47" s="470" t="str">
        <f>OtvoroveKonstrukcie!B28</f>
        <v>plastové, izolačné 2-sklo</v>
      </c>
      <c r="L47" s="470"/>
      <c r="M47" s="470"/>
      <c r="N47" s="470"/>
      <c r="O47" s="91">
        <f>OtvoroveKonstrukcie!O28</f>
        <v>23.43</v>
      </c>
      <c r="P47" s="92">
        <f>'OtvoroveKonstrukcie nové'!N28</f>
        <v>1</v>
      </c>
      <c r="Q47" s="93">
        <f t="shared" si="3"/>
        <v>23.43</v>
      </c>
      <c r="R47" s="242">
        <v>1</v>
      </c>
      <c r="S47" s="93">
        <f t="shared" si="4"/>
        <v>23.43</v>
      </c>
      <c r="T47" s="108">
        <v>1</v>
      </c>
      <c r="U47" s="109">
        <f>OtvoroveKonstrukcie!Q28</f>
        <v>5.2560000000000002</v>
      </c>
      <c r="V47" s="104">
        <f t="shared" si="7"/>
        <v>5.2560000000000009E-4</v>
      </c>
      <c r="X47" s="136" t="s">
        <v>529</v>
      </c>
      <c r="Y47" s="136">
        <v>28</v>
      </c>
      <c r="Z47" s="136">
        <v>2.7</v>
      </c>
      <c r="AA47" s="136">
        <f t="shared" si="12"/>
        <v>470.40000000000003</v>
      </c>
    </row>
    <row r="48" spans="10:44" ht="15" customHeight="1" x14ac:dyDescent="0.3">
      <c r="J48" s="96" t="str">
        <f>OtvoroveKonstrukcie!A29</f>
        <v>OO27</v>
      </c>
      <c r="K48" s="470" t="str">
        <f>OtvoroveKonstrukcie!B29</f>
        <v>hliník, izolačné 2-sklo</v>
      </c>
      <c r="L48" s="470"/>
      <c r="M48" s="470"/>
      <c r="N48" s="470"/>
      <c r="O48" s="91">
        <f>OtvoroveKonstrukcie!O29</f>
        <v>12.3225</v>
      </c>
      <c r="P48" s="92">
        <f>'OtvoroveKonstrukcie nové'!N29</f>
        <v>1</v>
      </c>
      <c r="Q48" s="93">
        <f t="shared" si="3"/>
        <v>12.3225</v>
      </c>
      <c r="R48" s="242">
        <v>1</v>
      </c>
      <c r="S48" s="93">
        <f t="shared" si="4"/>
        <v>12.3225</v>
      </c>
      <c r="T48" s="108">
        <v>1</v>
      </c>
      <c r="U48" s="109">
        <f>OtvoroveKonstrukcie!Q29</f>
        <v>8.9550000000000001</v>
      </c>
      <c r="V48" s="104">
        <f t="shared" si="7"/>
        <v>8.9550000000000003E-4</v>
      </c>
      <c r="X48" s="136" t="s">
        <v>531</v>
      </c>
      <c r="Y48" s="136">
        <v>31</v>
      </c>
      <c r="Z48" s="136">
        <v>9.1999999999999993</v>
      </c>
      <c r="AA48" s="136">
        <f t="shared" si="12"/>
        <v>437.1</v>
      </c>
    </row>
    <row r="49" spans="10:41" x14ac:dyDescent="0.3">
      <c r="J49" s="96" t="str">
        <f>OtvoroveKonstrukcie!A30</f>
        <v>OO28</v>
      </c>
      <c r="K49" s="470" t="str">
        <f>OtvoroveKonstrukcie!B30</f>
        <v>hliník, izolačné 2-sklo</v>
      </c>
      <c r="L49" s="470"/>
      <c r="M49" s="470"/>
      <c r="N49" s="470"/>
      <c r="O49" s="91">
        <f>OtvoroveKonstrukcie!O30</f>
        <v>3.69</v>
      </c>
      <c r="P49" s="92">
        <f>'OtvoroveKonstrukcie nové'!N30</f>
        <v>1</v>
      </c>
      <c r="Q49" s="93">
        <f t="shared" si="3"/>
        <v>3.69</v>
      </c>
      <c r="R49" s="242">
        <v>1</v>
      </c>
      <c r="S49" s="93">
        <f t="shared" si="4"/>
        <v>3.69</v>
      </c>
      <c r="T49" s="108">
        <v>1</v>
      </c>
      <c r="U49" s="109">
        <f>OtvoroveKonstrukcie!Q30</f>
        <v>6.93</v>
      </c>
      <c r="V49" s="104">
        <f t="shared" si="7"/>
        <v>6.9300000000000004E-4</v>
      </c>
      <c r="X49" s="136" t="s">
        <v>533</v>
      </c>
      <c r="Y49" s="136">
        <v>14</v>
      </c>
      <c r="Z49" s="136">
        <v>10.3</v>
      </c>
      <c r="AA49" s="136">
        <f>(X37-Z49)*Y49</f>
        <v>133</v>
      </c>
    </row>
    <row r="50" spans="10:41" x14ac:dyDescent="0.3">
      <c r="J50" s="96" t="str">
        <f>OtvoroveKonstrukcie!A31</f>
        <v>OO29</v>
      </c>
      <c r="K50" s="470" t="str">
        <f>OtvoroveKonstrukcie!B31</f>
        <v>plastové, izolačné 2-sklo</v>
      </c>
      <c r="L50" s="470"/>
      <c r="M50" s="470"/>
      <c r="N50" s="470"/>
      <c r="O50" s="91">
        <f>OtvoroveKonstrukcie!O31</f>
        <v>82.8</v>
      </c>
      <c r="P50" s="92">
        <f>'OtvoroveKonstrukcie nové'!N31</f>
        <v>1</v>
      </c>
      <c r="Q50" s="93">
        <f t="shared" si="3"/>
        <v>82.8</v>
      </c>
      <c r="R50" s="242">
        <v>1</v>
      </c>
      <c r="S50" s="93">
        <f t="shared" si="4"/>
        <v>82.8</v>
      </c>
      <c r="T50" s="108">
        <v>1</v>
      </c>
      <c r="U50" s="109">
        <f>OtvoroveKonstrukcie!Q31</f>
        <v>10.53</v>
      </c>
      <c r="V50" s="104">
        <f t="shared" si="7"/>
        <v>1.0529999999999999E-3</v>
      </c>
      <c r="X50" s="104" t="s">
        <v>550</v>
      </c>
      <c r="Y50" s="104">
        <v>2</v>
      </c>
      <c r="Z50" s="104">
        <v>16.7</v>
      </c>
      <c r="AA50" s="104">
        <f>(20-Z50)*Y50</f>
        <v>6.6000000000000014</v>
      </c>
    </row>
    <row r="51" spans="10:41" x14ac:dyDescent="0.3">
      <c r="J51" s="96" t="str">
        <f>OtvoroveKonstrukcie!A32</f>
        <v>OO30</v>
      </c>
      <c r="K51" s="470" t="str">
        <f>OtvoroveKonstrukcie!B32</f>
        <v>plastové, izolačné 2-sklo</v>
      </c>
      <c r="L51" s="470"/>
      <c r="M51" s="470"/>
      <c r="N51" s="470"/>
      <c r="O51" s="91">
        <f>OtvoroveKonstrukcie!O32</f>
        <v>7.9349999999999996</v>
      </c>
      <c r="P51" s="92">
        <f>'OtvoroveKonstrukcie nové'!N32</f>
        <v>1</v>
      </c>
      <c r="Q51" s="93">
        <f t="shared" si="3"/>
        <v>7.9349999999999996</v>
      </c>
      <c r="R51" s="242">
        <v>1</v>
      </c>
      <c r="S51" s="93">
        <f t="shared" si="4"/>
        <v>7.9349999999999996</v>
      </c>
      <c r="T51" s="108">
        <v>1</v>
      </c>
      <c r="U51" s="109">
        <f>OtvoroveKonstrukcie!Q32</f>
        <v>10.35</v>
      </c>
      <c r="V51" s="104">
        <f t="shared" si="7"/>
        <v>1.0350000000000001E-3</v>
      </c>
      <c r="X51" s="117"/>
      <c r="Y51" s="136">
        <f>SUM(Y42:Y50)</f>
        <v>203</v>
      </c>
      <c r="Z51" s="141">
        <f>AVERAGE(Z42:Z50)</f>
        <v>7.7777777777777777</v>
      </c>
      <c r="AA51" s="136">
        <f>SUM(AA42:AA50)</f>
        <v>3176</v>
      </c>
    </row>
    <row r="52" spans="10:41" x14ac:dyDescent="0.3">
      <c r="J52" s="96" t="str">
        <f>OtvoroveKonstrukcie!A33</f>
        <v>OO31</v>
      </c>
      <c r="K52" s="470" t="str">
        <f>OtvoroveKonstrukcie!B33</f>
        <v>plastové, izolačné 2-sklo</v>
      </c>
      <c r="L52" s="470"/>
      <c r="M52" s="470"/>
      <c r="N52" s="470"/>
      <c r="O52" s="91">
        <f>OtvoroveKonstrukcie!O33</f>
        <v>82.8</v>
      </c>
      <c r="P52" s="92">
        <f>'OtvoroveKonstrukcie nové'!N33</f>
        <v>1</v>
      </c>
      <c r="Q52" s="93">
        <f t="shared" si="3"/>
        <v>82.8</v>
      </c>
      <c r="R52" s="242">
        <v>1</v>
      </c>
      <c r="S52" s="93">
        <f t="shared" si="4"/>
        <v>82.8</v>
      </c>
      <c r="T52" s="108">
        <v>1</v>
      </c>
      <c r="U52" s="109">
        <f>OtvoroveKonstrukcie!Q33</f>
        <v>10.53</v>
      </c>
      <c r="V52" s="104">
        <f t="shared" si="7"/>
        <v>1.0529999999999999E-3</v>
      </c>
    </row>
    <row r="53" spans="10:41" x14ac:dyDescent="0.3">
      <c r="J53" s="96" t="str">
        <f>OtvoroveKonstrukcie!A34</f>
        <v>OO32</v>
      </c>
      <c r="K53" s="470" t="str">
        <f>OtvoroveKonstrukcie!B34</f>
        <v>plastové, izolačné 2-sklo</v>
      </c>
      <c r="L53" s="470"/>
      <c r="M53" s="470"/>
      <c r="N53" s="470"/>
      <c r="O53" s="91">
        <f>OtvoroveKonstrukcie!O34</f>
        <v>7.9349999999999996</v>
      </c>
      <c r="P53" s="92">
        <f>'OtvoroveKonstrukcie nové'!N34</f>
        <v>1</v>
      </c>
      <c r="Q53" s="93">
        <f t="shared" si="3"/>
        <v>7.9349999999999996</v>
      </c>
      <c r="R53" s="242">
        <v>1</v>
      </c>
      <c r="S53" s="93">
        <f t="shared" si="4"/>
        <v>7.9349999999999996</v>
      </c>
      <c r="T53" s="108">
        <v>1</v>
      </c>
      <c r="U53" s="109">
        <f>OtvoroveKonstrukcie!Q34</f>
        <v>10.35</v>
      </c>
      <c r="V53" s="104">
        <f t="shared" si="7"/>
        <v>1.0350000000000001E-3</v>
      </c>
      <c r="Y53" s="238"/>
      <c r="Z53" s="238"/>
    </row>
    <row r="54" spans="10:41" x14ac:dyDescent="0.3">
      <c r="J54" s="96" t="str">
        <f>OtvoroveKonstrukcie!A35</f>
        <v>OO33</v>
      </c>
      <c r="K54" s="470" t="str">
        <f>OtvoroveKonstrukcie!B35</f>
        <v>hliník, izolačné 2-sklo</v>
      </c>
      <c r="L54" s="470"/>
      <c r="M54" s="470"/>
      <c r="N54" s="470"/>
      <c r="O54" s="91">
        <f>OtvoroveKonstrukcie!O35</f>
        <v>9.1425000000000001</v>
      </c>
      <c r="P54" s="92">
        <f>'OtvoroveKonstrukcie nové'!N35</f>
        <v>1</v>
      </c>
      <c r="Q54" s="93">
        <f t="shared" si="3"/>
        <v>9.1425000000000001</v>
      </c>
      <c r="R54" s="242">
        <v>1</v>
      </c>
      <c r="S54" s="93">
        <f t="shared" si="4"/>
        <v>9.1425000000000001</v>
      </c>
      <c r="T54" s="108">
        <v>1</v>
      </c>
      <c r="U54" s="109">
        <f>OtvoroveKonstrukcie!Q35</f>
        <v>10.98</v>
      </c>
      <c r="V54" s="104">
        <f t="shared" si="7"/>
        <v>1.098E-3</v>
      </c>
      <c r="Y54" s="238"/>
      <c r="Z54" s="238"/>
    </row>
    <row r="55" spans="10:41" x14ac:dyDescent="0.3">
      <c r="J55" s="96" t="str">
        <f>OtvoroveKonstrukcie!A36</f>
        <v>OO34</v>
      </c>
      <c r="K55" s="470" t="str">
        <f>OtvoroveKonstrukcie!B36</f>
        <v>hliník, izolačné 2-sklo</v>
      </c>
      <c r="L55" s="470"/>
      <c r="M55" s="470"/>
      <c r="N55" s="470"/>
      <c r="O55" s="91">
        <f>OtvoroveKonstrukcie!O36</f>
        <v>17.28</v>
      </c>
      <c r="P55" s="92">
        <f>'OtvoroveKonstrukcie nové'!N36</f>
        <v>1</v>
      </c>
      <c r="Q55" s="93">
        <f t="shared" si="3"/>
        <v>17.28</v>
      </c>
      <c r="R55" s="242">
        <v>1</v>
      </c>
      <c r="S55" s="93">
        <f t="shared" si="4"/>
        <v>17.28</v>
      </c>
      <c r="T55" s="108">
        <v>1</v>
      </c>
      <c r="U55" s="109">
        <f>OtvoroveKonstrukcie!Q36</f>
        <v>15.120000000000001</v>
      </c>
      <c r="V55" s="104">
        <f t="shared" si="7"/>
        <v>1.5120000000000001E-3</v>
      </c>
      <c r="X55">
        <v>2016</v>
      </c>
    </row>
    <row r="56" spans="10:41" x14ac:dyDescent="0.3">
      <c r="J56" s="96" t="str">
        <f>OtvoroveKonstrukcie!A37</f>
        <v>OO35</v>
      </c>
      <c r="K56" s="470" t="str">
        <f>OtvoroveKonstrukcie!B37</f>
        <v>hliník, izolačné 2-sklo</v>
      </c>
      <c r="L56" s="470"/>
      <c r="M56" s="470"/>
      <c r="N56" s="470"/>
      <c r="O56" s="91">
        <f>OtvoroveKonstrukcie!O37</f>
        <v>8.64</v>
      </c>
      <c r="P56" s="92">
        <f>'OtvoroveKonstrukcie nové'!N37</f>
        <v>1</v>
      </c>
      <c r="Q56" s="93">
        <f t="shared" si="3"/>
        <v>8.64</v>
      </c>
      <c r="R56" s="242">
        <v>1</v>
      </c>
      <c r="S56" s="93">
        <f t="shared" si="4"/>
        <v>8.64</v>
      </c>
      <c r="T56" s="108">
        <v>1</v>
      </c>
      <c r="U56" s="109">
        <f>OtvoroveKonstrukcie!Q37</f>
        <v>10.8</v>
      </c>
      <c r="V56" s="104">
        <f t="shared" si="7"/>
        <v>1.0800000000000002E-3</v>
      </c>
      <c r="X56" s="473" t="s">
        <v>500</v>
      </c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5"/>
    </row>
    <row r="57" spans="10:41" x14ac:dyDescent="0.3">
      <c r="J57" s="96" t="str">
        <f>OtvoroveKonstrukcie!A38</f>
        <v>OO36</v>
      </c>
      <c r="K57" s="470" t="str">
        <f>OtvoroveKonstrukcie!B38</f>
        <v>plastové, izolačné 2-sklo</v>
      </c>
      <c r="L57" s="470"/>
      <c r="M57" s="470"/>
      <c r="N57" s="470"/>
      <c r="O57" s="91">
        <f>OtvoroveKonstrukcie!O38</f>
        <v>55.811399999999999</v>
      </c>
      <c r="P57" s="92">
        <f>'OtvoroveKonstrukcie nové'!N38</f>
        <v>1</v>
      </c>
      <c r="Q57" s="93">
        <f t="shared" si="3"/>
        <v>55.811399999999999</v>
      </c>
      <c r="R57" s="242">
        <v>1</v>
      </c>
      <c r="S57" s="93">
        <f t="shared" si="4"/>
        <v>55.811399999999999</v>
      </c>
      <c r="T57" s="108">
        <v>1</v>
      </c>
      <c r="U57" s="109">
        <f>OtvoroveKonstrukcie!Q38</f>
        <v>13.032</v>
      </c>
      <c r="V57" s="104">
        <f t="shared" si="7"/>
        <v>1.3032E-3</v>
      </c>
      <c r="X57" s="162" t="s">
        <v>508</v>
      </c>
      <c r="Y57" s="104" t="s">
        <v>509</v>
      </c>
      <c r="Z57" s="104" t="s">
        <v>510</v>
      </c>
      <c r="AA57" s="104" t="s">
        <v>511</v>
      </c>
      <c r="AB57" s="104" t="s">
        <v>512</v>
      </c>
      <c r="AC57" s="104" t="s">
        <v>513</v>
      </c>
      <c r="AD57" s="104" t="s">
        <v>514</v>
      </c>
      <c r="AE57" s="104" t="s">
        <v>515</v>
      </c>
      <c r="AF57" s="104" t="s">
        <v>516</v>
      </c>
      <c r="AG57" s="104" t="s">
        <v>517</v>
      </c>
      <c r="AH57" s="215" t="s">
        <v>518</v>
      </c>
      <c r="AI57" s="104" t="s">
        <v>519</v>
      </c>
    </row>
    <row r="58" spans="10:41" x14ac:dyDescent="0.3">
      <c r="J58" s="96"/>
      <c r="K58" s="470"/>
      <c r="L58" s="470"/>
      <c r="M58" s="470"/>
      <c r="N58" s="470"/>
      <c r="O58" s="91"/>
      <c r="P58" s="92"/>
      <c r="Q58" s="93"/>
      <c r="R58" s="242"/>
      <c r="S58" s="93"/>
      <c r="T58" s="108"/>
      <c r="U58" s="109"/>
      <c r="V58" s="104"/>
      <c r="X58" s="104">
        <v>21.4</v>
      </c>
      <c r="Y58" s="104">
        <f>Y70</f>
        <v>30</v>
      </c>
      <c r="Z58" s="104">
        <f t="shared" ref="Z58:Z64" si="13">AA70</f>
        <v>347.99999999999994</v>
      </c>
      <c r="AA58" s="104" t="s">
        <v>525</v>
      </c>
      <c r="AB58" s="160">
        <f>Z58*0.024</f>
        <v>8.3519999999999985</v>
      </c>
      <c r="AC58" s="160">
        <f>S84</f>
        <v>5855.1214352953466</v>
      </c>
      <c r="AD58" s="160">
        <f>S96</f>
        <v>4639.7489416666667</v>
      </c>
      <c r="AE58" s="160">
        <f>Y58*0.024*5*D12</f>
        <v>40674.959999999999</v>
      </c>
      <c r="AF58" s="160" t="e">
        <f>#REF!</f>
        <v>#REF!</v>
      </c>
      <c r="AG58" s="160" t="e">
        <f t="shared" ref="AG58:AG64" si="14">AE58+AF58</f>
        <v>#REF!</v>
      </c>
      <c r="AH58" s="160" t="e">
        <f>#REF!</f>
        <v>#REF!</v>
      </c>
      <c r="AI58" s="160" t="e">
        <f t="shared" ref="AI58:AI63" si="15">(AB58*(AC58+AD58))-(AG58*AH58)</f>
        <v>#REF!</v>
      </c>
    </row>
    <row r="59" spans="10:41" x14ac:dyDescent="0.3">
      <c r="J59" s="96"/>
      <c r="K59" s="470"/>
      <c r="L59" s="470"/>
      <c r="M59" s="470"/>
      <c r="N59" s="470"/>
      <c r="O59" s="91"/>
      <c r="P59" s="92"/>
      <c r="Q59" s="93"/>
      <c r="R59" s="242"/>
      <c r="S59" s="93"/>
      <c r="T59" s="108"/>
      <c r="U59" s="109"/>
      <c r="V59" s="104"/>
      <c r="X59" s="104">
        <v>19.100000000000001</v>
      </c>
      <c r="Y59" s="104">
        <f>Y71</f>
        <v>30</v>
      </c>
      <c r="Z59" s="104">
        <f t="shared" si="13"/>
        <v>435.00000000000006</v>
      </c>
      <c r="AA59" s="104" t="s">
        <v>526</v>
      </c>
      <c r="AB59" s="160">
        <f t="shared" ref="AB59:AB64" si="16">Z59*0.024</f>
        <v>10.440000000000001</v>
      </c>
      <c r="AC59" s="160">
        <f>S84</f>
        <v>5855.1214352953466</v>
      </c>
      <c r="AD59" s="160">
        <f>S96</f>
        <v>4639.7489416666667</v>
      </c>
      <c r="AE59" s="160">
        <f>Y59*0.024*5*D12</f>
        <v>40674.959999999999</v>
      </c>
      <c r="AF59" s="160" t="e">
        <f>#REF!</f>
        <v>#REF!</v>
      </c>
      <c r="AG59" s="160" t="e">
        <f t="shared" si="14"/>
        <v>#REF!</v>
      </c>
      <c r="AH59" s="160" t="e">
        <f>#REF!</f>
        <v>#REF!</v>
      </c>
      <c r="AI59" s="160" t="e">
        <f t="shared" si="15"/>
        <v>#REF!</v>
      </c>
    </row>
    <row r="60" spans="10:41" x14ac:dyDescent="0.3">
      <c r="J60" s="96" t="str">
        <f>OtvoroveKonstrukcie!A44</f>
        <v>DO1</v>
      </c>
      <c r="K60" s="470" t="str">
        <f>OtvoroveKonstrukcie!B44</f>
        <v>plastové, izolačné 2-sklo</v>
      </c>
      <c r="L60" s="470"/>
      <c r="M60" s="470"/>
      <c r="N60" s="470"/>
      <c r="O60" s="91">
        <f>OtvoroveKonstrukcie!O44</f>
        <v>240</v>
      </c>
      <c r="P60" s="92">
        <f>'OtvoroveKonstrukcie nové'!N44</f>
        <v>1</v>
      </c>
      <c r="Q60" s="93">
        <f t="shared" si="3"/>
        <v>240</v>
      </c>
      <c r="R60" s="242">
        <v>1</v>
      </c>
      <c r="S60" s="93">
        <f t="shared" si="4"/>
        <v>240</v>
      </c>
      <c r="T60" s="108">
        <v>1</v>
      </c>
      <c r="U60" s="109">
        <f>OtvoroveKonstrukcie!Q44</f>
        <v>6.12</v>
      </c>
      <c r="V60" s="104">
        <f t="shared" si="7"/>
        <v>6.1200000000000002E-4</v>
      </c>
      <c r="X60" s="104">
        <v>18.5</v>
      </c>
      <c r="Y60" s="104">
        <v>31</v>
      </c>
      <c r="Z60" s="104">
        <f t="shared" si="13"/>
        <v>554.9</v>
      </c>
      <c r="AA60" s="104" t="s">
        <v>527</v>
      </c>
      <c r="AB60" s="160">
        <f t="shared" si="16"/>
        <v>13.317600000000001</v>
      </c>
      <c r="AC60" s="160">
        <f>S84</f>
        <v>5855.1214352953466</v>
      </c>
      <c r="AD60" s="160">
        <f>S96</f>
        <v>4639.7489416666667</v>
      </c>
      <c r="AE60" s="160">
        <f>Y60*0.024*5*D12</f>
        <v>42030.792000000001</v>
      </c>
      <c r="AF60" s="160" t="e">
        <f>#REF!</f>
        <v>#REF!</v>
      </c>
      <c r="AG60" s="160" t="e">
        <f t="shared" si="14"/>
        <v>#REF!</v>
      </c>
      <c r="AH60" s="160">
        <v>0.95</v>
      </c>
      <c r="AI60" s="160" t="e">
        <f t="shared" si="15"/>
        <v>#REF!</v>
      </c>
    </row>
    <row r="61" spans="10:41" x14ac:dyDescent="0.3">
      <c r="J61" s="96" t="str">
        <f>OtvoroveKonstrukcie!A45</f>
        <v>DO2</v>
      </c>
      <c r="K61" s="470" t="str">
        <f>OtvoroveKonstrukcie!B45</f>
        <v>plastové, izolačné 2-sklo</v>
      </c>
      <c r="L61" s="470"/>
      <c r="M61" s="470"/>
      <c r="N61" s="470"/>
      <c r="O61" s="91">
        <f>OtvoroveKonstrukcie!O45</f>
        <v>5.04</v>
      </c>
      <c r="P61" s="92">
        <f>'OtvoroveKonstrukcie nové'!N45</f>
        <v>1</v>
      </c>
      <c r="Q61" s="93">
        <f t="shared" si="3"/>
        <v>5.04</v>
      </c>
      <c r="R61" s="242">
        <v>1</v>
      </c>
      <c r="S61" s="93">
        <f t="shared" si="4"/>
        <v>5.04</v>
      </c>
      <c r="T61" s="108">
        <v>1</v>
      </c>
      <c r="U61" s="109">
        <f>OtvoroveKonstrukcie!Q45</f>
        <v>8.1</v>
      </c>
      <c r="V61" s="104">
        <f t="shared" si="7"/>
        <v>8.0999999999999996E-4</v>
      </c>
      <c r="X61" s="104">
        <v>18.5</v>
      </c>
      <c r="Y61" s="104">
        <v>31</v>
      </c>
      <c r="Z61" s="104">
        <f t="shared" si="13"/>
        <v>595.19999999999993</v>
      </c>
      <c r="AA61" s="104" t="s">
        <v>528</v>
      </c>
      <c r="AB61" s="160">
        <f t="shared" si="16"/>
        <v>14.284799999999999</v>
      </c>
      <c r="AC61" s="160">
        <f>S84</f>
        <v>5855.1214352953466</v>
      </c>
      <c r="AD61" s="160">
        <f>S96</f>
        <v>4639.7489416666667</v>
      </c>
      <c r="AE61" s="160">
        <f>Y61*0.024*5*D12</f>
        <v>42030.792000000001</v>
      </c>
      <c r="AF61" s="160" t="e">
        <f>#REF!</f>
        <v>#REF!</v>
      </c>
      <c r="AG61" s="160" t="e">
        <f t="shared" si="14"/>
        <v>#REF!</v>
      </c>
      <c r="AH61" s="160">
        <v>0.95</v>
      </c>
      <c r="AI61" s="160" t="e">
        <f t="shared" si="15"/>
        <v>#REF!</v>
      </c>
    </row>
    <row r="62" spans="10:41" x14ac:dyDescent="0.3">
      <c r="J62" s="96" t="str">
        <f>OtvoroveKonstrukcie!A46</f>
        <v>DO3</v>
      </c>
      <c r="K62" s="470" t="str">
        <f>OtvoroveKonstrukcie!B46</f>
        <v>plastové, izolačné 2-sklo</v>
      </c>
      <c r="L62" s="470"/>
      <c r="M62" s="470"/>
      <c r="N62" s="470"/>
      <c r="O62" s="91">
        <f>OtvoroveKonstrukcie!O46</f>
        <v>214.20000000000005</v>
      </c>
      <c r="P62" s="92">
        <f>'OtvoroveKonstrukcie nové'!N46</f>
        <v>1</v>
      </c>
      <c r="Q62" s="93">
        <f t="shared" si="3"/>
        <v>214.20000000000005</v>
      </c>
      <c r="R62" s="242">
        <v>1</v>
      </c>
      <c r="S62" s="93">
        <f t="shared" si="4"/>
        <v>214.20000000000005</v>
      </c>
      <c r="T62" s="108">
        <v>1</v>
      </c>
      <c r="U62" s="109">
        <f>OtvoroveKonstrukcie!Q46</f>
        <v>5.5620000000000003</v>
      </c>
      <c r="V62" s="104">
        <f t="shared" si="7"/>
        <v>5.5620000000000008E-4</v>
      </c>
      <c r="X62" s="104">
        <v>23.4</v>
      </c>
      <c r="Y62" s="104">
        <v>28</v>
      </c>
      <c r="Z62" s="104">
        <f t="shared" si="13"/>
        <v>487.19999999999993</v>
      </c>
      <c r="AA62" s="104" t="s">
        <v>529</v>
      </c>
      <c r="AB62" s="160">
        <f t="shared" si="16"/>
        <v>11.692799999999998</v>
      </c>
      <c r="AC62" s="160">
        <f>S84</f>
        <v>5855.1214352953466</v>
      </c>
      <c r="AD62" s="160">
        <f>S96</f>
        <v>4639.7489416666667</v>
      </c>
      <c r="AE62" s="160">
        <f>Y62*0.024*5*D12</f>
        <v>37963.296000000002</v>
      </c>
      <c r="AF62" s="160" t="e">
        <f>#REF!</f>
        <v>#REF!</v>
      </c>
      <c r="AG62" s="160" t="e">
        <f t="shared" si="14"/>
        <v>#REF!</v>
      </c>
      <c r="AH62" s="160" t="e">
        <f>#REF!</f>
        <v>#REF!</v>
      </c>
      <c r="AI62" s="160" t="e">
        <f t="shared" si="15"/>
        <v>#REF!</v>
      </c>
    </row>
    <row r="63" spans="10:41" x14ac:dyDescent="0.3">
      <c r="J63" s="96" t="str">
        <f>OtvoroveKonstrukcie!A47</f>
        <v>DO4</v>
      </c>
      <c r="K63" s="470" t="str">
        <f>OtvoroveKonstrukcie!B47</f>
        <v>plastové, izolačné 2-sklo</v>
      </c>
      <c r="L63" s="470"/>
      <c r="M63" s="470"/>
      <c r="N63" s="470"/>
      <c r="O63" s="91">
        <f>OtvoroveKonstrukcie!O47</f>
        <v>1.64</v>
      </c>
      <c r="P63" s="92">
        <f>'OtvoroveKonstrukcie nové'!N47</f>
        <v>1</v>
      </c>
      <c r="Q63" s="93">
        <f t="shared" si="3"/>
        <v>1.64</v>
      </c>
      <c r="R63" s="242">
        <v>1</v>
      </c>
      <c r="S63" s="93">
        <f t="shared" si="4"/>
        <v>1.64</v>
      </c>
      <c r="T63" s="108">
        <v>1</v>
      </c>
      <c r="U63" s="109">
        <f>OtvoroveKonstrukcie!Q47</f>
        <v>5.13</v>
      </c>
      <c r="V63" s="104">
        <f t="shared" si="7"/>
        <v>5.13E-4</v>
      </c>
      <c r="X63" s="104">
        <v>22.3</v>
      </c>
      <c r="Y63" s="104">
        <f>Y75</f>
        <v>31</v>
      </c>
      <c r="Z63" s="104">
        <f t="shared" si="13"/>
        <v>486.70000000000005</v>
      </c>
      <c r="AA63" s="104" t="s">
        <v>531</v>
      </c>
      <c r="AB63" s="160">
        <f t="shared" si="16"/>
        <v>11.680800000000001</v>
      </c>
      <c r="AC63" s="160">
        <f>S84</f>
        <v>5855.1214352953466</v>
      </c>
      <c r="AD63" s="160">
        <f>S96</f>
        <v>4639.7489416666667</v>
      </c>
      <c r="AE63" s="160">
        <f>Y63*0.024*5*D12</f>
        <v>42030.792000000001</v>
      </c>
      <c r="AF63" s="160" t="e">
        <f>#REF!</f>
        <v>#REF!</v>
      </c>
      <c r="AG63" s="160" t="e">
        <f t="shared" si="14"/>
        <v>#REF!</v>
      </c>
      <c r="AH63" s="160" t="e">
        <f>#REF!</f>
        <v>#REF!</v>
      </c>
      <c r="AI63" s="160" t="e">
        <f t="shared" si="15"/>
        <v>#REF!</v>
      </c>
    </row>
    <row r="64" spans="10:41" x14ac:dyDescent="0.3">
      <c r="J64" s="96" t="str">
        <f>OtvoroveKonstrukcie!A48</f>
        <v>DO5</v>
      </c>
      <c r="K64" s="470" t="str">
        <f>OtvoroveKonstrukcie!B48</f>
        <v>plastové, izolačné 2-sklo</v>
      </c>
      <c r="L64" s="470"/>
      <c r="M64" s="470"/>
      <c r="N64" s="470"/>
      <c r="O64" s="91">
        <f>OtvoroveKonstrukcie!O48</f>
        <v>1.5760000000000001</v>
      </c>
      <c r="P64" s="92">
        <f>'OtvoroveKonstrukcie nové'!N48</f>
        <v>1</v>
      </c>
      <c r="Q64" s="93">
        <f t="shared" si="3"/>
        <v>1.5760000000000001</v>
      </c>
      <c r="R64" s="242">
        <v>1</v>
      </c>
      <c r="S64" s="93">
        <f t="shared" si="4"/>
        <v>1.5760000000000001</v>
      </c>
      <c r="T64" s="108">
        <v>1</v>
      </c>
      <c r="U64" s="109">
        <f>OtvoroveKonstrukcie!Q48</f>
        <v>4.9859999999999998</v>
      </c>
      <c r="V64" s="104">
        <f t="shared" si="7"/>
        <v>4.9859999999999998E-4</v>
      </c>
      <c r="X64" s="239">
        <v>33</v>
      </c>
      <c r="Y64" s="239">
        <f>Y76</f>
        <v>14</v>
      </c>
      <c r="Z64" s="239">
        <f t="shared" si="13"/>
        <v>305.2</v>
      </c>
      <c r="AA64" s="239" t="s">
        <v>533</v>
      </c>
      <c r="AB64" s="240">
        <f t="shared" si="16"/>
        <v>7.3247999999999998</v>
      </c>
      <c r="AC64" s="240">
        <f>S84</f>
        <v>5855.1214352953466</v>
      </c>
      <c r="AD64" s="240">
        <f>S96</f>
        <v>4639.7489416666667</v>
      </c>
      <c r="AE64" s="240">
        <f>Y64*0.024*5*D12</f>
        <v>18981.648000000001</v>
      </c>
      <c r="AF64" s="240" t="e">
        <f>#REF!</f>
        <v>#REF!</v>
      </c>
      <c r="AG64" s="240" t="e">
        <f t="shared" si="14"/>
        <v>#REF!</v>
      </c>
      <c r="AH64" s="240" t="e">
        <f>#REF!</f>
        <v>#REF!</v>
      </c>
      <c r="AI64" s="240" t="e">
        <f>((AB64*(AC64+AD64))-(AG64*AH64))*0</f>
        <v>#REF!</v>
      </c>
      <c r="AK64" s="477" t="s">
        <v>534</v>
      </c>
      <c r="AL64" s="477"/>
      <c r="AN64" s="477" t="s">
        <v>535</v>
      </c>
      <c r="AO64" s="477"/>
    </row>
    <row r="65" spans="10:44" x14ac:dyDescent="0.3">
      <c r="J65" s="96" t="str">
        <f>OtvoroveKonstrukcie!A49</f>
        <v>DO6</v>
      </c>
      <c r="K65" s="470" t="str">
        <f>OtvoroveKonstrukcie!B49</f>
        <v>plastové, izolačné 2-sklo</v>
      </c>
      <c r="L65" s="470"/>
      <c r="M65" s="470"/>
      <c r="N65" s="470"/>
      <c r="O65" s="91">
        <f>OtvoroveKonstrukcie!O49</f>
        <v>1.5760000000000001</v>
      </c>
      <c r="P65" s="92">
        <f>'OtvoroveKonstrukcie nové'!N49</f>
        <v>1</v>
      </c>
      <c r="Q65" s="93">
        <f t="shared" si="3"/>
        <v>1.5760000000000001</v>
      </c>
      <c r="R65" s="242">
        <v>1</v>
      </c>
      <c r="S65" s="93">
        <f t="shared" si="4"/>
        <v>1.5760000000000001</v>
      </c>
      <c r="T65" s="108">
        <v>1</v>
      </c>
      <c r="U65" s="109">
        <f>OtvoroveKonstrukcie!Q49</f>
        <v>4.9859999999999998</v>
      </c>
      <c r="V65" s="104">
        <f t="shared" si="7"/>
        <v>4.9859999999999998E-4</v>
      </c>
      <c r="X65" s="117">
        <f>AVERAGE(X58:X63)</f>
        <v>20.533333333333335</v>
      </c>
      <c r="Y65" s="104">
        <f>SUM(Y58:Y64)</f>
        <v>195</v>
      </c>
      <c r="Z65" s="104">
        <f>SUM(Z58:Z64)</f>
        <v>3212.2</v>
      </c>
      <c r="AA65" s="136" t="s">
        <v>536</v>
      </c>
      <c r="AB65" s="160"/>
      <c r="AC65" s="160"/>
      <c r="AD65" s="160"/>
      <c r="AE65" s="160"/>
      <c r="AF65" s="160"/>
      <c r="AG65" s="160"/>
      <c r="AH65" s="160" t="e">
        <f>AVERAGE(AH58:AH64)</f>
        <v>#REF!</v>
      </c>
      <c r="AI65" s="150" t="e">
        <f>SUM(AI58:AI64)</f>
        <v>#REF!</v>
      </c>
      <c r="AK65" s="160" t="e">
        <f>#REF!*1000</f>
        <v>#REF!</v>
      </c>
      <c r="AL65" s="104" t="s">
        <v>537</v>
      </c>
      <c r="AN65" s="225" t="e">
        <f>#REF!*1000*12</f>
        <v>#REF!</v>
      </c>
      <c r="AO65" s="104" t="s">
        <v>538</v>
      </c>
    </row>
    <row r="66" spans="10:44" x14ac:dyDescent="0.3">
      <c r="J66" s="96" t="str">
        <f>OtvoroveKonstrukcie!A50</f>
        <v>DO7</v>
      </c>
      <c r="K66" s="470" t="str">
        <f>OtvoroveKonstrukcie!B50</f>
        <v>hliník</v>
      </c>
      <c r="L66" s="470"/>
      <c r="M66" s="470"/>
      <c r="N66" s="470"/>
      <c r="O66" s="91">
        <f>OtvoroveKonstrukcie!O50</f>
        <v>2.2050000000000001</v>
      </c>
      <c r="P66" s="92">
        <f>'OtvoroveKonstrukcie nové'!N50</f>
        <v>1</v>
      </c>
      <c r="Q66" s="93">
        <f t="shared" si="3"/>
        <v>2.2050000000000001</v>
      </c>
      <c r="R66" s="242">
        <v>1</v>
      </c>
      <c r="S66" s="93">
        <f t="shared" si="4"/>
        <v>2.2050000000000001</v>
      </c>
      <c r="T66" s="108">
        <v>1</v>
      </c>
      <c r="U66" s="109">
        <f>OtvoroveKonstrukcie!Q50</f>
        <v>5.6700000000000008</v>
      </c>
      <c r="V66" s="104">
        <f t="shared" si="7"/>
        <v>5.6700000000000012E-4</v>
      </c>
      <c r="Y66" s="117"/>
      <c r="AI66" s="223" t="e">
        <f>AI65/D12</f>
        <v>#REF!</v>
      </c>
      <c r="AJ66" s="117" t="s">
        <v>539</v>
      </c>
      <c r="AK66" s="224">
        <v>0.80400000000000005</v>
      </c>
      <c r="AL66" s="162"/>
    </row>
    <row r="67" spans="10:44" x14ac:dyDescent="0.3">
      <c r="J67" s="96" t="str">
        <f>OtvoroveKonstrukcie!A51</f>
        <v>DO8</v>
      </c>
      <c r="K67" s="470" t="str">
        <f>OtvoroveKonstrukcie!B51</f>
        <v>hliník</v>
      </c>
      <c r="L67" s="470"/>
      <c r="M67" s="470"/>
      <c r="N67" s="470"/>
      <c r="O67" s="91">
        <f>OtvoroveKonstrukcie!O51</f>
        <v>3.0449999999999999</v>
      </c>
      <c r="P67" s="92">
        <f>'OtvoroveKonstrukcie nové'!N51</f>
        <v>1</v>
      </c>
      <c r="Q67" s="93">
        <f t="shared" si="3"/>
        <v>3.0449999999999999</v>
      </c>
      <c r="R67" s="242">
        <v>1</v>
      </c>
      <c r="S67" s="93">
        <f t="shared" si="4"/>
        <v>3.0449999999999999</v>
      </c>
      <c r="T67" s="108">
        <v>1</v>
      </c>
      <c r="U67" s="109">
        <f>OtvoroveKonstrukcie!Q51</f>
        <v>6.39</v>
      </c>
      <c r="V67" s="104">
        <f t="shared" si="7"/>
        <v>6.3900000000000003E-4</v>
      </c>
      <c r="X67" s="478" t="s">
        <v>616</v>
      </c>
      <c r="Y67" s="478"/>
      <c r="Z67" s="478"/>
      <c r="AA67" s="478"/>
      <c r="AK67" s="213" t="e">
        <f>AK66*AK65</f>
        <v>#REF!</v>
      </c>
      <c r="AL67" s="218" t="s">
        <v>537</v>
      </c>
    </row>
    <row r="68" spans="10:44" x14ac:dyDescent="0.3">
      <c r="J68" s="96" t="str">
        <f>OtvoroveKonstrukcie!A52</f>
        <v>DO9</v>
      </c>
      <c r="K68" s="470" t="str">
        <f>OtvoroveKonstrukcie!B52</f>
        <v>hliník</v>
      </c>
      <c r="L68" s="470"/>
      <c r="M68" s="470"/>
      <c r="N68" s="470"/>
      <c r="O68" s="91">
        <f>OtvoroveKonstrukcie!O52</f>
        <v>2.2050000000000001</v>
      </c>
      <c r="P68" s="92">
        <f>'OtvoroveKonstrukcie nové'!N52</f>
        <v>1</v>
      </c>
      <c r="Q68" s="93">
        <f t="shared" si="3"/>
        <v>2.2050000000000001</v>
      </c>
      <c r="R68" s="242">
        <v>1</v>
      </c>
      <c r="S68" s="93">
        <f t="shared" si="4"/>
        <v>2.2050000000000001</v>
      </c>
      <c r="T68" s="108">
        <v>1</v>
      </c>
      <c r="U68" s="109">
        <f>OtvoroveKonstrukcie!Q52</f>
        <v>5.6700000000000008</v>
      </c>
      <c r="V68" s="104">
        <f t="shared" ref="V68:V73" si="17">(T68*U68)*0.0001</f>
        <v>5.6700000000000012E-4</v>
      </c>
      <c r="X68" s="253" t="s">
        <v>511</v>
      </c>
      <c r="Y68" s="253" t="s">
        <v>541</v>
      </c>
      <c r="Z68" s="253" t="s">
        <v>542</v>
      </c>
      <c r="AA68" s="253" t="s">
        <v>108</v>
      </c>
      <c r="AK68" s="232" t="e">
        <f>AI65+AN65</f>
        <v>#REF!</v>
      </c>
      <c r="AL68" s="228" t="s">
        <v>543</v>
      </c>
      <c r="AN68" s="477" t="s">
        <v>544</v>
      </c>
      <c r="AO68" s="477"/>
      <c r="AQ68" s="477" t="s">
        <v>545</v>
      </c>
      <c r="AR68" s="477"/>
    </row>
    <row r="69" spans="10:44" x14ac:dyDescent="0.3">
      <c r="J69" s="96" t="str">
        <f>OtvoroveKonstrukcie!A53</f>
        <v>DO10</v>
      </c>
      <c r="K69" s="470" t="str">
        <f>OtvoroveKonstrukcie!B53</f>
        <v>kovové, izolačné 2-sklo</v>
      </c>
      <c r="L69" s="470"/>
      <c r="M69" s="470"/>
      <c r="N69" s="470"/>
      <c r="O69" s="91">
        <f>OtvoroveKonstrukcie!O53</f>
        <v>5.04</v>
      </c>
      <c r="P69" s="92">
        <f>'OtvoroveKonstrukcie nové'!N53</f>
        <v>1</v>
      </c>
      <c r="Q69" s="93">
        <f>(O69*P69)</f>
        <v>5.04</v>
      </c>
      <c r="R69" s="242">
        <v>1</v>
      </c>
      <c r="S69" s="93">
        <f xml:space="preserve"> R69*Q69</f>
        <v>5.04</v>
      </c>
      <c r="T69" s="108">
        <v>1</v>
      </c>
      <c r="U69" s="109">
        <f>OtvoroveKonstrukcie!Q53</f>
        <v>8.1</v>
      </c>
      <c r="V69" s="104">
        <f t="shared" si="17"/>
        <v>8.0999999999999996E-4</v>
      </c>
      <c r="X69" s="253" t="s">
        <v>547</v>
      </c>
      <c r="Y69" s="104">
        <v>0</v>
      </c>
      <c r="Z69" s="104">
        <v>0</v>
      </c>
      <c r="AA69" s="104">
        <f>(20-Z69)*Y69</f>
        <v>0</v>
      </c>
      <c r="AN69" s="225" t="e">
        <f>'PotrebEnergieVYK 2016'!C3</f>
        <v>#REF!</v>
      </c>
      <c r="AO69" s="104" t="s">
        <v>538</v>
      </c>
      <c r="AQ69" s="225" t="e">
        <f>PotrebaEnergieTV!C3</f>
        <v>#REF!</v>
      </c>
      <c r="AR69" s="104" t="s">
        <v>538</v>
      </c>
    </row>
    <row r="70" spans="10:44" x14ac:dyDescent="0.3">
      <c r="J70" s="96" t="str">
        <f>OtvoroveKonstrukcie!A54</f>
        <v>DO11</v>
      </c>
      <c r="K70" s="470" t="str">
        <f>OtvoroveKonstrukcie!B54</f>
        <v>kovové, izolačné 2-sklo</v>
      </c>
      <c r="L70" s="470"/>
      <c r="M70" s="470"/>
      <c r="N70" s="470"/>
      <c r="O70" s="91">
        <f>OtvoroveKonstrukcie!O54</f>
        <v>2.5649999999999999</v>
      </c>
      <c r="P70" s="92">
        <f>'OtvoroveKonstrukcie nové'!N54</f>
        <v>1</v>
      </c>
      <c r="Q70" s="93">
        <f>(O70*P70)</f>
        <v>2.5649999999999999</v>
      </c>
      <c r="R70" s="242">
        <v>1</v>
      </c>
      <c r="S70" s="93">
        <f xml:space="preserve"> R70*Q70</f>
        <v>2.5649999999999999</v>
      </c>
      <c r="T70" s="108">
        <v>1</v>
      </c>
      <c r="U70" s="109">
        <f>OtvoroveKonstrukcie!Q54</f>
        <v>6.75</v>
      </c>
      <c r="V70" s="104">
        <f t="shared" si="17"/>
        <v>6.7500000000000004E-4</v>
      </c>
      <c r="X70" s="136" t="s">
        <v>525</v>
      </c>
      <c r="Y70" s="136">
        <v>30</v>
      </c>
      <c r="Z70" s="136">
        <v>9.8000000000000007</v>
      </c>
      <c r="AA70" s="136">
        <f t="shared" ref="AA70:AA75" si="18">(X58-Z70)*Y70</f>
        <v>347.99999999999994</v>
      </c>
      <c r="AK70" s="477" t="s">
        <v>548</v>
      </c>
      <c r="AL70" s="477"/>
    </row>
    <row r="71" spans="10:44" x14ac:dyDescent="0.3">
      <c r="J71" s="96" t="str">
        <f>OtvoroveKonstrukcie!A55</f>
        <v>DO12</v>
      </c>
      <c r="K71" s="470" t="str">
        <f>OtvoroveKonstrukcie!B55</f>
        <v>plastové, izolačné 2-sklo</v>
      </c>
      <c r="L71" s="470"/>
      <c r="M71" s="470"/>
      <c r="N71" s="470"/>
      <c r="O71" s="91">
        <f>OtvoroveKonstrukcie!O55</f>
        <v>7.6950000000000012</v>
      </c>
      <c r="P71" s="92">
        <f>'OtvoroveKonstrukcie nové'!N55</f>
        <v>1</v>
      </c>
      <c r="Q71" s="93">
        <f>(O71*P71)</f>
        <v>7.6950000000000012</v>
      </c>
      <c r="R71" s="242">
        <v>1</v>
      </c>
      <c r="S71" s="93">
        <f xml:space="preserve"> R71*Q71</f>
        <v>7.6950000000000012</v>
      </c>
      <c r="T71" s="108">
        <v>1</v>
      </c>
      <c r="U71" s="109">
        <f>OtvoroveKonstrukcie!Q55</f>
        <v>9.990000000000002</v>
      </c>
      <c r="V71" s="104">
        <f t="shared" si="17"/>
        <v>9.9900000000000032E-4</v>
      </c>
      <c r="X71" s="136" t="s">
        <v>526</v>
      </c>
      <c r="Y71" s="136">
        <v>30</v>
      </c>
      <c r="Z71" s="136">
        <v>4.5999999999999996</v>
      </c>
      <c r="AA71" s="136">
        <f t="shared" si="18"/>
        <v>435.00000000000006</v>
      </c>
      <c r="AK71" s="157" t="e">
        <f>AN69+AQ69</f>
        <v>#REF!</v>
      </c>
      <c r="AL71" s="153" t="s">
        <v>538</v>
      </c>
    </row>
    <row r="72" spans="10:44" x14ac:dyDescent="0.3">
      <c r="J72" s="96" t="str">
        <f>OtvoroveKonstrukcie!A56</f>
        <v>DO13</v>
      </c>
      <c r="K72" s="470" t="str">
        <f>OtvoroveKonstrukcie!B56</f>
        <v>Sekciová brána</v>
      </c>
      <c r="L72" s="470"/>
      <c r="M72" s="470"/>
      <c r="N72" s="470"/>
      <c r="O72" s="91">
        <f>OtvoroveKonstrukcie!O56</f>
        <v>11.52</v>
      </c>
      <c r="P72" s="92">
        <f>'OtvoroveKonstrukcie nové'!N56</f>
        <v>1</v>
      </c>
      <c r="Q72" s="93">
        <f>(O72*P72)</f>
        <v>11.52</v>
      </c>
      <c r="R72" s="242">
        <v>1</v>
      </c>
      <c r="S72" s="93">
        <f xml:space="preserve"> R72*Q72</f>
        <v>11.52</v>
      </c>
      <c r="T72" s="108">
        <v>1</v>
      </c>
      <c r="U72" s="109">
        <f>OtvoroveKonstrukcie!Q56</f>
        <v>8.64</v>
      </c>
      <c r="V72" s="104">
        <f t="shared" si="17"/>
        <v>8.6400000000000008E-4</v>
      </c>
      <c r="X72" s="136" t="s">
        <v>527</v>
      </c>
      <c r="Y72" s="136">
        <v>31</v>
      </c>
      <c r="Z72" s="136">
        <v>0.6</v>
      </c>
      <c r="AA72" s="136">
        <f t="shared" si="18"/>
        <v>554.9</v>
      </c>
    </row>
    <row r="73" spans="10:44" x14ac:dyDescent="0.3">
      <c r="J73" s="96">
        <f>OtvoroveKonstrukcie!A57</f>
        <v>0</v>
      </c>
      <c r="K73" s="470">
        <f>OtvoroveKonstrukcie!B57</f>
        <v>0</v>
      </c>
      <c r="L73" s="470"/>
      <c r="M73" s="470"/>
      <c r="N73" s="470"/>
      <c r="O73" s="91">
        <f>OtvoroveKonstrukcie!O57</f>
        <v>0</v>
      </c>
      <c r="P73" s="92">
        <f>OtvoroveKonstrukcie!N57</f>
        <v>0</v>
      </c>
      <c r="Q73" s="93">
        <f>(O73*P73)</f>
        <v>0</v>
      </c>
      <c r="R73" s="242">
        <v>1</v>
      </c>
      <c r="S73" s="93">
        <f xml:space="preserve"> R73*Q73</f>
        <v>0</v>
      </c>
      <c r="T73" s="108">
        <v>1</v>
      </c>
      <c r="U73" s="109">
        <f>OtvoroveKonstrukcie!Q57</f>
        <v>0</v>
      </c>
      <c r="V73" s="104">
        <f t="shared" si="17"/>
        <v>0</v>
      </c>
      <c r="X73" s="136" t="s">
        <v>528</v>
      </c>
      <c r="Y73" s="136">
        <v>31</v>
      </c>
      <c r="Z73" s="136">
        <v>-0.7</v>
      </c>
      <c r="AA73" s="136">
        <f t="shared" si="18"/>
        <v>595.19999999999993</v>
      </c>
    </row>
    <row r="74" spans="10:44" x14ac:dyDescent="0.3">
      <c r="J74" s="96"/>
      <c r="K74" s="470"/>
      <c r="L74" s="470"/>
      <c r="M74" s="470"/>
      <c r="N74" s="470"/>
      <c r="O74" s="91"/>
      <c r="P74" s="92"/>
      <c r="Q74" s="93"/>
      <c r="R74" s="242"/>
      <c r="S74" s="93"/>
      <c r="T74" s="108"/>
      <c r="U74" s="109"/>
      <c r="V74" s="104"/>
      <c r="X74" s="136" t="s">
        <v>529</v>
      </c>
      <c r="Y74" s="136">
        <v>28</v>
      </c>
      <c r="Z74" s="136">
        <v>6</v>
      </c>
      <c r="AA74" s="136">
        <f t="shared" si="18"/>
        <v>487.19999999999993</v>
      </c>
    </row>
    <row r="75" spans="10:44" x14ac:dyDescent="0.3">
      <c r="J75" s="96"/>
      <c r="K75" s="470"/>
      <c r="L75" s="470"/>
      <c r="M75" s="470"/>
      <c r="N75" s="470"/>
      <c r="O75" s="91"/>
      <c r="P75" s="92"/>
      <c r="Q75" s="93"/>
      <c r="R75" s="242"/>
      <c r="S75" s="93"/>
      <c r="T75" s="108"/>
      <c r="U75" s="109"/>
      <c r="V75" s="104"/>
      <c r="X75" s="136" t="s">
        <v>531</v>
      </c>
      <c r="Y75" s="136">
        <v>31</v>
      </c>
      <c r="Z75" s="136">
        <v>6.6</v>
      </c>
      <c r="AA75" s="136">
        <f t="shared" si="18"/>
        <v>486.70000000000005</v>
      </c>
    </row>
    <row r="76" spans="10:44" ht="15" x14ac:dyDescent="0.35">
      <c r="J76" s="97" t="s">
        <v>551</v>
      </c>
      <c r="K76" s="356"/>
      <c r="L76" s="356"/>
      <c r="M76" s="356"/>
      <c r="N76" s="98" t="s">
        <v>552</v>
      </c>
      <c r="O76" s="112">
        <f>SUM(O5:O75)</f>
        <v>9721.2033999999985</v>
      </c>
      <c r="P76" s="79"/>
      <c r="Q76" s="467" t="s">
        <v>553</v>
      </c>
      <c r="R76" s="468"/>
      <c r="S76" s="112">
        <f xml:space="preserve"> SUM(S5:S75)</f>
        <v>5369.0612652953469</v>
      </c>
      <c r="T76" s="106"/>
      <c r="U76" s="124">
        <f>SUM(U68:U75)</f>
        <v>39.150000000000006</v>
      </c>
      <c r="V76" s="125">
        <f>SUM(V68:V75)</f>
        <v>3.9150000000000001E-3</v>
      </c>
      <c r="X76" s="136" t="s">
        <v>533</v>
      </c>
      <c r="Y76" s="136">
        <v>14</v>
      </c>
      <c r="Z76" s="136">
        <v>11.2</v>
      </c>
      <c r="AA76" s="136">
        <f>(X64-Z76)*Y76</f>
        <v>305.2</v>
      </c>
    </row>
    <row r="77" spans="10:44" x14ac:dyDescent="0.3">
      <c r="T77" s="106"/>
      <c r="U77" s="107"/>
      <c r="X77" s="104" t="s">
        <v>550</v>
      </c>
      <c r="Y77" s="104">
        <v>8</v>
      </c>
      <c r="Z77" s="104">
        <v>15.9</v>
      </c>
      <c r="AA77" s="104">
        <f>(20-Z77)*Y77</f>
        <v>32.799999999999997</v>
      </c>
    </row>
    <row r="78" spans="10:44" x14ac:dyDescent="0.3">
      <c r="J78" s="450" t="s">
        <v>554</v>
      </c>
      <c r="K78" s="451"/>
      <c r="L78" s="451"/>
      <c r="M78" s="451"/>
      <c r="N78" s="451"/>
      <c r="O78" s="451"/>
      <c r="P78" s="451"/>
      <c r="Q78" s="451"/>
      <c r="R78" s="451"/>
      <c r="S78" s="451"/>
      <c r="T78" s="106"/>
      <c r="U78" s="107"/>
      <c r="X78" s="117"/>
      <c r="Y78" s="136">
        <f>SUM(Y69:Y77)</f>
        <v>203</v>
      </c>
      <c r="Z78" s="141">
        <f>AVERAGE(Z69:Z77)</f>
        <v>5.9999999999999991</v>
      </c>
      <c r="AA78" s="136">
        <f>SUM(AA69:AA77)</f>
        <v>3245</v>
      </c>
    </row>
    <row r="79" spans="10:44" x14ac:dyDescent="0.3">
      <c r="J79" s="452"/>
      <c r="K79" s="453"/>
      <c r="L79" s="453"/>
      <c r="M79" s="113"/>
      <c r="N79" s="79" t="s">
        <v>555</v>
      </c>
      <c r="O79" s="458" t="s">
        <v>556</v>
      </c>
      <c r="P79" s="459"/>
      <c r="Q79" s="459"/>
      <c r="R79" s="459"/>
      <c r="S79" s="460"/>
      <c r="T79" s="106"/>
      <c r="U79" s="107"/>
    </row>
    <row r="80" spans="10:44" x14ac:dyDescent="0.3">
      <c r="J80" s="454"/>
      <c r="K80" s="455"/>
      <c r="L80" s="455"/>
      <c r="M80" s="113" t="s">
        <v>557</v>
      </c>
      <c r="N80" s="79" t="s">
        <v>558</v>
      </c>
      <c r="O80" s="242">
        <v>0.05</v>
      </c>
      <c r="P80" s="461" t="s">
        <v>559</v>
      </c>
      <c r="Q80" s="462"/>
      <c r="R80" s="98" t="s">
        <v>560</v>
      </c>
      <c r="S80" s="114">
        <v>0.05</v>
      </c>
      <c r="T80" s="106"/>
      <c r="U80" s="107"/>
    </row>
    <row r="81" spans="10:21" x14ac:dyDescent="0.3">
      <c r="J81" s="454"/>
      <c r="K81" s="455"/>
      <c r="L81" s="455"/>
      <c r="M81" s="463"/>
      <c r="N81" s="464"/>
      <c r="O81" s="242">
        <v>0.1</v>
      </c>
      <c r="P81" s="431" t="s">
        <v>561</v>
      </c>
      <c r="Q81" s="433"/>
      <c r="R81" s="98"/>
      <c r="S81" s="115"/>
      <c r="T81" s="106"/>
      <c r="U81" s="107"/>
    </row>
    <row r="82" spans="10:21" x14ac:dyDescent="0.3">
      <c r="J82" s="456"/>
      <c r="K82" s="457"/>
      <c r="L82" s="457"/>
      <c r="M82" s="465"/>
      <c r="N82" s="466"/>
      <c r="O82" s="242">
        <v>0.2</v>
      </c>
      <c r="P82" s="431" t="s">
        <v>562</v>
      </c>
      <c r="Q82" s="433"/>
      <c r="R82" s="79"/>
      <c r="S82" s="221"/>
      <c r="T82" s="106"/>
      <c r="U82" s="107"/>
    </row>
    <row r="83" spans="10:21" ht="15" x14ac:dyDescent="0.35">
      <c r="J83" s="431" t="s">
        <v>563</v>
      </c>
      <c r="K83" s="432"/>
      <c r="L83" s="432"/>
      <c r="M83" s="433"/>
      <c r="N83" s="434" t="s">
        <v>564</v>
      </c>
      <c r="O83" s="435"/>
      <c r="P83" s="435"/>
      <c r="Q83" s="435"/>
      <c r="R83" s="436"/>
      <c r="S83" s="116">
        <f>S80*O76</f>
        <v>486.06016999999997</v>
      </c>
      <c r="T83" s="106"/>
      <c r="U83" s="107"/>
    </row>
    <row r="84" spans="10:21" ht="15" x14ac:dyDescent="0.35">
      <c r="J84" s="437" t="s">
        <v>565</v>
      </c>
      <c r="K84" s="438"/>
      <c r="L84" s="438"/>
      <c r="M84" s="439"/>
      <c r="N84" s="440" t="s">
        <v>566</v>
      </c>
      <c r="O84" s="441"/>
      <c r="P84" s="441"/>
      <c r="Q84" s="441"/>
      <c r="R84" s="442"/>
      <c r="S84" s="112">
        <f xml:space="preserve"> S76+S83</f>
        <v>5855.1214352953466</v>
      </c>
      <c r="T84" s="106"/>
      <c r="U84" s="107"/>
    </row>
    <row r="85" spans="10:21" x14ac:dyDescent="0.3"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06"/>
      <c r="U85" s="107"/>
    </row>
    <row r="86" spans="10:21" ht="15" x14ac:dyDescent="0.35">
      <c r="J86" s="443" t="s">
        <v>567</v>
      </c>
      <c r="K86" s="444"/>
      <c r="L86" s="444"/>
      <c r="M86" s="444"/>
      <c r="N86" s="444"/>
      <c r="O86" s="444"/>
      <c r="P86" s="445"/>
      <c r="Q86" s="79"/>
      <c r="R86" s="118" t="s">
        <v>568</v>
      </c>
      <c r="S86" s="119">
        <f>S84/O76</f>
        <v>0.60230417926399393</v>
      </c>
      <c r="T86" s="106"/>
      <c r="U86" s="107"/>
    </row>
    <row r="87" spans="10:21" ht="15" x14ac:dyDescent="0.35">
      <c r="J87" s="120" t="s">
        <v>569</v>
      </c>
      <c r="K87" s="89"/>
      <c r="L87" s="89"/>
      <c r="M87" s="121" t="s">
        <v>570</v>
      </c>
      <c r="N87" s="122" t="s">
        <v>571</v>
      </c>
      <c r="O87" s="122" t="s">
        <v>572</v>
      </c>
      <c r="P87" s="123" t="s">
        <v>573</v>
      </c>
      <c r="Q87" s="122" t="s">
        <v>574</v>
      </c>
      <c r="R87" s="446" t="s">
        <v>575</v>
      </c>
      <c r="S87" s="447"/>
      <c r="T87" s="106"/>
      <c r="U87" s="107"/>
    </row>
    <row r="88" spans="10:21" x14ac:dyDescent="0.3">
      <c r="J88" s="448" t="s">
        <v>567</v>
      </c>
      <c r="K88" s="448"/>
      <c r="L88" s="448"/>
      <c r="M88" s="448"/>
      <c r="N88" s="448"/>
      <c r="O88" s="448"/>
      <c r="P88" s="448"/>
      <c r="Q88" s="448"/>
      <c r="R88" s="448"/>
      <c r="S88" s="448"/>
      <c r="T88" s="106"/>
      <c r="U88" s="107"/>
    </row>
    <row r="89" spans="10:21" ht="15" x14ac:dyDescent="0.35">
      <c r="J89" s="449"/>
      <c r="K89" s="449"/>
      <c r="L89" s="449"/>
      <c r="M89" s="449"/>
      <c r="N89" s="449"/>
      <c r="O89" s="449"/>
      <c r="P89" s="449"/>
      <c r="Q89" s="79"/>
      <c r="R89" s="118" t="s">
        <v>568</v>
      </c>
      <c r="S89" s="119">
        <f>S84/O76</f>
        <v>0.60230417926399393</v>
      </c>
      <c r="T89" s="106"/>
      <c r="U89" s="107"/>
    </row>
    <row r="90" spans="10:21" x14ac:dyDescent="0.3">
      <c r="T90" s="106"/>
      <c r="U90" s="107"/>
    </row>
    <row r="91" spans="10:21" x14ac:dyDescent="0.3">
      <c r="J91" s="430" t="s">
        <v>576</v>
      </c>
      <c r="K91" s="430"/>
      <c r="L91" s="430"/>
      <c r="M91" s="430"/>
      <c r="N91" s="430"/>
      <c r="O91" s="430"/>
      <c r="P91" s="430"/>
      <c r="Q91" s="430"/>
      <c r="R91" s="430"/>
      <c r="S91" s="430"/>
      <c r="T91" s="106"/>
      <c r="U91" s="107"/>
    </row>
    <row r="92" spans="10:21" x14ac:dyDescent="0.3">
      <c r="J92" s="375" t="s">
        <v>577</v>
      </c>
      <c r="K92" s="375"/>
      <c r="L92" s="375"/>
      <c r="M92" s="375"/>
      <c r="N92" s="375"/>
      <c r="O92" s="375"/>
      <c r="P92" s="375"/>
      <c r="Q92" s="375"/>
      <c r="R92" s="375"/>
      <c r="S92" s="126">
        <v>0.85</v>
      </c>
      <c r="T92" s="106"/>
      <c r="U92" s="107"/>
    </row>
    <row r="93" spans="10:21" x14ac:dyDescent="0.3">
      <c r="J93" s="375" t="s">
        <v>578</v>
      </c>
      <c r="K93" s="375"/>
      <c r="L93" s="375"/>
      <c r="M93" s="375"/>
      <c r="N93" s="375"/>
      <c r="O93" s="375"/>
      <c r="P93" s="375"/>
      <c r="Q93" s="375"/>
      <c r="R93" s="375"/>
      <c r="S93" s="127">
        <v>1.2</v>
      </c>
      <c r="T93" s="106"/>
      <c r="U93" s="107"/>
    </row>
    <row r="94" spans="10:21" x14ac:dyDescent="0.3">
      <c r="J94" s="375" t="s">
        <v>579</v>
      </c>
      <c r="K94" s="375"/>
      <c r="L94" s="375"/>
      <c r="M94" s="375"/>
      <c r="N94" s="375"/>
      <c r="O94" s="375"/>
      <c r="P94" s="375"/>
      <c r="Q94" s="375"/>
      <c r="R94" s="375"/>
      <c r="S94" s="127">
        <v>1010</v>
      </c>
      <c r="T94" s="106"/>
      <c r="U94" s="226"/>
    </row>
    <row r="95" spans="10:21" x14ac:dyDescent="0.3">
      <c r="J95" s="375" t="s">
        <v>580</v>
      </c>
      <c r="K95" s="375"/>
      <c r="L95" s="375"/>
      <c r="M95" s="375"/>
      <c r="N95" s="375"/>
      <c r="O95" s="375"/>
      <c r="P95" s="375"/>
      <c r="Q95" s="375"/>
      <c r="R95" s="375"/>
      <c r="S95" s="128">
        <f>IF((25200*(V76/D11))&lt;0.5,0.5,(25200*(V76/D11)))</f>
        <v>0.5</v>
      </c>
      <c r="T95" s="106"/>
      <c r="U95" s="107"/>
    </row>
    <row r="96" spans="10:21" ht="15" x14ac:dyDescent="0.35">
      <c r="J96" s="422" t="s">
        <v>581</v>
      </c>
      <c r="K96" s="423"/>
      <c r="L96" s="423"/>
      <c r="M96" s="423"/>
      <c r="N96" s="423"/>
      <c r="O96" s="423"/>
      <c r="P96" s="423"/>
      <c r="Q96" s="423"/>
      <c r="R96" s="424"/>
      <c r="S96" s="129">
        <f>(S92*S93*S94*D11*S95)/3600</f>
        <v>4639.7489416666667</v>
      </c>
      <c r="T96" s="106"/>
      <c r="U96" s="107"/>
    </row>
    <row r="97" spans="10:21" x14ac:dyDescent="0.3">
      <c r="T97" s="106"/>
      <c r="U97" s="107"/>
    </row>
    <row r="98" spans="10:21" x14ac:dyDescent="0.3">
      <c r="J98" s="425" t="s">
        <v>582</v>
      </c>
      <c r="K98" s="426"/>
      <c r="L98" s="426"/>
      <c r="M98" s="426"/>
      <c r="N98" s="426"/>
      <c r="O98" s="426"/>
      <c r="P98" s="426"/>
      <c r="Q98" s="426"/>
      <c r="R98" s="426"/>
      <c r="S98" s="427"/>
      <c r="T98" s="106"/>
      <c r="U98" s="107"/>
    </row>
    <row r="99" spans="10:21" x14ac:dyDescent="0.3">
      <c r="J99" s="256" t="s">
        <v>511</v>
      </c>
      <c r="K99" s="256" t="s">
        <v>583</v>
      </c>
      <c r="L99" s="256" t="s">
        <v>584</v>
      </c>
      <c r="M99" s="256" t="s">
        <v>585</v>
      </c>
      <c r="N99" s="256" t="s">
        <v>586</v>
      </c>
      <c r="O99" s="256" t="s">
        <v>587</v>
      </c>
      <c r="P99" s="256" t="s">
        <v>588</v>
      </c>
      <c r="Q99" s="256" t="s">
        <v>589</v>
      </c>
      <c r="R99" s="428"/>
      <c r="S99" s="420" t="s">
        <v>590</v>
      </c>
      <c r="T99" s="106"/>
      <c r="U99" s="107"/>
    </row>
    <row r="100" spans="10:21" x14ac:dyDescent="0.3">
      <c r="J100" s="256" t="s">
        <v>73</v>
      </c>
      <c r="K100" s="256">
        <f>VstupneUdaje!BJ14</f>
        <v>16.219200000000001</v>
      </c>
      <c r="L100" s="256">
        <f>VstupneUdaje!BJ15</f>
        <v>13.171200000000002</v>
      </c>
      <c r="M100" s="256">
        <f>VstupneUdaje!BJ16</f>
        <v>11.457600000000001</v>
      </c>
      <c r="N100" s="256">
        <f>VstupneUdaje!BJ17</f>
        <v>7.2720000000000002</v>
      </c>
      <c r="O100" s="256">
        <f>VstupneUdaje!BJ18</f>
        <v>7.5888</v>
      </c>
      <c r="P100" s="256">
        <f>VstupneUdaje!BJ19</f>
        <v>11.304</v>
      </c>
      <c r="Q100" s="256">
        <f>VstupneUdaje!BJ20</f>
        <v>15.103200000000001</v>
      </c>
      <c r="R100" s="428"/>
      <c r="S100" s="429"/>
      <c r="T100" s="106"/>
      <c r="U100" s="107"/>
    </row>
    <row r="101" spans="10:21" x14ac:dyDescent="0.3">
      <c r="J101" s="256" t="s">
        <v>416</v>
      </c>
      <c r="K101" s="130">
        <f>S96+S84</f>
        <v>10494.870376962013</v>
      </c>
      <c r="L101" s="130">
        <v>4558.5716155111986</v>
      </c>
      <c r="M101" s="130">
        <v>4558.5716155111986</v>
      </c>
      <c r="N101" s="130">
        <v>4558.5716155111986</v>
      </c>
      <c r="O101" s="130">
        <v>4558.5716155111986</v>
      </c>
      <c r="P101" s="130">
        <v>4558.5716155111986</v>
      </c>
      <c r="Q101" s="130">
        <v>4558.5716155111986</v>
      </c>
      <c r="R101" s="428"/>
      <c r="S101" s="421"/>
      <c r="T101" s="106"/>
      <c r="U101" s="107"/>
    </row>
    <row r="102" spans="10:21" x14ac:dyDescent="0.3">
      <c r="J102" s="257" t="s">
        <v>591</v>
      </c>
      <c r="K102" s="132">
        <f>K100*K101</f>
        <v>170218.4016180223</v>
      </c>
      <c r="L102" s="132">
        <f t="shared" ref="L102:Q102" si="19">L100*L101</f>
        <v>60041.858462221113</v>
      </c>
      <c r="M102" s="132">
        <f t="shared" si="19"/>
        <v>52230.290141881116</v>
      </c>
      <c r="N102" s="132">
        <f t="shared" si="19"/>
        <v>33149.932787997437</v>
      </c>
      <c r="O102" s="132">
        <f t="shared" si="19"/>
        <v>34594.088275791386</v>
      </c>
      <c r="P102" s="132">
        <f t="shared" si="19"/>
        <v>51530.093541738592</v>
      </c>
      <c r="Q102" s="132">
        <f t="shared" si="19"/>
        <v>68849.018823388746</v>
      </c>
      <c r="R102" s="428"/>
      <c r="S102" s="131">
        <f>SUM(K102:Q102)</f>
        <v>470613.6836510406</v>
      </c>
      <c r="T102" s="106"/>
      <c r="U102" s="107"/>
    </row>
    <row r="103" spans="10:21" x14ac:dyDescent="0.3">
      <c r="T103" s="106"/>
      <c r="U103" s="107"/>
    </row>
    <row r="104" spans="10:21" hidden="1" x14ac:dyDescent="0.3">
      <c r="J104" s="425" t="s">
        <v>592</v>
      </c>
      <c r="K104" s="426"/>
      <c r="L104" s="426"/>
      <c r="M104" s="426"/>
      <c r="N104" s="426"/>
      <c r="O104" s="426"/>
      <c r="P104" s="426"/>
      <c r="Q104" s="426"/>
      <c r="R104" s="426"/>
      <c r="S104" s="427"/>
      <c r="T104" s="106"/>
      <c r="U104" s="107"/>
    </row>
    <row r="105" spans="10:21" hidden="1" x14ac:dyDescent="0.3">
      <c r="J105" s="410" t="s">
        <v>593</v>
      </c>
      <c r="K105" s="410"/>
      <c r="L105" s="410"/>
      <c r="M105" s="410"/>
      <c r="N105" s="410"/>
      <c r="O105" s="410"/>
      <c r="P105" s="410"/>
      <c r="Q105" s="410"/>
      <c r="R105" s="410"/>
      <c r="S105" s="131">
        <f>S84+S96</f>
        <v>10494.870376962013</v>
      </c>
      <c r="T105" s="106"/>
      <c r="U105" s="107"/>
    </row>
    <row r="106" spans="10:21" hidden="1" x14ac:dyDescent="0.3">
      <c r="T106" s="106"/>
      <c r="U106" s="107"/>
    </row>
    <row r="107" spans="10:21" hidden="1" x14ac:dyDescent="0.3">
      <c r="J107" s="425" t="s">
        <v>594</v>
      </c>
      <c r="K107" s="426"/>
      <c r="L107" s="426"/>
      <c r="M107" s="426"/>
      <c r="N107" s="426"/>
      <c r="O107" s="426"/>
      <c r="P107" s="426"/>
      <c r="Q107" s="426"/>
      <c r="R107" s="426"/>
      <c r="S107" s="427"/>
      <c r="T107" s="106"/>
      <c r="U107" s="107"/>
    </row>
    <row r="108" spans="10:21" x14ac:dyDescent="0.3">
      <c r="J108" s="417" t="s">
        <v>595</v>
      </c>
      <c r="K108" s="418"/>
      <c r="L108" s="418"/>
      <c r="M108" s="418"/>
      <c r="N108" s="418"/>
      <c r="O108" s="418"/>
      <c r="P108" s="418"/>
      <c r="Q108" s="418"/>
      <c r="R108" s="419"/>
      <c r="S108" s="420" t="s">
        <v>590</v>
      </c>
      <c r="T108" s="106"/>
      <c r="U108" s="107"/>
    </row>
    <row r="109" spans="10:21" hidden="1" x14ac:dyDescent="0.3">
      <c r="J109" s="135" t="s">
        <v>596</v>
      </c>
      <c r="K109" s="130">
        <f>G20</f>
        <v>198.33333333333334</v>
      </c>
      <c r="L109" s="411"/>
      <c r="M109" s="412"/>
      <c r="N109" s="412"/>
      <c r="O109" s="412"/>
      <c r="P109" s="412"/>
      <c r="Q109" s="412"/>
      <c r="R109" s="413"/>
      <c r="S109" s="421"/>
      <c r="T109" s="106"/>
      <c r="U109" s="107"/>
    </row>
    <row r="110" spans="10:21" hidden="1" x14ac:dyDescent="0.3">
      <c r="J110" s="135" t="s">
        <v>597</v>
      </c>
      <c r="K110" s="130">
        <v>5</v>
      </c>
      <c r="L110" s="411"/>
      <c r="M110" s="412"/>
      <c r="N110" s="412"/>
      <c r="O110" s="412"/>
      <c r="P110" s="412"/>
      <c r="Q110" s="412"/>
      <c r="R110" s="413"/>
      <c r="S110" s="131">
        <f>K109*0.024*K110*D12</f>
        <v>268906.68000000005</v>
      </c>
      <c r="T110" s="106"/>
      <c r="U110" s="107"/>
    </row>
    <row r="111" spans="10:21" hidden="1" x14ac:dyDescent="0.3">
      <c r="T111" s="106"/>
      <c r="U111" s="107"/>
    </row>
    <row r="112" spans="10:21" hidden="1" x14ac:dyDescent="0.3">
      <c r="J112" s="409" t="s">
        <v>598</v>
      </c>
      <c r="K112" s="409"/>
      <c r="L112" s="409"/>
      <c r="M112" s="409"/>
      <c r="N112" s="409"/>
      <c r="O112" s="409"/>
      <c r="P112" s="409"/>
      <c r="Q112" s="409"/>
      <c r="R112" s="409"/>
      <c r="S112" s="409"/>
      <c r="T112" s="106"/>
      <c r="U112" s="107"/>
    </row>
    <row r="113" spans="10:21" hidden="1" x14ac:dyDescent="0.3">
      <c r="J113" s="348" t="s">
        <v>401</v>
      </c>
      <c r="K113" s="348"/>
      <c r="L113" s="348"/>
      <c r="M113" s="253" t="str">
        <f>OtvoroveKonstrukcie!C2</f>
        <v>J</v>
      </c>
      <c r="N113" s="253" t="str">
        <f>OtvoroveKonstrukcie!D2</f>
        <v>V</v>
      </c>
      <c r="O113" s="253" t="str">
        <f>OtvoroveKonstrukcie!E2</f>
        <v>Z</v>
      </c>
      <c r="P113" s="253" t="str">
        <f>OtvoroveKonstrukcie!F2</f>
        <v>S</v>
      </c>
      <c r="Q113" s="253" t="str">
        <f>OtvoroveKonstrukcie!G2</f>
        <v>H</v>
      </c>
      <c r="R113" s="104"/>
      <c r="S113" s="414" t="s">
        <v>590</v>
      </c>
      <c r="T113" s="106"/>
      <c r="U113" s="107"/>
    </row>
    <row r="114" spans="10:21" hidden="1" x14ac:dyDescent="0.3">
      <c r="J114" s="348" t="s">
        <v>599</v>
      </c>
      <c r="K114" s="348"/>
      <c r="L114" s="348"/>
      <c r="M114" s="104" t="e">
        <f>#REF!</f>
        <v>#REF!</v>
      </c>
      <c r="N114" s="104" t="e">
        <f>#REF!</f>
        <v>#REF!</v>
      </c>
      <c r="O114" s="104" t="e">
        <f>#REF!</f>
        <v>#REF!</v>
      </c>
      <c r="P114" s="104" t="e">
        <f>#REF!</f>
        <v>#REF!</v>
      </c>
      <c r="Q114" s="104" t="e">
        <f>#REF!</f>
        <v>#REF!</v>
      </c>
      <c r="R114" s="104"/>
      <c r="S114" s="415"/>
      <c r="T114" s="106"/>
      <c r="U114" s="107"/>
    </row>
    <row r="115" spans="10:21" hidden="1" x14ac:dyDescent="0.3">
      <c r="J115" s="348" t="s">
        <v>600</v>
      </c>
      <c r="K115" s="348"/>
      <c r="L115" s="348"/>
      <c r="M115" s="104">
        <v>200</v>
      </c>
      <c r="N115" s="104">
        <v>200</v>
      </c>
      <c r="O115" s="104">
        <v>200</v>
      </c>
      <c r="P115" s="104">
        <v>200</v>
      </c>
      <c r="Q115" s="104">
        <v>200</v>
      </c>
      <c r="R115" s="104"/>
      <c r="S115" s="415"/>
      <c r="T115" s="94"/>
      <c r="U115" s="89"/>
    </row>
    <row r="116" spans="10:21" hidden="1" x14ac:dyDescent="0.3">
      <c r="J116" s="348" t="s">
        <v>601</v>
      </c>
      <c r="K116" s="348"/>
      <c r="L116" s="348"/>
      <c r="M116" s="104">
        <v>0.5</v>
      </c>
      <c r="N116" s="104">
        <v>0.5</v>
      </c>
      <c r="O116" s="104">
        <v>0.5</v>
      </c>
      <c r="P116" s="104">
        <v>0.5</v>
      </c>
      <c r="Q116" s="104">
        <v>0.5</v>
      </c>
      <c r="R116" s="104"/>
      <c r="S116" s="415"/>
    </row>
    <row r="117" spans="10:21" hidden="1" x14ac:dyDescent="0.3">
      <c r="J117" s="348" t="s">
        <v>602</v>
      </c>
      <c r="K117" s="348"/>
      <c r="L117" s="348"/>
      <c r="M117" s="104">
        <v>0.6</v>
      </c>
      <c r="N117" s="104">
        <v>0.6</v>
      </c>
      <c r="O117" s="104">
        <v>0.6</v>
      </c>
      <c r="P117" s="104">
        <v>0.6</v>
      </c>
      <c r="Q117" s="104">
        <v>0.6</v>
      </c>
      <c r="R117" s="104"/>
      <c r="S117" s="415"/>
      <c r="T117" t="s">
        <v>603</v>
      </c>
    </row>
    <row r="118" spans="10:21" hidden="1" x14ac:dyDescent="0.3">
      <c r="J118" s="348" t="s">
        <v>604</v>
      </c>
      <c r="K118" s="348"/>
      <c r="L118" s="348"/>
      <c r="M118" s="104">
        <f>0.8*M117*(1-0.8)*M115</f>
        <v>19.199999999999996</v>
      </c>
      <c r="N118" s="104">
        <f>0.8*N117*(1-0.8)*N115</f>
        <v>19.199999999999996</v>
      </c>
      <c r="O118" s="104">
        <f>0.8*O117*(1-0.8)*O115</f>
        <v>19.199999999999996</v>
      </c>
      <c r="P118" s="104">
        <f>0.8*P117*(1-0.8)*P115</f>
        <v>19.199999999999996</v>
      </c>
      <c r="Q118" s="104">
        <f>0.8*Q117*(1-0.8)*Q115</f>
        <v>19.199999999999996</v>
      </c>
      <c r="R118" s="104"/>
      <c r="S118" s="416"/>
      <c r="T118" t="s">
        <v>605</v>
      </c>
    </row>
    <row r="119" spans="10:21" hidden="1" x14ac:dyDescent="0.3">
      <c r="J119" s="408" t="s">
        <v>606</v>
      </c>
      <c r="K119" s="408"/>
      <c r="L119" s="408"/>
      <c r="M119" s="104" t="e">
        <f>M116*M118*M114</f>
        <v>#REF!</v>
      </c>
      <c r="N119" s="104" t="e">
        <f>N116*N118*N114</f>
        <v>#REF!</v>
      </c>
      <c r="O119" s="104" t="e">
        <f>O116*O118*O114</f>
        <v>#REF!</v>
      </c>
      <c r="P119" s="104" t="e">
        <f>P116*P118*P114</f>
        <v>#REF!</v>
      </c>
      <c r="Q119" s="104" t="e">
        <f>Q116*Q118*Q114</f>
        <v>#REF!</v>
      </c>
      <c r="R119" s="104"/>
      <c r="S119" s="131" t="e">
        <f>SUM(M119:Q119)</f>
        <v>#REF!</v>
      </c>
    </row>
    <row r="120" spans="10:21" hidden="1" x14ac:dyDescent="0.3"/>
    <row r="121" spans="10:21" hidden="1" x14ac:dyDescent="0.3">
      <c r="J121" s="409" t="s">
        <v>607</v>
      </c>
      <c r="K121" s="409"/>
      <c r="L121" s="409"/>
      <c r="M121" s="409"/>
      <c r="N121" s="409"/>
      <c r="O121" s="409"/>
      <c r="P121" s="409"/>
      <c r="Q121" s="409"/>
      <c r="R121" s="409"/>
      <c r="S121" s="409"/>
    </row>
    <row r="122" spans="10:21" hidden="1" x14ac:dyDescent="0.3">
      <c r="J122" s="410" t="s">
        <v>608</v>
      </c>
      <c r="K122" s="410"/>
      <c r="L122" s="410"/>
      <c r="M122" s="410"/>
      <c r="N122" s="410"/>
      <c r="O122" s="410"/>
      <c r="P122" s="410"/>
      <c r="Q122" s="410"/>
      <c r="R122" s="410"/>
      <c r="S122" s="131" t="e">
        <f>S110+S119</f>
        <v>#REF!</v>
      </c>
    </row>
    <row r="123" spans="10:21" hidden="1" x14ac:dyDescent="0.3"/>
    <row r="124" spans="10:21" hidden="1" x14ac:dyDescent="0.3">
      <c r="J124" s="409" t="s">
        <v>609</v>
      </c>
      <c r="K124" s="409"/>
      <c r="L124" s="409"/>
      <c r="M124" s="409"/>
      <c r="N124" s="409"/>
      <c r="O124" s="409"/>
      <c r="P124" s="409"/>
      <c r="Q124" s="409"/>
      <c r="R124" s="409"/>
      <c r="S124" s="409"/>
    </row>
    <row r="125" spans="10:21" hidden="1" x14ac:dyDescent="0.3">
      <c r="J125" s="405" t="s">
        <v>610</v>
      </c>
      <c r="K125" s="406"/>
      <c r="L125" s="406"/>
      <c r="M125" s="406"/>
      <c r="N125" s="406"/>
      <c r="O125" s="406"/>
      <c r="P125" s="406"/>
      <c r="Q125" s="406"/>
      <c r="R125" s="407"/>
      <c r="S125" s="131" t="e">
        <f>S105*(20-G21)*G20*0.024-0.95*S122</f>
        <v>#REF!</v>
      </c>
    </row>
    <row r="126" spans="10:21" hidden="1" x14ac:dyDescent="0.3"/>
    <row r="127" spans="10:21" x14ac:dyDescent="0.3">
      <c r="J127" s="409" t="s">
        <v>611</v>
      </c>
      <c r="K127" s="409"/>
      <c r="L127" s="409"/>
      <c r="M127" s="409"/>
      <c r="N127" s="409"/>
      <c r="O127" s="409"/>
      <c r="P127" s="409"/>
      <c r="Q127" s="409"/>
      <c r="R127" s="409"/>
      <c r="S127" s="409"/>
    </row>
    <row r="128" spans="10:21" x14ac:dyDescent="0.3">
      <c r="J128" s="405" t="s">
        <v>612</v>
      </c>
      <c r="K128" s="406"/>
      <c r="L128" s="406"/>
      <c r="M128" s="406"/>
      <c r="N128" s="406"/>
      <c r="O128" s="406"/>
      <c r="P128" s="406"/>
      <c r="Q128" s="406"/>
      <c r="R128" s="407"/>
      <c r="S128" s="131" t="e">
        <f>S125/D12</f>
        <v>#REF!</v>
      </c>
      <c r="T128" t="s">
        <v>613</v>
      </c>
    </row>
    <row r="129" spans="19:21" x14ac:dyDescent="0.3">
      <c r="S129">
        <f>(25200*(V76/D11))</f>
        <v>3.0424739953557075E-3</v>
      </c>
      <c r="T129">
        <v>1.4</v>
      </c>
      <c r="U129">
        <v>1.0980000000000001</v>
      </c>
    </row>
  </sheetData>
  <mergeCells count="154">
    <mergeCell ref="B8:D8"/>
    <mergeCell ref="K8:N8"/>
    <mergeCell ref="B2:D2"/>
    <mergeCell ref="J2:S2"/>
    <mergeCell ref="K13:N13"/>
    <mergeCell ref="X13:AA13"/>
    <mergeCell ref="K14:N14"/>
    <mergeCell ref="AN14:AO14"/>
    <mergeCell ref="AQ14:AR14"/>
    <mergeCell ref="X2:AI2"/>
    <mergeCell ref="C3:D3"/>
    <mergeCell ref="J3:N4"/>
    <mergeCell ref="C4:D4"/>
    <mergeCell ref="C5:D5"/>
    <mergeCell ref="K5:N5"/>
    <mergeCell ref="C6:D6"/>
    <mergeCell ref="K6:N6"/>
    <mergeCell ref="K7:N7"/>
    <mergeCell ref="K15:N15"/>
    <mergeCell ref="AK15:AL15"/>
    <mergeCell ref="K9:N9"/>
    <mergeCell ref="K10:N10"/>
    <mergeCell ref="AK10:AL10"/>
    <mergeCell ref="AN10:AO10"/>
    <mergeCell ref="K11:N11"/>
    <mergeCell ref="K12:N12"/>
    <mergeCell ref="B20:C20"/>
    <mergeCell ref="K20:N20"/>
    <mergeCell ref="B21:C21"/>
    <mergeCell ref="K21:N21"/>
    <mergeCell ref="B22:C22"/>
    <mergeCell ref="K22:N22"/>
    <mergeCell ref="K16:N16"/>
    <mergeCell ref="K17:N17"/>
    <mergeCell ref="AN17:AO17"/>
    <mergeCell ref="B18:G18"/>
    <mergeCell ref="K18:N18"/>
    <mergeCell ref="B19:C19"/>
    <mergeCell ref="K19:N19"/>
    <mergeCell ref="K29:N29"/>
    <mergeCell ref="X29:AI29"/>
    <mergeCell ref="K30:N30"/>
    <mergeCell ref="K31:N31"/>
    <mergeCell ref="K32:N32"/>
    <mergeCell ref="K33:N33"/>
    <mergeCell ref="K23:N23"/>
    <mergeCell ref="K24:N24"/>
    <mergeCell ref="K25:N25"/>
    <mergeCell ref="K26:N26"/>
    <mergeCell ref="K27:N27"/>
    <mergeCell ref="K28:N28"/>
    <mergeCell ref="K38:N38"/>
    <mergeCell ref="K39:N39"/>
    <mergeCell ref="K40:N40"/>
    <mergeCell ref="X40:AA40"/>
    <mergeCell ref="K41:N41"/>
    <mergeCell ref="AN41:AO41"/>
    <mergeCell ref="K34:N34"/>
    <mergeCell ref="K35:N35"/>
    <mergeCell ref="K36:N36"/>
    <mergeCell ref="K37:N37"/>
    <mergeCell ref="AK37:AL37"/>
    <mergeCell ref="AN37:AO37"/>
    <mergeCell ref="X56:AI56"/>
    <mergeCell ref="K46:N46"/>
    <mergeCell ref="K47:N47"/>
    <mergeCell ref="K48:N48"/>
    <mergeCell ref="K49:N49"/>
    <mergeCell ref="K50:N50"/>
    <mergeCell ref="K51:N51"/>
    <mergeCell ref="AQ41:AR41"/>
    <mergeCell ref="K42:N42"/>
    <mergeCell ref="K43:N43"/>
    <mergeCell ref="AK43:AL43"/>
    <mergeCell ref="K44:N44"/>
    <mergeCell ref="K45:N45"/>
    <mergeCell ref="K57:N57"/>
    <mergeCell ref="K58:N58"/>
    <mergeCell ref="K59:N59"/>
    <mergeCell ref="K60:N60"/>
    <mergeCell ref="K61:N61"/>
    <mergeCell ref="K62:N62"/>
    <mergeCell ref="K52:N52"/>
    <mergeCell ref="K53:N53"/>
    <mergeCell ref="K54:N54"/>
    <mergeCell ref="K55:N55"/>
    <mergeCell ref="K56:N56"/>
    <mergeCell ref="AN68:AO68"/>
    <mergeCell ref="AQ68:AR68"/>
    <mergeCell ref="K69:N69"/>
    <mergeCell ref="K63:N63"/>
    <mergeCell ref="K64:N64"/>
    <mergeCell ref="AK64:AL64"/>
    <mergeCell ref="AN64:AO64"/>
    <mergeCell ref="K65:N65"/>
    <mergeCell ref="K66:N66"/>
    <mergeCell ref="K70:N70"/>
    <mergeCell ref="AK70:AL70"/>
    <mergeCell ref="K71:N71"/>
    <mergeCell ref="K72:N72"/>
    <mergeCell ref="K73:N73"/>
    <mergeCell ref="K74:N74"/>
    <mergeCell ref="K67:N67"/>
    <mergeCell ref="X67:AA67"/>
    <mergeCell ref="K68:N68"/>
    <mergeCell ref="K75:N75"/>
    <mergeCell ref="K76:M76"/>
    <mergeCell ref="Q76:R76"/>
    <mergeCell ref="J78:S78"/>
    <mergeCell ref="J79:L82"/>
    <mergeCell ref="O79:S79"/>
    <mergeCell ref="P80:Q80"/>
    <mergeCell ref="M81:N82"/>
    <mergeCell ref="P81:Q81"/>
    <mergeCell ref="P82:Q82"/>
    <mergeCell ref="J88:S88"/>
    <mergeCell ref="J89:P89"/>
    <mergeCell ref="J91:S91"/>
    <mergeCell ref="J92:R92"/>
    <mergeCell ref="J93:R93"/>
    <mergeCell ref="J94:R94"/>
    <mergeCell ref="J83:M83"/>
    <mergeCell ref="N83:R83"/>
    <mergeCell ref="J84:M84"/>
    <mergeCell ref="N84:R84"/>
    <mergeCell ref="J86:P86"/>
    <mergeCell ref="R87:S87"/>
    <mergeCell ref="J105:R105"/>
    <mergeCell ref="J107:S107"/>
    <mergeCell ref="J108:R108"/>
    <mergeCell ref="S108:S109"/>
    <mergeCell ref="L109:R109"/>
    <mergeCell ref="L110:R110"/>
    <mergeCell ref="J95:R95"/>
    <mergeCell ref="J96:R96"/>
    <mergeCell ref="J98:S98"/>
    <mergeCell ref="R99:R102"/>
    <mergeCell ref="S99:S101"/>
    <mergeCell ref="J104:S104"/>
    <mergeCell ref="J128:R128"/>
    <mergeCell ref="J119:L119"/>
    <mergeCell ref="J121:S121"/>
    <mergeCell ref="J122:R122"/>
    <mergeCell ref="J124:S124"/>
    <mergeCell ref="J125:R125"/>
    <mergeCell ref="J127:S127"/>
    <mergeCell ref="J112:S112"/>
    <mergeCell ref="J113:L113"/>
    <mergeCell ref="S113:S118"/>
    <mergeCell ref="J114:L114"/>
    <mergeCell ref="J115:L115"/>
    <mergeCell ref="J116:L116"/>
    <mergeCell ref="J117:L117"/>
    <mergeCell ref="J118:L118"/>
  </mergeCells>
  <dataValidations count="4">
    <dataValidation type="whole" allowBlank="1" showInputMessage="1" showErrorMessage="1" errorTitle="Rok spracovania EA" error="Zadajte štvorciferné celé číslo väčšie ako 2000 a menšie ako 2020." sqref="C6:D6" xr:uid="{00000000-0002-0000-0D00-000000000000}">
      <formula1>2011</formula1>
      <formula2>2020</formula2>
    </dataValidation>
    <dataValidation type="decimal" operator="greaterThanOrEqual" allowBlank="1" showInputMessage="1" showErrorMessage="1" errorTitle="POZOR" error="zadaj číslo &gt;=0" sqref="D9:D12 D16" xr:uid="{00000000-0002-0000-0D00-000001000000}">
      <formula1>0</formula1>
    </dataValidation>
    <dataValidation type="list" allowBlank="1" showInputMessage="1" showErrorMessage="1" sqref="S80" xr:uid="{00000000-0002-0000-0D00-000002000000}">
      <formula1>$O$80:$O$82</formula1>
    </dataValidation>
    <dataValidation allowBlank="1" showInputMessage="1" showErrorMessage="1" errorTitle="Hygienické minimum" error="Priemerná intenzita výmeny vzduchu nižšia ako hygienické minimum. Voliť minimum 0,5 l/h." sqref="S95" xr:uid="{00000000-0002-0000-0D00-000003000000}"/>
  </dataValidations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D00-000004000000}">
          <x14:formula1>
            <xm:f>VstupneUdaje!$L$2:$L$10</xm:f>
          </x14:formula1>
          <xm:sqref>C5:D5</xm:sqref>
        </x14:dataValidation>
        <x14:dataValidation type="list" allowBlank="1" showInputMessage="1" showErrorMessage="1" xr:uid="{00000000-0002-0000-0D00-000005000000}">
          <x14:formula1>
            <xm:f>Dennostupne!$B$3:$B$81</xm:f>
          </x14:formula1>
          <xm:sqref>C3:D3</xm:sqref>
        </x14:dataValidation>
        <x14:dataValidation type="list" allowBlank="1" showInputMessage="1" showErrorMessage="1" prompt="Bytové domy = 5 W/m2_x000a_Rodinné domy = 4 W/m2_x000a_Ostatné = 6 W/m2" xr:uid="{00000000-0002-0000-0D00-000006000000}">
          <x14:formula1>
            <xm:f>VstupneUdaje!$BI$2:$BI$4</xm:f>
          </x14:formula1>
          <xm:sqref>K110</xm:sqref>
        </x14:dataValidation>
        <x14:dataValidation type="list" allowBlank="1" showInputMessage="1" showErrorMessage="1" xr:uid="{00000000-0002-0000-0D00-000007000000}">
          <x14:formula1>
            <xm:f>VstupneUdaje!$M$28:$M$40</xm:f>
          </x14:formula1>
          <xm:sqref>R5:R75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59999389629810485"/>
  </sheetPr>
  <dimension ref="A1:M19"/>
  <sheetViews>
    <sheetView zoomScaleNormal="100" workbookViewId="0">
      <selection activeCell="F5" sqref="F5"/>
    </sheetView>
  </sheetViews>
  <sheetFormatPr defaultColWidth="8.6640625" defaultRowHeight="14.4" x14ac:dyDescent="0.3"/>
  <cols>
    <col min="1" max="1" width="15.88671875" customWidth="1"/>
    <col min="2" max="2" width="10.6640625" customWidth="1"/>
    <col min="3" max="3" width="12.88671875" bestFit="1" customWidth="1"/>
    <col min="4" max="4" width="10.5546875" customWidth="1"/>
    <col min="5" max="5" width="12.88671875" customWidth="1"/>
    <col min="6" max="6" width="12" customWidth="1"/>
    <col min="7" max="7" width="12" bestFit="1" customWidth="1"/>
    <col min="8" max="8" width="8.88671875" bestFit="1" customWidth="1"/>
    <col min="9" max="9" width="14" bestFit="1" customWidth="1"/>
    <col min="10" max="10" width="9.44140625" bestFit="1" customWidth="1"/>
    <col min="11" max="11" width="15.109375" bestFit="1" customWidth="1"/>
    <col min="12" max="12" width="15.5546875" customWidth="1"/>
  </cols>
  <sheetData>
    <row r="1" spans="1:13" x14ac:dyDescent="0.3">
      <c r="A1" s="306" t="s">
        <v>815</v>
      </c>
      <c r="B1" s="306"/>
      <c r="C1" s="306"/>
      <c r="D1" s="306"/>
    </row>
    <row r="2" spans="1:13" ht="15" thickBot="1" x14ac:dyDescent="0.35">
      <c r="A2" s="274"/>
      <c r="B2" s="292"/>
      <c r="C2" s="292"/>
      <c r="D2" s="292"/>
      <c r="E2" s="292"/>
      <c r="F2" s="292"/>
      <c r="G2" s="292"/>
      <c r="I2" s="292"/>
    </row>
    <row r="3" spans="1:13" ht="24.6" x14ac:dyDescent="0.3">
      <c r="A3" s="276" t="s">
        <v>68</v>
      </c>
      <c r="B3" s="299" t="s">
        <v>802</v>
      </c>
      <c r="C3" s="299" t="s">
        <v>803</v>
      </c>
      <c r="D3" s="299" t="s">
        <v>804</v>
      </c>
      <c r="E3" s="299" t="s">
        <v>805</v>
      </c>
      <c r="F3" s="300" t="s">
        <v>806</v>
      </c>
      <c r="G3" s="297" t="s">
        <v>807</v>
      </c>
      <c r="H3" s="294" t="s">
        <v>814</v>
      </c>
      <c r="I3" s="297" t="s">
        <v>808</v>
      </c>
      <c r="J3" s="294" t="s">
        <v>811</v>
      </c>
      <c r="K3" s="286" t="s">
        <v>810</v>
      </c>
      <c r="L3" s="286" t="s">
        <v>809</v>
      </c>
    </row>
    <row r="4" spans="1:13" x14ac:dyDescent="0.3">
      <c r="A4" s="276"/>
      <c r="B4" s="284" t="s">
        <v>538</v>
      </c>
      <c r="C4" s="284" t="s">
        <v>538</v>
      </c>
      <c r="D4" s="284" t="s">
        <v>538</v>
      </c>
      <c r="E4" s="284" t="s">
        <v>538</v>
      </c>
      <c r="F4" s="284" t="s">
        <v>538</v>
      </c>
      <c r="G4" s="287" t="s">
        <v>538</v>
      </c>
      <c r="H4" s="285" t="s">
        <v>84</v>
      </c>
      <c r="I4" s="287" t="s">
        <v>538</v>
      </c>
      <c r="J4" s="285" t="s">
        <v>538</v>
      </c>
      <c r="K4" s="287" t="s">
        <v>538</v>
      </c>
      <c r="L4" s="287" t="s">
        <v>538</v>
      </c>
    </row>
    <row r="5" spans="1:13" x14ac:dyDescent="0.3">
      <c r="A5" s="104" t="s">
        <v>528</v>
      </c>
      <c r="B5" s="279">
        <v>0</v>
      </c>
      <c r="C5" s="277">
        <v>0</v>
      </c>
      <c r="D5" s="277">
        <v>0</v>
      </c>
      <c r="E5" s="277">
        <v>0</v>
      </c>
      <c r="F5" s="293">
        <v>0</v>
      </c>
      <c r="G5" s="288">
        <f t="shared" ref="G5:G16" si="0">IF((B5+C5+D5+E5-F5)&lt;=0,0,(B5+C5+D5+E5-F5))</f>
        <v>0</v>
      </c>
      <c r="H5" s="298">
        <v>0</v>
      </c>
      <c r="I5" s="288" t="e">
        <f>((1-H5)/H5)*G5</f>
        <v>#DIV/0!</v>
      </c>
      <c r="J5" s="295">
        <v>0</v>
      </c>
      <c r="K5" s="288" t="e">
        <f>G5+I5</f>
        <v>#DIV/0!</v>
      </c>
      <c r="L5" s="288">
        <f>J5</f>
        <v>0</v>
      </c>
      <c r="M5" s="185"/>
    </row>
    <row r="6" spans="1:13" x14ac:dyDescent="0.3">
      <c r="A6" s="104" t="s">
        <v>529</v>
      </c>
      <c r="B6" s="279">
        <v>0</v>
      </c>
      <c r="C6" s="277">
        <v>0</v>
      </c>
      <c r="D6" s="277">
        <v>0</v>
      </c>
      <c r="E6" s="277">
        <v>0</v>
      </c>
      <c r="F6" s="293">
        <v>0</v>
      </c>
      <c r="G6" s="288">
        <f t="shared" si="0"/>
        <v>0</v>
      </c>
      <c r="H6" s="298">
        <v>0</v>
      </c>
      <c r="I6" s="288" t="e">
        <f t="shared" ref="I6:I16" si="1">((1-H6)/H6)*G6</f>
        <v>#DIV/0!</v>
      </c>
      <c r="J6" s="295">
        <v>0</v>
      </c>
      <c r="K6" s="288" t="e">
        <f t="shared" ref="K6:K16" si="2">G6+I6</f>
        <v>#DIV/0!</v>
      </c>
      <c r="L6" s="288">
        <f t="shared" ref="L6:L17" si="3">J6</f>
        <v>0</v>
      </c>
    </row>
    <row r="7" spans="1:13" x14ac:dyDescent="0.3">
      <c r="A7" s="104" t="s">
        <v>531</v>
      </c>
      <c r="B7" s="279">
        <v>0</v>
      </c>
      <c r="C7" s="277">
        <v>0</v>
      </c>
      <c r="D7" s="277">
        <v>0</v>
      </c>
      <c r="E7" s="277">
        <v>0</v>
      </c>
      <c r="F7" s="293">
        <v>0</v>
      </c>
      <c r="G7" s="288">
        <f>IF((B7+C7+D7+E7-F7)&lt;=0,0,(B7+C7+D7+E7-F7))</f>
        <v>0</v>
      </c>
      <c r="H7" s="298">
        <v>0</v>
      </c>
      <c r="I7" s="288" t="e">
        <f t="shared" si="1"/>
        <v>#DIV/0!</v>
      </c>
      <c r="J7" s="295">
        <v>0</v>
      </c>
      <c r="K7" s="288" t="e">
        <f t="shared" si="2"/>
        <v>#DIV/0!</v>
      </c>
      <c r="L7" s="288">
        <f t="shared" si="3"/>
        <v>0</v>
      </c>
    </row>
    <row r="8" spans="1:13" x14ac:dyDescent="0.3">
      <c r="A8" s="104" t="s">
        <v>533</v>
      </c>
      <c r="B8" s="279">
        <v>0</v>
      </c>
      <c r="C8" s="277">
        <v>0</v>
      </c>
      <c r="D8" s="277">
        <v>0</v>
      </c>
      <c r="E8" s="277">
        <v>0</v>
      </c>
      <c r="F8" s="293">
        <v>0</v>
      </c>
      <c r="G8" s="288">
        <f t="shared" si="0"/>
        <v>0</v>
      </c>
      <c r="H8" s="298">
        <v>0</v>
      </c>
      <c r="I8" s="288" t="e">
        <f t="shared" si="1"/>
        <v>#DIV/0!</v>
      </c>
      <c r="J8" s="295">
        <v>0</v>
      </c>
      <c r="K8" s="288" t="e">
        <f t="shared" si="2"/>
        <v>#DIV/0!</v>
      </c>
      <c r="L8" s="288">
        <f t="shared" si="3"/>
        <v>0</v>
      </c>
    </row>
    <row r="9" spans="1:13" x14ac:dyDescent="0.3">
      <c r="A9" s="104" t="s">
        <v>550</v>
      </c>
      <c r="B9" s="279">
        <v>0</v>
      </c>
      <c r="C9" s="277">
        <v>0</v>
      </c>
      <c r="D9" s="277">
        <v>0</v>
      </c>
      <c r="E9" s="277">
        <v>0</v>
      </c>
      <c r="F9" s="293">
        <v>0</v>
      </c>
      <c r="G9" s="288">
        <f t="shared" si="0"/>
        <v>0</v>
      </c>
      <c r="H9" s="298">
        <v>0</v>
      </c>
      <c r="I9" s="288" t="e">
        <f t="shared" si="1"/>
        <v>#DIV/0!</v>
      </c>
      <c r="J9" s="295">
        <v>0</v>
      </c>
      <c r="K9" s="288" t="e">
        <f t="shared" si="2"/>
        <v>#DIV/0!</v>
      </c>
      <c r="L9" s="288">
        <f t="shared" si="3"/>
        <v>0</v>
      </c>
    </row>
    <row r="10" spans="1:13" x14ac:dyDescent="0.3">
      <c r="A10" s="104" t="s">
        <v>618</v>
      </c>
      <c r="B10" s="279">
        <v>0</v>
      </c>
      <c r="C10" s="277">
        <v>0</v>
      </c>
      <c r="D10" s="277">
        <v>0</v>
      </c>
      <c r="E10" s="277">
        <v>0</v>
      </c>
      <c r="F10" s="293">
        <v>0</v>
      </c>
      <c r="G10" s="288">
        <f t="shared" si="0"/>
        <v>0</v>
      </c>
      <c r="H10" s="298">
        <v>0</v>
      </c>
      <c r="I10" s="288" t="e">
        <f t="shared" si="1"/>
        <v>#DIV/0!</v>
      </c>
      <c r="J10" s="295">
        <v>0</v>
      </c>
      <c r="K10" s="288" t="e">
        <f t="shared" si="2"/>
        <v>#DIV/0!</v>
      </c>
      <c r="L10" s="288">
        <f t="shared" si="3"/>
        <v>0</v>
      </c>
    </row>
    <row r="11" spans="1:13" x14ac:dyDescent="0.3">
      <c r="A11" s="104" t="s">
        <v>619</v>
      </c>
      <c r="B11" s="279">
        <v>0</v>
      </c>
      <c r="C11" s="277">
        <v>0</v>
      </c>
      <c r="D11" s="277">
        <v>0</v>
      </c>
      <c r="E11" s="277">
        <v>0</v>
      </c>
      <c r="F11" s="293">
        <v>0</v>
      </c>
      <c r="G11" s="288">
        <f t="shared" si="0"/>
        <v>0</v>
      </c>
      <c r="H11" s="298">
        <v>0</v>
      </c>
      <c r="I11" s="288" t="e">
        <f t="shared" si="1"/>
        <v>#DIV/0!</v>
      </c>
      <c r="J11" s="295">
        <v>0</v>
      </c>
      <c r="K11" s="288" t="e">
        <f t="shared" si="2"/>
        <v>#DIV/0!</v>
      </c>
      <c r="L11" s="288">
        <f t="shared" si="3"/>
        <v>0</v>
      </c>
    </row>
    <row r="12" spans="1:13" x14ac:dyDescent="0.3">
      <c r="A12" s="104" t="s">
        <v>620</v>
      </c>
      <c r="B12" s="279">
        <v>0</v>
      </c>
      <c r="C12" s="277">
        <v>0</v>
      </c>
      <c r="D12" s="277">
        <v>0</v>
      </c>
      <c r="E12" s="277">
        <v>0</v>
      </c>
      <c r="F12" s="293">
        <v>0</v>
      </c>
      <c r="G12" s="288">
        <f t="shared" si="0"/>
        <v>0</v>
      </c>
      <c r="H12" s="298">
        <v>0</v>
      </c>
      <c r="I12" s="288" t="e">
        <f t="shared" si="1"/>
        <v>#DIV/0!</v>
      </c>
      <c r="J12" s="295">
        <v>0</v>
      </c>
      <c r="K12" s="288" t="e">
        <f t="shared" si="2"/>
        <v>#DIV/0!</v>
      </c>
      <c r="L12" s="288">
        <f t="shared" si="3"/>
        <v>0</v>
      </c>
    </row>
    <row r="13" spans="1:13" x14ac:dyDescent="0.3">
      <c r="A13" s="104" t="s">
        <v>547</v>
      </c>
      <c r="B13" s="279">
        <v>0</v>
      </c>
      <c r="C13" s="277">
        <v>0</v>
      </c>
      <c r="D13" s="277">
        <v>0</v>
      </c>
      <c r="E13" s="277">
        <v>0</v>
      </c>
      <c r="F13" s="293">
        <v>0</v>
      </c>
      <c r="G13" s="288">
        <f t="shared" si="0"/>
        <v>0</v>
      </c>
      <c r="H13" s="298">
        <v>0</v>
      </c>
      <c r="I13" s="288" t="e">
        <f t="shared" si="1"/>
        <v>#DIV/0!</v>
      </c>
      <c r="J13" s="295">
        <v>0</v>
      </c>
      <c r="K13" s="288" t="e">
        <f t="shared" si="2"/>
        <v>#DIV/0!</v>
      </c>
      <c r="L13" s="288">
        <f t="shared" si="3"/>
        <v>0</v>
      </c>
    </row>
    <row r="14" spans="1:13" x14ac:dyDescent="0.3">
      <c r="A14" s="104" t="s">
        <v>525</v>
      </c>
      <c r="B14" s="279">
        <v>0</v>
      </c>
      <c r="C14" s="277">
        <v>0</v>
      </c>
      <c r="D14" s="277">
        <v>0</v>
      </c>
      <c r="E14" s="277">
        <v>0</v>
      </c>
      <c r="F14" s="293">
        <v>0</v>
      </c>
      <c r="G14" s="288">
        <f t="shared" si="0"/>
        <v>0</v>
      </c>
      <c r="H14" s="298">
        <v>0</v>
      </c>
      <c r="I14" s="288" t="e">
        <f t="shared" si="1"/>
        <v>#DIV/0!</v>
      </c>
      <c r="J14" s="295">
        <v>0</v>
      </c>
      <c r="K14" s="288" t="e">
        <f t="shared" si="2"/>
        <v>#DIV/0!</v>
      </c>
      <c r="L14" s="288">
        <f t="shared" si="3"/>
        <v>0</v>
      </c>
    </row>
    <row r="15" spans="1:13" x14ac:dyDescent="0.3">
      <c r="A15" s="104" t="s">
        <v>526</v>
      </c>
      <c r="B15" s="279">
        <v>0</v>
      </c>
      <c r="C15" s="277">
        <v>0</v>
      </c>
      <c r="D15" s="277">
        <v>0</v>
      </c>
      <c r="E15" s="277">
        <v>0</v>
      </c>
      <c r="F15" s="293">
        <v>0</v>
      </c>
      <c r="G15" s="288">
        <f t="shared" si="0"/>
        <v>0</v>
      </c>
      <c r="H15" s="298">
        <v>0</v>
      </c>
      <c r="I15" s="288" t="e">
        <f t="shared" si="1"/>
        <v>#DIV/0!</v>
      </c>
      <c r="J15" s="295">
        <v>0</v>
      </c>
      <c r="K15" s="288" t="e">
        <f t="shared" si="2"/>
        <v>#DIV/0!</v>
      </c>
      <c r="L15" s="288">
        <f t="shared" si="3"/>
        <v>0</v>
      </c>
    </row>
    <row r="16" spans="1:13" x14ac:dyDescent="0.3">
      <c r="A16" s="104" t="s">
        <v>527</v>
      </c>
      <c r="B16" s="279">
        <v>0</v>
      </c>
      <c r="C16" s="277">
        <v>0</v>
      </c>
      <c r="D16" s="277">
        <v>0</v>
      </c>
      <c r="E16" s="277">
        <v>0</v>
      </c>
      <c r="F16" s="293">
        <v>0</v>
      </c>
      <c r="G16" s="288">
        <f t="shared" si="0"/>
        <v>0</v>
      </c>
      <c r="H16" s="298">
        <v>0</v>
      </c>
      <c r="I16" s="288" t="e">
        <f t="shared" si="1"/>
        <v>#DIV/0!</v>
      </c>
      <c r="J16" s="295">
        <v>0</v>
      </c>
      <c r="K16" s="288" t="e">
        <f t="shared" si="2"/>
        <v>#DIV/0!</v>
      </c>
      <c r="L16" s="288">
        <f t="shared" si="3"/>
        <v>0</v>
      </c>
    </row>
    <row r="17" spans="1:12" ht="15" thickBot="1" x14ac:dyDescent="0.35">
      <c r="A17" s="278" t="s">
        <v>800</v>
      </c>
      <c r="B17" s="275">
        <f t="shared" ref="B17:G17" si="4">SUM(B5:B16)</f>
        <v>0</v>
      </c>
      <c r="C17" s="275">
        <f t="shared" si="4"/>
        <v>0</v>
      </c>
      <c r="D17" s="275">
        <f t="shared" si="4"/>
        <v>0</v>
      </c>
      <c r="E17" s="275">
        <f t="shared" si="4"/>
        <v>0</v>
      </c>
      <c r="F17" s="290">
        <f t="shared" si="4"/>
        <v>0</v>
      </c>
      <c r="G17" s="291">
        <f t="shared" si="4"/>
        <v>0</v>
      </c>
      <c r="H17" s="296"/>
      <c r="I17" s="291" t="e">
        <f>SUM(I5:I16)</f>
        <v>#DIV/0!</v>
      </c>
      <c r="J17" s="296">
        <f>SUM(J5:J16)</f>
        <v>0</v>
      </c>
      <c r="K17" s="291" t="e">
        <f>SUM(K5:K16)</f>
        <v>#DIV/0!</v>
      </c>
      <c r="L17" s="289">
        <f t="shared" si="3"/>
        <v>0</v>
      </c>
    </row>
    <row r="19" spans="1:12" x14ac:dyDescent="0.3">
      <c r="I19" s="280"/>
      <c r="J19" s="282"/>
      <c r="K19" s="28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79998168889431442"/>
  </sheetPr>
  <dimension ref="A1:N21"/>
  <sheetViews>
    <sheetView zoomScaleNormal="100" workbookViewId="0">
      <selection activeCell="D7" sqref="D7"/>
    </sheetView>
  </sheetViews>
  <sheetFormatPr defaultColWidth="8.6640625" defaultRowHeight="14.4" x14ac:dyDescent="0.3"/>
  <cols>
    <col min="1" max="1" width="9.5546875" customWidth="1"/>
    <col min="2" max="2" width="7.5546875" bestFit="1" customWidth="1"/>
    <col min="3" max="4" width="12.88671875" customWidth="1"/>
    <col min="5" max="5" width="12" bestFit="1" customWidth="1"/>
    <col min="6" max="6" width="8.6640625" customWidth="1"/>
    <col min="7" max="7" width="12" customWidth="1"/>
    <col min="8" max="8" width="13.5546875" customWidth="1"/>
    <col min="12" max="12" width="11.109375" bestFit="1" customWidth="1"/>
    <col min="13" max="13" width="15.109375" bestFit="1" customWidth="1"/>
    <col min="14" max="14" width="15.88671875" bestFit="1" customWidth="1"/>
  </cols>
  <sheetData>
    <row r="1" spans="1:14" x14ac:dyDescent="0.3">
      <c r="A1" s="306" t="s">
        <v>816</v>
      </c>
      <c r="B1" s="306"/>
      <c r="C1" s="306"/>
      <c r="D1" s="306"/>
    </row>
    <row r="2" spans="1:14" ht="15" thickBot="1" x14ac:dyDescent="0.35">
      <c r="A2" s="274"/>
      <c r="F2" s="301"/>
      <c r="G2" s="302"/>
      <c r="I2" s="117"/>
      <c r="L2" s="301"/>
    </row>
    <row r="3" spans="1:14" ht="24.6" x14ac:dyDescent="0.3">
      <c r="A3" s="276" t="s">
        <v>68</v>
      </c>
      <c r="B3" s="299" t="s">
        <v>802</v>
      </c>
      <c r="C3" s="299" t="s">
        <v>804</v>
      </c>
      <c r="D3" s="300" t="s">
        <v>805</v>
      </c>
      <c r="E3" s="297" t="s">
        <v>807</v>
      </c>
      <c r="F3" s="305" t="s">
        <v>801</v>
      </c>
      <c r="G3" s="303" t="s">
        <v>812</v>
      </c>
      <c r="H3" s="303" t="s">
        <v>813</v>
      </c>
      <c r="I3" s="294" t="s">
        <v>814</v>
      </c>
      <c r="J3" s="299" t="s">
        <v>808</v>
      </c>
      <c r="K3" s="294" t="s">
        <v>811</v>
      </c>
      <c r="L3" s="284" t="s">
        <v>817</v>
      </c>
      <c r="M3" s="286" t="s">
        <v>810</v>
      </c>
      <c r="N3" s="286" t="s">
        <v>809</v>
      </c>
    </row>
    <row r="4" spans="1:14" x14ac:dyDescent="0.3">
      <c r="A4" s="276"/>
      <c r="B4" s="284" t="s">
        <v>538</v>
      </c>
      <c r="C4" s="284" t="s">
        <v>538</v>
      </c>
      <c r="D4" s="284" t="s">
        <v>538</v>
      </c>
      <c r="E4" s="287" t="s">
        <v>538</v>
      </c>
      <c r="F4" s="285" t="s">
        <v>538</v>
      </c>
      <c r="G4" s="287" t="s">
        <v>538</v>
      </c>
      <c r="H4" s="287" t="s">
        <v>538</v>
      </c>
      <c r="I4" s="285" t="s">
        <v>84</v>
      </c>
      <c r="J4" s="283" t="s">
        <v>538</v>
      </c>
      <c r="K4" s="285" t="s">
        <v>538</v>
      </c>
      <c r="L4" s="284" t="s">
        <v>538</v>
      </c>
      <c r="M4" s="287" t="s">
        <v>538</v>
      </c>
      <c r="N4" s="287" t="s">
        <v>538</v>
      </c>
    </row>
    <row r="5" spans="1:14" x14ac:dyDescent="0.3">
      <c r="A5" s="104" t="s">
        <v>528</v>
      </c>
      <c r="B5" s="277">
        <v>0</v>
      </c>
      <c r="C5" s="277">
        <v>0</v>
      </c>
      <c r="D5" s="293">
        <v>0</v>
      </c>
      <c r="E5" s="288">
        <f>B5+C5+D5</f>
        <v>0</v>
      </c>
      <c r="F5" s="295">
        <v>0</v>
      </c>
      <c r="G5" s="304">
        <f>E5-F5</f>
        <v>0</v>
      </c>
      <c r="H5" s="288">
        <f>IF((G5-F5)&lt;0,0,(G5-F5))</f>
        <v>0</v>
      </c>
      <c r="I5" s="298">
        <v>0.92</v>
      </c>
      <c r="J5" s="273">
        <f t="shared" ref="J5:J16" si="0">((1-I5)/I5)*H5</f>
        <v>0</v>
      </c>
      <c r="K5" s="295">
        <v>0</v>
      </c>
      <c r="L5" s="293">
        <v>0</v>
      </c>
      <c r="M5" s="288">
        <f t="shared" ref="M5:M16" si="1">H5+J5</f>
        <v>0</v>
      </c>
      <c r="N5" s="288">
        <f>K5+L5</f>
        <v>0</v>
      </c>
    </row>
    <row r="6" spans="1:14" x14ac:dyDescent="0.3">
      <c r="A6" s="104" t="s">
        <v>529</v>
      </c>
      <c r="B6" s="277">
        <v>0</v>
      </c>
      <c r="C6" s="277">
        <v>0</v>
      </c>
      <c r="D6" s="293">
        <v>0</v>
      </c>
      <c r="E6" s="288">
        <f t="shared" ref="E6:E16" si="2">B6+C6+D6</f>
        <v>0</v>
      </c>
      <c r="F6" s="295">
        <v>0</v>
      </c>
      <c r="G6" s="304">
        <f>E6-F6</f>
        <v>0</v>
      </c>
      <c r="H6" s="288">
        <f t="shared" ref="H6:H16" si="3">IF((G6-F6)&lt;0,0,(G6-F6))</f>
        <v>0</v>
      </c>
      <c r="I6" s="298">
        <v>0.92</v>
      </c>
      <c r="J6" s="273">
        <f t="shared" si="0"/>
        <v>0</v>
      </c>
      <c r="K6" s="295">
        <v>0</v>
      </c>
      <c r="L6" s="293">
        <v>0</v>
      </c>
      <c r="M6" s="288">
        <f t="shared" si="1"/>
        <v>0</v>
      </c>
      <c r="N6" s="288">
        <f t="shared" ref="N6:N17" si="4">K6+L6</f>
        <v>0</v>
      </c>
    </row>
    <row r="7" spans="1:14" x14ac:dyDescent="0.3">
      <c r="A7" s="104" t="s">
        <v>531</v>
      </c>
      <c r="B7" s="277">
        <v>0</v>
      </c>
      <c r="C7" s="277">
        <v>0</v>
      </c>
      <c r="D7" s="293">
        <v>0</v>
      </c>
      <c r="E7" s="288">
        <f t="shared" si="2"/>
        <v>0</v>
      </c>
      <c r="F7" s="295">
        <v>0</v>
      </c>
      <c r="G7" s="304">
        <f t="shared" ref="G7:G16" si="5">E7-F7</f>
        <v>0</v>
      </c>
      <c r="H7" s="288">
        <f t="shared" si="3"/>
        <v>0</v>
      </c>
      <c r="I7" s="298">
        <v>0.92</v>
      </c>
      <c r="J7" s="273">
        <f t="shared" si="0"/>
        <v>0</v>
      </c>
      <c r="K7" s="295">
        <v>0</v>
      </c>
      <c r="L7" s="293">
        <v>0</v>
      </c>
      <c r="M7" s="288">
        <f t="shared" si="1"/>
        <v>0</v>
      </c>
      <c r="N7" s="288">
        <f t="shared" si="4"/>
        <v>0</v>
      </c>
    </row>
    <row r="8" spans="1:14" x14ac:dyDescent="0.3">
      <c r="A8" s="104" t="s">
        <v>533</v>
      </c>
      <c r="B8" s="277">
        <v>0</v>
      </c>
      <c r="C8" s="277">
        <v>0</v>
      </c>
      <c r="D8" s="293">
        <v>0</v>
      </c>
      <c r="E8" s="288">
        <f t="shared" si="2"/>
        <v>0</v>
      </c>
      <c r="F8" s="295">
        <v>0</v>
      </c>
      <c r="G8" s="304">
        <f t="shared" si="5"/>
        <v>0</v>
      </c>
      <c r="H8" s="288">
        <f t="shared" si="3"/>
        <v>0</v>
      </c>
      <c r="I8" s="298">
        <v>0.92</v>
      </c>
      <c r="J8" s="273">
        <f t="shared" si="0"/>
        <v>0</v>
      </c>
      <c r="K8" s="295">
        <v>0</v>
      </c>
      <c r="L8" s="293">
        <v>0</v>
      </c>
      <c r="M8" s="288">
        <f t="shared" si="1"/>
        <v>0</v>
      </c>
      <c r="N8" s="288">
        <f t="shared" si="4"/>
        <v>0</v>
      </c>
    </row>
    <row r="9" spans="1:14" x14ac:dyDescent="0.3">
      <c r="A9" s="104" t="s">
        <v>550</v>
      </c>
      <c r="B9" s="277">
        <v>0</v>
      </c>
      <c r="C9" s="277">
        <v>0</v>
      </c>
      <c r="D9" s="293">
        <v>0</v>
      </c>
      <c r="E9" s="288">
        <f t="shared" si="2"/>
        <v>0</v>
      </c>
      <c r="F9" s="295">
        <v>0</v>
      </c>
      <c r="G9" s="304">
        <f t="shared" si="5"/>
        <v>0</v>
      </c>
      <c r="H9" s="288">
        <f t="shared" si="3"/>
        <v>0</v>
      </c>
      <c r="I9" s="298">
        <v>0.92</v>
      </c>
      <c r="J9" s="273">
        <f t="shared" si="0"/>
        <v>0</v>
      </c>
      <c r="K9" s="295">
        <v>0</v>
      </c>
      <c r="L9" s="293">
        <v>0</v>
      </c>
      <c r="M9" s="288">
        <f t="shared" si="1"/>
        <v>0</v>
      </c>
      <c r="N9" s="288">
        <f t="shared" si="4"/>
        <v>0</v>
      </c>
    </row>
    <row r="10" spans="1:14" x14ac:dyDescent="0.3">
      <c r="A10" s="104" t="s">
        <v>618</v>
      </c>
      <c r="B10" s="277">
        <v>0</v>
      </c>
      <c r="C10" s="277">
        <v>0</v>
      </c>
      <c r="D10" s="293">
        <v>0</v>
      </c>
      <c r="E10" s="288">
        <f t="shared" si="2"/>
        <v>0</v>
      </c>
      <c r="F10" s="295">
        <v>0</v>
      </c>
      <c r="G10" s="304">
        <f t="shared" si="5"/>
        <v>0</v>
      </c>
      <c r="H10" s="288">
        <f t="shared" si="3"/>
        <v>0</v>
      </c>
      <c r="I10" s="298">
        <v>0.92</v>
      </c>
      <c r="J10" s="273">
        <f t="shared" si="0"/>
        <v>0</v>
      </c>
      <c r="K10" s="295">
        <v>0</v>
      </c>
      <c r="L10" s="293">
        <v>0</v>
      </c>
      <c r="M10" s="288">
        <f t="shared" si="1"/>
        <v>0</v>
      </c>
      <c r="N10" s="288">
        <f t="shared" si="4"/>
        <v>0</v>
      </c>
    </row>
    <row r="11" spans="1:14" x14ac:dyDescent="0.3">
      <c r="A11" s="104" t="s">
        <v>619</v>
      </c>
      <c r="B11" s="277">
        <v>0</v>
      </c>
      <c r="C11" s="277">
        <v>0</v>
      </c>
      <c r="D11" s="293">
        <v>0</v>
      </c>
      <c r="E11" s="288">
        <f t="shared" si="2"/>
        <v>0</v>
      </c>
      <c r="F11" s="295">
        <v>0</v>
      </c>
      <c r="G11" s="304">
        <f>E11-F11</f>
        <v>0</v>
      </c>
      <c r="H11" s="288">
        <f t="shared" si="3"/>
        <v>0</v>
      </c>
      <c r="I11" s="298">
        <v>0.92</v>
      </c>
      <c r="J11" s="273">
        <f t="shared" si="0"/>
        <v>0</v>
      </c>
      <c r="K11" s="295">
        <v>0</v>
      </c>
      <c r="L11" s="293">
        <v>0</v>
      </c>
      <c r="M11" s="288">
        <f t="shared" si="1"/>
        <v>0</v>
      </c>
      <c r="N11" s="288">
        <f t="shared" si="4"/>
        <v>0</v>
      </c>
    </row>
    <row r="12" spans="1:14" x14ac:dyDescent="0.3">
      <c r="A12" s="104" t="s">
        <v>620</v>
      </c>
      <c r="B12" s="277">
        <v>0</v>
      </c>
      <c r="C12" s="277">
        <v>0</v>
      </c>
      <c r="D12" s="293">
        <v>0</v>
      </c>
      <c r="E12" s="288">
        <f t="shared" si="2"/>
        <v>0</v>
      </c>
      <c r="F12" s="295">
        <v>0</v>
      </c>
      <c r="G12" s="304">
        <f t="shared" si="5"/>
        <v>0</v>
      </c>
      <c r="H12" s="288">
        <f t="shared" si="3"/>
        <v>0</v>
      </c>
      <c r="I12" s="298">
        <v>0.92</v>
      </c>
      <c r="J12" s="273">
        <f t="shared" si="0"/>
        <v>0</v>
      </c>
      <c r="K12" s="295">
        <v>0</v>
      </c>
      <c r="L12" s="293">
        <v>0</v>
      </c>
      <c r="M12" s="288">
        <f t="shared" si="1"/>
        <v>0</v>
      </c>
      <c r="N12" s="288">
        <f t="shared" si="4"/>
        <v>0</v>
      </c>
    </row>
    <row r="13" spans="1:14" x14ac:dyDescent="0.3">
      <c r="A13" s="104" t="s">
        <v>547</v>
      </c>
      <c r="B13" s="277">
        <v>0</v>
      </c>
      <c r="C13" s="277">
        <v>0</v>
      </c>
      <c r="D13" s="293">
        <v>0</v>
      </c>
      <c r="E13" s="288">
        <f t="shared" si="2"/>
        <v>0</v>
      </c>
      <c r="F13" s="295">
        <v>0</v>
      </c>
      <c r="G13" s="304">
        <f t="shared" si="5"/>
        <v>0</v>
      </c>
      <c r="H13" s="288">
        <f t="shared" si="3"/>
        <v>0</v>
      </c>
      <c r="I13" s="298">
        <v>0.92</v>
      </c>
      <c r="J13" s="273">
        <f t="shared" si="0"/>
        <v>0</v>
      </c>
      <c r="K13" s="295">
        <v>0</v>
      </c>
      <c r="L13" s="293">
        <v>0</v>
      </c>
      <c r="M13" s="288">
        <f t="shared" si="1"/>
        <v>0</v>
      </c>
      <c r="N13" s="288">
        <f t="shared" si="4"/>
        <v>0</v>
      </c>
    </row>
    <row r="14" spans="1:14" x14ac:dyDescent="0.3">
      <c r="A14" s="104" t="s">
        <v>525</v>
      </c>
      <c r="B14" s="277">
        <v>0</v>
      </c>
      <c r="C14" s="277">
        <v>0</v>
      </c>
      <c r="D14" s="293">
        <v>0</v>
      </c>
      <c r="E14" s="288">
        <f t="shared" si="2"/>
        <v>0</v>
      </c>
      <c r="F14" s="295">
        <v>0</v>
      </c>
      <c r="G14" s="304">
        <f t="shared" si="5"/>
        <v>0</v>
      </c>
      <c r="H14" s="288">
        <f t="shared" si="3"/>
        <v>0</v>
      </c>
      <c r="I14" s="298">
        <v>0.92</v>
      </c>
      <c r="J14" s="273">
        <f t="shared" si="0"/>
        <v>0</v>
      </c>
      <c r="K14" s="295">
        <v>0</v>
      </c>
      <c r="L14" s="293">
        <v>0</v>
      </c>
      <c r="M14" s="288">
        <f t="shared" si="1"/>
        <v>0</v>
      </c>
      <c r="N14" s="288">
        <f t="shared" si="4"/>
        <v>0</v>
      </c>
    </row>
    <row r="15" spans="1:14" x14ac:dyDescent="0.3">
      <c r="A15" s="104" t="s">
        <v>526</v>
      </c>
      <c r="B15" s="277">
        <v>0</v>
      </c>
      <c r="C15" s="277">
        <v>0</v>
      </c>
      <c r="D15" s="293">
        <v>0</v>
      </c>
      <c r="E15" s="288">
        <f t="shared" si="2"/>
        <v>0</v>
      </c>
      <c r="F15" s="295">
        <v>0</v>
      </c>
      <c r="G15" s="304">
        <f t="shared" si="5"/>
        <v>0</v>
      </c>
      <c r="H15" s="288">
        <f t="shared" si="3"/>
        <v>0</v>
      </c>
      <c r="I15" s="298">
        <v>0.92</v>
      </c>
      <c r="J15" s="273">
        <f t="shared" si="0"/>
        <v>0</v>
      </c>
      <c r="K15" s="295">
        <v>0</v>
      </c>
      <c r="L15" s="293">
        <v>0</v>
      </c>
      <c r="M15" s="288">
        <f t="shared" si="1"/>
        <v>0</v>
      </c>
      <c r="N15" s="288">
        <f t="shared" si="4"/>
        <v>0</v>
      </c>
    </row>
    <row r="16" spans="1:14" x14ac:dyDescent="0.3">
      <c r="A16" s="104" t="s">
        <v>527</v>
      </c>
      <c r="B16" s="277">
        <v>0</v>
      </c>
      <c r="C16" s="277">
        <v>0</v>
      </c>
      <c r="D16" s="293">
        <v>0</v>
      </c>
      <c r="E16" s="288">
        <f t="shared" si="2"/>
        <v>0</v>
      </c>
      <c r="F16" s="295">
        <v>0</v>
      </c>
      <c r="G16" s="304">
        <f t="shared" si="5"/>
        <v>0</v>
      </c>
      <c r="H16" s="288">
        <f t="shared" si="3"/>
        <v>0</v>
      </c>
      <c r="I16" s="298">
        <v>0.92</v>
      </c>
      <c r="J16" s="273">
        <f t="shared" si="0"/>
        <v>0</v>
      </c>
      <c r="K16" s="295">
        <v>0</v>
      </c>
      <c r="L16" s="293">
        <v>0</v>
      </c>
      <c r="M16" s="288">
        <f t="shared" si="1"/>
        <v>0</v>
      </c>
      <c r="N16" s="288">
        <f t="shared" si="4"/>
        <v>0</v>
      </c>
    </row>
    <row r="17" spans="1:14" ht="15" thickBot="1" x14ac:dyDescent="0.35">
      <c r="A17" s="278" t="s">
        <v>800</v>
      </c>
      <c r="B17" s="275">
        <f t="shared" ref="B17:H17" si="6">SUM(B5:B16)</f>
        <v>0</v>
      </c>
      <c r="C17" s="275">
        <f t="shared" si="6"/>
        <v>0</v>
      </c>
      <c r="D17" s="290">
        <f t="shared" si="6"/>
        <v>0</v>
      </c>
      <c r="E17" s="291">
        <f t="shared" si="6"/>
        <v>0</v>
      </c>
      <c r="F17" s="296">
        <f t="shared" si="6"/>
        <v>0</v>
      </c>
      <c r="G17" s="291">
        <f t="shared" si="6"/>
        <v>0</v>
      </c>
      <c r="H17" s="291">
        <f t="shared" si="6"/>
        <v>0</v>
      </c>
      <c r="I17" s="296"/>
      <c r="J17" s="275">
        <f>SUM(J5:J16)</f>
        <v>0</v>
      </c>
      <c r="K17" s="275">
        <f>SUM(K5:K16)</f>
        <v>0</v>
      </c>
      <c r="L17" s="290">
        <f>SUM(L5:L16)</f>
        <v>0</v>
      </c>
      <c r="M17" s="291">
        <f>SUM(M5:M16)</f>
        <v>0</v>
      </c>
      <c r="N17" s="289">
        <f t="shared" si="4"/>
        <v>0</v>
      </c>
    </row>
    <row r="19" spans="1:14" x14ac:dyDescent="0.3">
      <c r="J19" s="280"/>
      <c r="K19" s="280"/>
    </row>
    <row r="21" spans="1:14" x14ac:dyDescent="0.3">
      <c r="J21" s="281"/>
      <c r="K21" s="28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E250-2BB0-406A-9350-318C2D5BF01C}">
  <sheetPr>
    <tabColor theme="4" tint="0.59999389629810485"/>
  </sheetPr>
  <dimension ref="A1:M47"/>
  <sheetViews>
    <sheetView tabSelected="1" topLeftCell="A3" zoomScale="110" workbookViewId="0">
      <selection activeCell="L12" sqref="L12:M17"/>
    </sheetView>
  </sheetViews>
  <sheetFormatPr defaultRowHeight="14.4" x14ac:dyDescent="0.3"/>
  <cols>
    <col min="1" max="1" width="14.6640625" customWidth="1"/>
    <col min="2" max="2" width="11.44140625" customWidth="1"/>
    <col min="3" max="3" width="10.33203125" customWidth="1"/>
    <col min="4" max="4" width="10.44140625" customWidth="1"/>
    <col min="5" max="5" width="12.109375" customWidth="1"/>
    <col min="6" max="6" width="11.77734375" bestFit="1" customWidth="1"/>
    <col min="7" max="7" width="11.88671875" bestFit="1" customWidth="1"/>
    <col min="9" max="9" width="23.21875" customWidth="1"/>
    <col min="10" max="10" width="12.44140625" customWidth="1"/>
    <col min="11" max="11" width="9.6640625" customWidth="1"/>
    <col min="12" max="12" width="23.6640625" customWidth="1"/>
    <col min="13" max="13" width="21.33203125" customWidth="1"/>
  </cols>
  <sheetData>
    <row r="1" spans="1:13" x14ac:dyDescent="0.3">
      <c r="A1" s="307" t="s">
        <v>818</v>
      </c>
    </row>
    <row r="2" spans="1:13" x14ac:dyDescent="0.3">
      <c r="A2" s="308"/>
      <c r="B2" t="s">
        <v>819</v>
      </c>
    </row>
    <row r="3" spans="1:13" x14ac:dyDescent="0.3">
      <c r="A3" s="309"/>
      <c r="B3" t="s">
        <v>820</v>
      </c>
    </row>
    <row r="5" spans="1:13" ht="15" thickBot="1" x14ac:dyDescent="0.35">
      <c r="A5" s="307"/>
      <c r="G5" s="310"/>
      <c r="H5" s="310"/>
      <c r="I5" s="310"/>
      <c r="J5" s="310"/>
    </row>
    <row r="6" spans="1:13" ht="29.4" thickBot="1" x14ac:dyDescent="0.35">
      <c r="A6" s="311" t="s">
        <v>821</v>
      </c>
      <c r="B6" s="312" t="s">
        <v>822</v>
      </c>
      <c r="C6" s="313" t="s">
        <v>823</v>
      </c>
      <c r="D6" s="313" t="s">
        <v>824</v>
      </c>
      <c r="E6" s="313" t="s">
        <v>825</v>
      </c>
      <c r="F6" s="313" t="s">
        <v>826</v>
      </c>
      <c r="G6" s="313" t="s">
        <v>827</v>
      </c>
      <c r="I6" s="314" t="s">
        <v>828</v>
      </c>
      <c r="J6" s="315" t="s">
        <v>829</v>
      </c>
      <c r="L6" s="316" t="s">
        <v>822</v>
      </c>
      <c r="M6" s="317" t="s">
        <v>830</v>
      </c>
    </row>
    <row r="7" spans="1:13" ht="15" thickBot="1" x14ac:dyDescent="0.35">
      <c r="A7" s="318"/>
      <c r="B7" s="319"/>
      <c r="C7" s="319" t="s">
        <v>664</v>
      </c>
      <c r="D7" s="320" t="s">
        <v>785</v>
      </c>
      <c r="E7" s="320" t="s">
        <v>654</v>
      </c>
      <c r="F7" s="320" t="s">
        <v>831</v>
      </c>
      <c r="G7" s="320" t="s">
        <v>832</v>
      </c>
      <c r="I7" s="321" t="s">
        <v>833</v>
      </c>
      <c r="J7" s="322">
        <v>1200</v>
      </c>
      <c r="L7" s="479" t="s">
        <v>834</v>
      </c>
      <c r="M7" s="323">
        <v>18</v>
      </c>
    </row>
    <row r="8" spans="1:13" ht="15" thickBot="1" x14ac:dyDescent="0.35">
      <c r="A8" s="324" t="s">
        <v>840</v>
      </c>
      <c r="B8" s="325" t="s">
        <v>841</v>
      </c>
      <c r="C8" s="326"/>
      <c r="D8" s="325"/>
      <c r="E8" s="327">
        <f>C8*D8/1000</f>
        <v>0</v>
      </c>
      <c r="F8" s="328">
        <f ca="1">VLOOKUP(A8, I7:J24, 2, FALSE)</f>
        <v>1000</v>
      </c>
      <c r="G8" s="329">
        <f ca="1">E8*F8/1000</f>
        <v>0</v>
      </c>
      <c r="I8" s="321" t="s">
        <v>836</v>
      </c>
      <c r="J8" s="322">
        <v>1000</v>
      </c>
      <c r="L8" s="480"/>
      <c r="M8" s="323">
        <v>24</v>
      </c>
    </row>
    <row r="9" spans="1:13" ht="15" thickBot="1" x14ac:dyDescent="0.35">
      <c r="A9" s="330"/>
      <c r="B9" s="325"/>
      <c r="C9" s="326"/>
      <c r="D9" s="325"/>
      <c r="E9" s="331">
        <f t="shared" ref="E9:E14" si="0">C9*D9/1000</f>
        <v>0</v>
      </c>
      <c r="F9" s="328" t="e">
        <f t="shared" ref="F9:F14" si="1">VLOOKUP(A9, L8:M25, 2, FALSE)</f>
        <v>#N/A</v>
      </c>
      <c r="G9" s="329" t="e">
        <f t="shared" ref="G9:G14" si="2">E9*F9/1000</f>
        <v>#N/A</v>
      </c>
      <c r="I9" s="321" t="s">
        <v>837</v>
      </c>
      <c r="J9" s="322">
        <v>500</v>
      </c>
      <c r="L9" s="480"/>
      <c r="M9" s="323">
        <v>30</v>
      </c>
    </row>
    <row r="10" spans="1:13" ht="15" thickBot="1" x14ac:dyDescent="0.35">
      <c r="A10" s="330"/>
      <c r="B10" s="325"/>
      <c r="C10" s="326"/>
      <c r="D10" s="325"/>
      <c r="E10" s="331">
        <f t="shared" si="0"/>
        <v>0</v>
      </c>
      <c r="F10" s="328" t="e">
        <f t="shared" si="1"/>
        <v>#N/A</v>
      </c>
      <c r="G10" s="329" t="e">
        <f t="shared" si="2"/>
        <v>#N/A</v>
      </c>
      <c r="I10" s="321" t="s">
        <v>838</v>
      </c>
      <c r="J10" s="322">
        <v>1000</v>
      </c>
      <c r="L10" s="480"/>
      <c r="M10" s="323">
        <v>36</v>
      </c>
    </row>
    <row r="11" spans="1:13" ht="15" thickBot="1" x14ac:dyDescent="0.35">
      <c r="A11" s="330"/>
      <c r="B11" s="325"/>
      <c r="C11" s="326"/>
      <c r="D11" s="325"/>
      <c r="E11" s="331">
        <f t="shared" si="0"/>
        <v>0</v>
      </c>
      <c r="F11" s="328" t="e">
        <f t="shared" si="1"/>
        <v>#N/A</v>
      </c>
      <c r="G11" s="329" t="e">
        <f t="shared" si="2"/>
        <v>#N/A</v>
      </c>
      <c r="I11" s="321" t="s">
        <v>839</v>
      </c>
      <c r="J11" s="322">
        <v>850</v>
      </c>
      <c r="L11" s="481"/>
      <c r="M11" s="323">
        <v>58</v>
      </c>
    </row>
    <row r="12" spans="1:13" ht="15" thickBot="1" x14ac:dyDescent="0.35">
      <c r="A12" s="330"/>
      <c r="B12" s="325"/>
      <c r="C12" s="326"/>
      <c r="D12" s="325"/>
      <c r="E12" s="331">
        <f t="shared" si="0"/>
        <v>0</v>
      </c>
      <c r="F12" s="328" t="e">
        <f t="shared" si="1"/>
        <v>#N/A</v>
      </c>
      <c r="G12" s="329" t="e">
        <f t="shared" si="2"/>
        <v>#N/A</v>
      </c>
      <c r="I12" s="321" t="s">
        <v>840</v>
      </c>
      <c r="J12" s="322">
        <v>500</v>
      </c>
      <c r="L12" s="479" t="s">
        <v>841</v>
      </c>
      <c r="M12" s="323">
        <v>25</v>
      </c>
    </row>
    <row r="13" spans="1:13" ht="15" thickBot="1" x14ac:dyDescent="0.35">
      <c r="A13" s="330"/>
      <c r="B13" s="325"/>
      <c r="C13" s="326"/>
      <c r="D13" s="325"/>
      <c r="E13" s="331">
        <f t="shared" si="0"/>
        <v>0</v>
      </c>
      <c r="F13" s="328" t="e">
        <f t="shared" si="1"/>
        <v>#N/A</v>
      </c>
      <c r="G13" s="329" t="e">
        <f t="shared" si="2"/>
        <v>#N/A</v>
      </c>
      <c r="I13" s="321" t="s">
        <v>842</v>
      </c>
      <c r="J13" s="322">
        <v>600</v>
      </c>
      <c r="L13" s="480"/>
      <c r="M13" s="323">
        <v>40</v>
      </c>
    </row>
    <row r="14" spans="1:13" ht="15" thickBot="1" x14ac:dyDescent="0.35">
      <c r="A14" s="330"/>
      <c r="B14" s="325"/>
      <c r="C14" s="326"/>
      <c r="D14" s="325"/>
      <c r="E14" s="331">
        <f t="shared" si="0"/>
        <v>0</v>
      </c>
      <c r="F14" s="328" t="e">
        <f t="shared" si="1"/>
        <v>#N/A</v>
      </c>
      <c r="G14" s="329" t="e">
        <f t="shared" si="2"/>
        <v>#N/A</v>
      </c>
      <c r="I14" s="321" t="s">
        <v>843</v>
      </c>
      <c r="J14" s="322">
        <v>250</v>
      </c>
      <c r="L14" s="480"/>
      <c r="M14" s="323">
        <v>60</v>
      </c>
    </row>
    <row r="15" spans="1:13" ht="15" thickBot="1" x14ac:dyDescent="0.35">
      <c r="A15" s="332"/>
      <c r="B15" s="333"/>
      <c r="C15" s="333"/>
      <c r="D15" s="334">
        <f>SUM(D8:D14)</f>
        <v>0</v>
      </c>
      <c r="E15" s="334">
        <f t="shared" ref="E15" si="3">SUM(E8:E14)</f>
        <v>0</v>
      </c>
      <c r="F15" s="334"/>
      <c r="G15" s="334" t="e">
        <f ca="1">SUM(G8:G14)</f>
        <v>#N/A</v>
      </c>
      <c r="I15" s="321" t="s">
        <v>844</v>
      </c>
      <c r="J15" s="322">
        <v>250</v>
      </c>
      <c r="L15" s="480"/>
      <c r="M15" s="323">
        <v>75</v>
      </c>
    </row>
    <row r="16" spans="1:13" x14ac:dyDescent="0.3">
      <c r="I16" s="321" t="s">
        <v>845</v>
      </c>
      <c r="J16" s="322">
        <v>850</v>
      </c>
      <c r="L16" s="480"/>
      <c r="M16" s="323">
        <v>100</v>
      </c>
    </row>
    <row r="17" spans="1:13" x14ac:dyDescent="0.3">
      <c r="G17" s="280"/>
      <c r="I17" s="321" t="s">
        <v>846</v>
      </c>
      <c r="J17" s="322">
        <v>1400</v>
      </c>
      <c r="L17" s="481"/>
      <c r="M17" s="323">
        <v>200</v>
      </c>
    </row>
    <row r="18" spans="1:13" x14ac:dyDescent="0.3">
      <c r="H18" s="280"/>
      <c r="I18" s="321" t="s">
        <v>847</v>
      </c>
      <c r="J18" s="322">
        <v>250</v>
      </c>
      <c r="L18" s="482" t="s">
        <v>835</v>
      </c>
      <c r="M18" s="323">
        <v>70</v>
      </c>
    </row>
    <row r="19" spans="1:13" x14ac:dyDescent="0.3">
      <c r="D19" s="280"/>
      <c r="E19" s="280"/>
      <c r="F19" s="280"/>
      <c r="H19" s="280"/>
      <c r="I19" s="321" t="s">
        <v>848</v>
      </c>
      <c r="J19" s="322">
        <v>1500</v>
      </c>
      <c r="L19" s="482"/>
      <c r="M19" s="323">
        <v>100</v>
      </c>
    </row>
    <row r="20" spans="1:13" x14ac:dyDescent="0.3">
      <c r="H20" s="280"/>
      <c r="I20" s="321" t="s">
        <v>849</v>
      </c>
      <c r="J20" s="322">
        <v>1000</v>
      </c>
      <c r="L20" s="482"/>
      <c r="M20" s="323">
        <v>150</v>
      </c>
    </row>
    <row r="21" spans="1:13" x14ac:dyDescent="0.3">
      <c r="A21" s="307"/>
      <c r="H21" s="280"/>
      <c r="I21" s="321" t="s">
        <v>850</v>
      </c>
      <c r="J21" s="322">
        <v>250</v>
      </c>
      <c r="L21" s="482"/>
      <c r="M21" s="323">
        <v>250</v>
      </c>
    </row>
    <row r="22" spans="1:13" ht="15" thickBot="1" x14ac:dyDescent="0.35">
      <c r="H22" s="280"/>
      <c r="I22" s="321" t="s">
        <v>851</v>
      </c>
      <c r="J22" s="322">
        <v>1000</v>
      </c>
      <c r="L22" s="483"/>
      <c r="M22" s="335">
        <v>400</v>
      </c>
    </row>
    <row r="23" spans="1:13" x14ac:dyDescent="0.3">
      <c r="H23" s="280"/>
      <c r="I23" s="321" t="s">
        <v>852</v>
      </c>
      <c r="J23" s="322">
        <v>1000</v>
      </c>
    </row>
    <row r="24" spans="1:13" ht="15" thickBot="1" x14ac:dyDescent="0.35">
      <c r="H24" s="280"/>
      <c r="I24" s="336" t="s">
        <v>853</v>
      </c>
      <c r="J24" s="337">
        <v>1200</v>
      </c>
    </row>
    <row r="25" spans="1:13" x14ac:dyDescent="0.3">
      <c r="H25" s="280"/>
      <c r="L25" s="338"/>
      <c r="M25" s="338"/>
    </row>
    <row r="26" spans="1:13" x14ac:dyDescent="0.3">
      <c r="H26" s="280"/>
      <c r="L26" s="339"/>
      <c r="M26" s="338"/>
    </row>
    <row r="27" spans="1:13" x14ac:dyDescent="0.3">
      <c r="H27" s="280"/>
      <c r="L27" s="338"/>
      <c r="M27" s="338"/>
    </row>
    <row r="28" spans="1:13" x14ac:dyDescent="0.3">
      <c r="L28" s="338"/>
      <c r="M28" s="340"/>
    </row>
    <row r="29" spans="1:13" x14ac:dyDescent="0.3">
      <c r="A29" s="307"/>
      <c r="L29" s="338"/>
      <c r="M29" s="340"/>
    </row>
    <row r="30" spans="1:13" x14ac:dyDescent="0.3">
      <c r="L30" s="338"/>
      <c r="M30" s="340"/>
    </row>
    <row r="31" spans="1:13" x14ac:dyDescent="0.3">
      <c r="L31" s="338"/>
      <c r="M31" s="340"/>
    </row>
    <row r="32" spans="1:13" x14ac:dyDescent="0.3">
      <c r="A32" s="307"/>
      <c r="L32" s="338"/>
      <c r="M32" s="340"/>
    </row>
    <row r="33" spans="12:13" x14ac:dyDescent="0.3">
      <c r="L33" s="338"/>
      <c r="M33" s="340"/>
    </row>
    <row r="34" spans="12:13" x14ac:dyDescent="0.3">
      <c r="L34" s="338"/>
      <c r="M34" s="340"/>
    </row>
    <row r="35" spans="12:13" x14ac:dyDescent="0.3">
      <c r="L35" s="338"/>
      <c r="M35" s="340"/>
    </row>
    <row r="36" spans="12:13" x14ac:dyDescent="0.3">
      <c r="L36" s="338"/>
      <c r="M36" s="340"/>
    </row>
    <row r="37" spans="12:13" x14ac:dyDescent="0.3">
      <c r="L37" s="338"/>
      <c r="M37" s="340"/>
    </row>
    <row r="38" spans="12:13" x14ac:dyDescent="0.3">
      <c r="L38" s="338"/>
      <c r="M38" s="340"/>
    </row>
    <row r="39" spans="12:13" x14ac:dyDescent="0.3">
      <c r="L39" s="338"/>
      <c r="M39" s="340"/>
    </row>
    <row r="40" spans="12:13" x14ac:dyDescent="0.3">
      <c r="L40" s="338"/>
      <c r="M40" s="340"/>
    </row>
    <row r="41" spans="12:13" x14ac:dyDescent="0.3">
      <c r="L41" s="338"/>
      <c r="M41" s="340"/>
    </row>
    <row r="42" spans="12:13" x14ac:dyDescent="0.3">
      <c r="L42" s="338"/>
      <c r="M42" s="340"/>
    </row>
    <row r="43" spans="12:13" x14ac:dyDescent="0.3">
      <c r="L43" s="338"/>
      <c r="M43" s="340"/>
    </row>
    <row r="44" spans="12:13" x14ac:dyDescent="0.3">
      <c r="L44" s="338"/>
      <c r="M44" s="340"/>
    </row>
    <row r="45" spans="12:13" x14ac:dyDescent="0.3">
      <c r="L45" s="338"/>
      <c r="M45" s="340"/>
    </row>
    <row r="46" spans="12:13" x14ac:dyDescent="0.3">
      <c r="L46" s="338"/>
      <c r="M46" s="340"/>
    </row>
    <row r="47" spans="12:13" x14ac:dyDescent="0.3">
      <c r="L47" s="338"/>
      <c r="M47" s="340"/>
    </row>
  </sheetData>
  <mergeCells count="3">
    <mergeCell ref="L7:L11"/>
    <mergeCell ref="L12:L17"/>
    <mergeCell ref="L18:L22"/>
  </mergeCells>
  <dataValidations count="2">
    <dataValidation type="list" allowBlank="1" showInputMessage="1" showErrorMessage="1" sqref="A7:A15" xr:uid="{E1D36BBE-2EB1-4E44-91DC-E94265F04F26}">
      <formula1>$I$7:$I$24</formula1>
    </dataValidation>
    <dataValidation type="list" allowBlank="1" showInputMessage="1" showErrorMessage="1" sqref="B8:B14" xr:uid="{6BED1173-1FE7-43EA-ACC8-37999F91ADE8}">
      <formula1>"žiarivky, žiarovky, výbojky"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79998168889431442"/>
  </sheetPr>
  <dimension ref="A1:V80"/>
  <sheetViews>
    <sheetView topLeftCell="A10" workbookViewId="0">
      <selection activeCell="M7" sqref="M7"/>
    </sheetView>
  </sheetViews>
  <sheetFormatPr defaultRowHeight="14.4" x14ac:dyDescent="0.3"/>
  <cols>
    <col min="1" max="1" width="14.6640625" customWidth="1"/>
    <col min="2" max="2" width="16" customWidth="1"/>
  </cols>
  <sheetData>
    <row r="1" spans="1:22" ht="15" customHeight="1" thickBot="1" x14ac:dyDescent="0.35">
      <c r="A1" s="194" t="s">
        <v>755</v>
      </c>
      <c r="B1" s="520" t="s">
        <v>756</v>
      </c>
      <c r="C1" s="521"/>
      <c r="D1" s="522"/>
      <c r="G1" s="517" t="s">
        <v>757</v>
      </c>
      <c r="H1" s="518"/>
      <c r="I1" s="518"/>
      <c r="J1" s="518"/>
      <c r="K1" s="518"/>
      <c r="L1" s="518"/>
      <c r="M1" s="518"/>
      <c r="N1" s="519"/>
    </row>
    <row r="2" spans="1:22" ht="14.4" customHeight="1" x14ac:dyDescent="0.3">
      <c r="A2" s="195" t="s">
        <v>167</v>
      </c>
      <c r="B2" s="523"/>
      <c r="C2" s="524"/>
      <c r="D2" s="525"/>
      <c r="G2" s="492" t="s">
        <v>68</v>
      </c>
      <c r="H2" s="548" t="s">
        <v>758</v>
      </c>
      <c r="I2" s="486" t="s">
        <v>759</v>
      </c>
      <c r="J2" s="548" t="s">
        <v>760</v>
      </c>
      <c r="K2" s="486" t="s">
        <v>761</v>
      </c>
      <c r="L2" s="486" t="s">
        <v>762</v>
      </c>
      <c r="M2" s="486" t="s">
        <v>723</v>
      </c>
      <c r="N2" s="489" t="s">
        <v>763</v>
      </c>
      <c r="P2" s="492" t="s">
        <v>68</v>
      </c>
      <c r="Q2" s="505" t="s">
        <v>764</v>
      </c>
      <c r="R2" s="484" t="s">
        <v>724</v>
      </c>
      <c r="S2" s="505" t="s">
        <v>763</v>
      </c>
      <c r="T2" s="484" t="s">
        <v>765</v>
      </c>
      <c r="U2" s="495" t="s">
        <v>766</v>
      </c>
      <c r="V2" s="484" t="s">
        <v>767</v>
      </c>
    </row>
    <row r="3" spans="1:22" ht="15" thickBot="1" x14ac:dyDescent="0.35">
      <c r="A3" s="196" t="s">
        <v>68</v>
      </c>
      <c r="B3" s="197" t="s">
        <v>768</v>
      </c>
      <c r="C3" s="197" t="s">
        <v>769</v>
      </c>
      <c r="D3" s="198" t="s">
        <v>770</v>
      </c>
      <c r="G3" s="493"/>
      <c r="H3" s="549"/>
      <c r="I3" s="487"/>
      <c r="J3" s="549"/>
      <c r="K3" s="487"/>
      <c r="L3" s="487"/>
      <c r="M3" s="487"/>
      <c r="N3" s="490"/>
      <c r="P3" s="493"/>
      <c r="Q3" s="506"/>
      <c r="R3" s="485"/>
      <c r="S3" s="506"/>
      <c r="T3" s="485"/>
      <c r="U3" s="496"/>
      <c r="V3" s="485"/>
    </row>
    <row r="4" spans="1:22" x14ac:dyDescent="0.3">
      <c r="A4" s="166" t="s">
        <v>528</v>
      </c>
      <c r="B4" s="175">
        <v>2.83</v>
      </c>
      <c r="C4" s="175">
        <v>3.26</v>
      </c>
      <c r="D4" s="176">
        <v>3.56</v>
      </c>
      <c r="G4" s="493"/>
      <c r="H4" s="549"/>
      <c r="I4" s="487"/>
      <c r="J4" s="549"/>
      <c r="K4" s="487"/>
      <c r="L4" s="487"/>
      <c r="M4" s="487"/>
      <c r="N4" s="490"/>
      <c r="P4" s="493"/>
      <c r="Q4" s="506"/>
      <c r="R4" s="485"/>
      <c r="S4" s="506"/>
      <c r="T4" s="485"/>
      <c r="U4" s="496"/>
      <c r="V4" s="485"/>
    </row>
    <row r="5" spans="1:22" x14ac:dyDescent="0.3">
      <c r="A5" s="163" t="s">
        <v>529</v>
      </c>
      <c r="B5" s="177">
        <v>4.9000000000000004</v>
      </c>
      <c r="C5" s="177">
        <v>5.44</v>
      </c>
      <c r="D5" s="178">
        <v>5.38</v>
      </c>
      <c r="G5" s="493"/>
      <c r="H5" s="550"/>
      <c r="I5" s="488"/>
      <c r="J5" s="550"/>
      <c r="K5" s="488"/>
      <c r="L5" s="488"/>
      <c r="M5" s="488"/>
      <c r="N5" s="491"/>
      <c r="P5" s="493"/>
      <c r="Q5" s="506"/>
      <c r="R5" s="485"/>
      <c r="S5" s="506"/>
      <c r="T5" s="485"/>
      <c r="U5" s="496"/>
      <c r="V5" s="485"/>
    </row>
    <row r="6" spans="1:22" ht="15" thickBot="1" x14ac:dyDescent="0.35">
      <c r="A6" s="163" t="s">
        <v>531</v>
      </c>
      <c r="B6" s="177">
        <v>6.76</v>
      </c>
      <c r="C6" s="177">
        <v>7.1</v>
      </c>
      <c r="D6" s="178">
        <v>7.06</v>
      </c>
      <c r="G6" s="494"/>
      <c r="H6" s="193" t="s">
        <v>705</v>
      </c>
      <c r="I6" s="193" t="s">
        <v>84</v>
      </c>
      <c r="J6" s="193" t="s">
        <v>705</v>
      </c>
      <c r="K6" s="193" t="s">
        <v>104</v>
      </c>
      <c r="L6" s="193" t="s">
        <v>11</v>
      </c>
      <c r="M6" s="193" t="s">
        <v>84</v>
      </c>
      <c r="N6" s="212" t="s">
        <v>705</v>
      </c>
      <c r="P6" s="493"/>
      <c r="Q6" s="193" t="s">
        <v>84</v>
      </c>
      <c r="R6" s="193" t="s">
        <v>538</v>
      </c>
      <c r="S6" s="193" t="s">
        <v>705</v>
      </c>
      <c r="T6" s="193" t="s">
        <v>705</v>
      </c>
      <c r="U6" s="193" t="s">
        <v>538</v>
      </c>
      <c r="V6" s="193" t="s">
        <v>538</v>
      </c>
    </row>
    <row r="7" spans="1:22" x14ac:dyDescent="0.3">
      <c r="A7" s="163" t="s">
        <v>533</v>
      </c>
      <c r="B7" s="177">
        <v>7.92</v>
      </c>
      <c r="C7" s="177">
        <v>8.19</v>
      </c>
      <c r="D7" s="178">
        <v>7.26</v>
      </c>
      <c r="G7" s="208">
        <v>1</v>
      </c>
      <c r="H7" s="184">
        <v>3.26</v>
      </c>
      <c r="I7" s="181">
        <v>0.25</v>
      </c>
      <c r="J7" s="186">
        <f>H7*I7</f>
        <v>0.81499999999999995</v>
      </c>
      <c r="K7" s="181">
        <v>2.1</v>
      </c>
      <c r="L7" s="191">
        <v>416</v>
      </c>
      <c r="M7" s="181">
        <v>0.6</v>
      </c>
      <c r="N7" s="190">
        <f>M7*J7</f>
        <v>0.48899999999999993</v>
      </c>
      <c r="P7" s="187">
        <v>1</v>
      </c>
      <c r="Q7" s="191">
        <v>31</v>
      </c>
      <c r="R7" s="191">
        <f>Q7*L20</f>
        <v>1863.8440000000001</v>
      </c>
      <c r="S7" s="186">
        <f>M7*J7</f>
        <v>0.48899999999999993</v>
      </c>
      <c r="T7" s="186">
        <f>S7*Q7</f>
        <v>15.158999999999997</v>
      </c>
      <c r="U7" s="191">
        <f>Q7*K30*S7</f>
        <v>245.12102999999999</v>
      </c>
      <c r="V7" s="192">
        <f>U7-R7</f>
        <v>-1618.72297</v>
      </c>
    </row>
    <row r="8" spans="1:22" x14ac:dyDescent="0.3">
      <c r="A8" s="163" t="s">
        <v>550</v>
      </c>
      <c r="B8" s="177">
        <v>9.7200000000000006</v>
      </c>
      <c r="C8" s="177">
        <v>9.52</v>
      </c>
      <c r="D8" s="178">
        <v>8.2200000000000006</v>
      </c>
      <c r="G8" s="209">
        <v>2</v>
      </c>
      <c r="H8" s="182">
        <v>5.44</v>
      </c>
      <c r="I8" s="162">
        <v>0.31</v>
      </c>
      <c r="J8" s="177">
        <f t="shared" ref="J8:J18" si="0">H8*I8</f>
        <v>1.6864000000000001</v>
      </c>
      <c r="K8" s="162">
        <v>3.6</v>
      </c>
      <c r="L8" s="172">
        <v>579</v>
      </c>
      <c r="M8" s="162">
        <v>0.6</v>
      </c>
      <c r="N8" s="178">
        <f t="shared" ref="N8:N18" si="1">M8*J8</f>
        <v>1.0118400000000001</v>
      </c>
      <c r="P8" s="188">
        <v>2</v>
      </c>
      <c r="Q8" s="172">
        <v>28</v>
      </c>
      <c r="R8" s="172">
        <f>Q8*L20</f>
        <v>1683.472</v>
      </c>
      <c r="S8" s="177">
        <f t="shared" ref="S8:S18" si="2">M8*J8</f>
        <v>1.0118400000000001</v>
      </c>
      <c r="T8" s="177">
        <f t="shared" ref="T8:T18" si="3">S8*Q8</f>
        <v>28.331520000000001</v>
      </c>
      <c r="U8" s="172">
        <f>Q8*K30*S8</f>
        <v>458.12067840000009</v>
      </c>
      <c r="V8" s="173">
        <f t="shared" ref="V8:V18" si="4">U8-R8</f>
        <v>-1225.3513215999999</v>
      </c>
    </row>
    <row r="9" spans="1:22" x14ac:dyDescent="0.3">
      <c r="A9" s="163" t="s">
        <v>618</v>
      </c>
      <c r="B9" s="177">
        <v>9.98</v>
      </c>
      <c r="C9" s="177">
        <v>9.64</v>
      </c>
      <c r="D9" s="178">
        <v>8.48</v>
      </c>
      <c r="G9" s="210">
        <v>3</v>
      </c>
      <c r="H9" s="182">
        <v>7.1</v>
      </c>
      <c r="I9" s="162">
        <v>0.42</v>
      </c>
      <c r="J9" s="177">
        <f t="shared" si="0"/>
        <v>2.9819999999999998</v>
      </c>
      <c r="K9" s="162">
        <v>8.5</v>
      </c>
      <c r="L9" s="172">
        <v>596</v>
      </c>
      <c r="M9" s="162">
        <v>0.6</v>
      </c>
      <c r="N9" s="178">
        <f t="shared" si="1"/>
        <v>1.7891999999999999</v>
      </c>
      <c r="P9" s="188">
        <v>3</v>
      </c>
      <c r="Q9" s="172">
        <v>31</v>
      </c>
      <c r="R9" s="172">
        <f>Q9*L20</f>
        <v>1863.8440000000001</v>
      </c>
      <c r="S9" s="177">
        <f t="shared" si="2"/>
        <v>1.7891999999999999</v>
      </c>
      <c r="T9" s="177">
        <f t="shared" si="3"/>
        <v>55.465199999999996</v>
      </c>
      <c r="U9" s="172">
        <f>Q9*K30*S9</f>
        <v>896.87228400000004</v>
      </c>
      <c r="V9" s="173">
        <f t="shared" si="4"/>
        <v>-966.97171600000001</v>
      </c>
    </row>
    <row r="10" spans="1:22" x14ac:dyDescent="0.3">
      <c r="A10" s="163" t="s">
        <v>619</v>
      </c>
      <c r="B10" s="177">
        <v>9.7200000000000006</v>
      </c>
      <c r="C10" s="177">
        <v>9.52</v>
      </c>
      <c r="D10" s="178">
        <v>8.2200000000000006</v>
      </c>
      <c r="G10" s="209">
        <v>4</v>
      </c>
      <c r="H10" s="182">
        <v>8.19</v>
      </c>
      <c r="I10" s="162">
        <v>0.53</v>
      </c>
      <c r="J10" s="177">
        <f t="shared" si="0"/>
        <v>4.3407</v>
      </c>
      <c r="K10" s="162">
        <v>13.4</v>
      </c>
      <c r="L10" s="172">
        <v>559</v>
      </c>
      <c r="M10" s="162">
        <v>0.6</v>
      </c>
      <c r="N10" s="178">
        <f t="shared" si="1"/>
        <v>2.6044199999999997</v>
      </c>
      <c r="P10" s="188">
        <v>4</v>
      </c>
      <c r="Q10" s="172">
        <v>30</v>
      </c>
      <c r="R10" s="172">
        <f>Q10*L20</f>
        <v>1803.72</v>
      </c>
      <c r="S10" s="177">
        <f t="shared" si="2"/>
        <v>2.6044199999999997</v>
      </c>
      <c r="T10" s="177">
        <f t="shared" si="3"/>
        <v>78.132599999999996</v>
      </c>
      <c r="U10" s="172">
        <f>Q10*K30*S10</f>
        <v>1263.4041419999999</v>
      </c>
      <c r="V10" s="173">
        <f t="shared" si="4"/>
        <v>-540.31585800000016</v>
      </c>
    </row>
    <row r="11" spans="1:22" x14ac:dyDescent="0.3">
      <c r="A11" s="163" t="s">
        <v>620</v>
      </c>
      <c r="B11" s="177">
        <v>7.92</v>
      </c>
      <c r="C11" s="177">
        <v>8.19</v>
      </c>
      <c r="D11" s="178">
        <v>7.26</v>
      </c>
      <c r="G11" s="210">
        <v>5</v>
      </c>
      <c r="H11" s="182">
        <v>9.52</v>
      </c>
      <c r="I11" s="162">
        <v>0.56999999999999995</v>
      </c>
      <c r="J11" s="177">
        <f t="shared" si="0"/>
        <v>5.4263999999999992</v>
      </c>
      <c r="K11" s="162">
        <v>18.5</v>
      </c>
      <c r="L11" s="172">
        <v>627</v>
      </c>
      <c r="M11" s="162">
        <v>0.6</v>
      </c>
      <c r="N11" s="178">
        <f t="shared" si="1"/>
        <v>3.2558399999999996</v>
      </c>
      <c r="P11" s="188">
        <v>5</v>
      </c>
      <c r="Q11" s="172">
        <v>31</v>
      </c>
      <c r="R11" s="172">
        <f>Q11*L20</f>
        <v>1863.8440000000001</v>
      </c>
      <c r="S11" s="177">
        <f t="shared" si="2"/>
        <v>3.2558399999999996</v>
      </c>
      <c r="T11" s="177">
        <f t="shared" si="3"/>
        <v>100.93103999999998</v>
      </c>
      <c r="U11" s="172">
        <f>Q11*K30*S11</f>
        <v>1632.0549168</v>
      </c>
      <c r="V11" s="173">
        <f t="shared" si="4"/>
        <v>-231.78908320000005</v>
      </c>
    </row>
    <row r="12" spans="1:22" x14ac:dyDescent="0.3">
      <c r="A12" s="163" t="s">
        <v>547</v>
      </c>
      <c r="B12" s="177">
        <v>6.76</v>
      </c>
      <c r="C12" s="177">
        <v>7.1</v>
      </c>
      <c r="D12" s="178">
        <v>7.06</v>
      </c>
      <c r="G12" s="209">
        <v>6</v>
      </c>
      <c r="H12" s="182">
        <v>9.64</v>
      </c>
      <c r="I12" s="162">
        <v>0.6</v>
      </c>
      <c r="J12" s="177">
        <f t="shared" si="0"/>
        <v>5.7839999999999998</v>
      </c>
      <c r="K12" s="162">
        <v>21.6</v>
      </c>
      <c r="L12" s="172">
        <v>626</v>
      </c>
      <c r="M12" s="162">
        <v>0.6</v>
      </c>
      <c r="N12" s="178">
        <f t="shared" si="1"/>
        <v>3.4703999999999997</v>
      </c>
      <c r="P12" s="188">
        <v>6</v>
      </c>
      <c r="Q12" s="172">
        <v>30</v>
      </c>
      <c r="R12" s="172">
        <f>Q12*L20</f>
        <v>1803.72</v>
      </c>
      <c r="S12" s="177">
        <f t="shared" si="2"/>
        <v>3.4703999999999997</v>
      </c>
      <c r="T12" s="177">
        <f t="shared" si="3"/>
        <v>104.11199999999999</v>
      </c>
      <c r="U12" s="172">
        <f>Q12*K30*S12</f>
        <v>1683.4910399999999</v>
      </c>
      <c r="V12" s="173">
        <f t="shared" si="4"/>
        <v>-120.22896000000014</v>
      </c>
    </row>
    <row r="13" spans="1:22" x14ac:dyDescent="0.3">
      <c r="A13" s="163" t="s">
        <v>525</v>
      </c>
      <c r="B13" s="177">
        <v>4.9000000000000004</v>
      </c>
      <c r="C13" s="177">
        <v>5.44</v>
      </c>
      <c r="D13" s="178">
        <v>5.38</v>
      </c>
      <c r="G13" s="210">
        <v>7</v>
      </c>
      <c r="H13" s="182">
        <v>9.52</v>
      </c>
      <c r="I13" s="162">
        <v>0.63</v>
      </c>
      <c r="J13" s="177">
        <f t="shared" si="0"/>
        <v>5.9975999999999994</v>
      </c>
      <c r="K13" s="162">
        <v>23.5</v>
      </c>
      <c r="L13" s="172">
        <v>647</v>
      </c>
      <c r="M13" s="162">
        <v>0.6</v>
      </c>
      <c r="N13" s="178">
        <f t="shared" si="1"/>
        <v>3.5985599999999995</v>
      </c>
      <c r="P13" s="188">
        <v>7</v>
      </c>
      <c r="Q13" s="172">
        <v>31</v>
      </c>
      <c r="R13" s="172">
        <f>Q13*L20</f>
        <v>1863.8440000000001</v>
      </c>
      <c r="S13" s="177">
        <f t="shared" si="2"/>
        <v>3.5985599999999995</v>
      </c>
      <c r="T13" s="177">
        <f t="shared" si="3"/>
        <v>111.55535999999998</v>
      </c>
      <c r="U13" s="172">
        <f>Q13*K30*S13</f>
        <v>1803.8501712</v>
      </c>
      <c r="V13" s="173">
        <f t="shared" si="4"/>
        <v>-59.993828800000074</v>
      </c>
    </row>
    <row r="14" spans="1:22" x14ac:dyDescent="0.3">
      <c r="A14" s="163" t="s">
        <v>526</v>
      </c>
      <c r="B14" s="177">
        <v>2.83</v>
      </c>
      <c r="C14" s="177">
        <v>3.26</v>
      </c>
      <c r="D14" s="178">
        <v>3.56</v>
      </c>
      <c r="G14" s="209">
        <v>8</v>
      </c>
      <c r="H14" s="182">
        <v>8.19</v>
      </c>
      <c r="I14" s="162">
        <v>0.63</v>
      </c>
      <c r="J14" s="177">
        <f t="shared" si="0"/>
        <v>5.1597</v>
      </c>
      <c r="K14" s="162">
        <v>23.6</v>
      </c>
      <c r="L14" s="172">
        <v>603</v>
      </c>
      <c r="M14" s="162">
        <v>0.6</v>
      </c>
      <c r="N14" s="178">
        <f t="shared" si="1"/>
        <v>3.0958199999999998</v>
      </c>
      <c r="P14" s="188">
        <v>8</v>
      </c>
      <c r="Q14" s="172">
        <v>31</v>
      </c>
      <c r="R14" s="172">
        <f>Q14*L20</f>
        <v>1863.8440000000001</v>
      </c>
      <c r="S14" s="177">
        <f t="shared" si="2"/>
        <v>3.0958199999999998</v>
      </c>
      <c r="T14" s="177">
        <f t="shared" si="3"/>
        <v>95.97041999999999</v>
      </c>
      <c r="U14" s="172">
        <f>Q14*K30*S14</f>
        <v>1551.8416913999999</v>
      </c>
      <c r="V14" s="173">
        <f t="shared" si="4"/>
        <v>-312.00230860000011</v>
      </c>
    </row>
    <row r="15" spans="1:22" ht="15" thickBot="1" x14ac:dyDescent="0.35">
      <c r="A15" s="164" t="s">
        <v>527</v>
      </c>
      <c r="B15" s="179">
        <v>2.35</v>
      </c>
      <c r="C15" s="179">
        <v>2.69</v>
      </c>
      <c r="D15" s="180">
        <v>3</v>
      </c>
      <c r="G15" s="210">
        <v>9</v>
      </c>
      <c r="H15" s="182">
        <v>7.1</v>
      </c>
      <c r="I15" s="162">
        <v>0.57999999999999996</v>
      </c>
      <c r="J15" s="177">
        <f t="shared" si="0"/>
        <v>4.1179999999999994</v>
      </c>
      <c r="K15" s="162">
        <v>20.5</v>
      </c>
      <c r="L15" s="172">
        <v>577</v>
      </c>
      <c r="M15" s="162">
        <v>0.6</v>
      </c>
      <c r="N15" s="178">
        <f t="shared" si="1"/>
        <v>2.4707999999999997</v>
      </c>
      <c r="P15" s="188">
        <v>9</v>
      </c>
      <c r="Q15" s="172">
        <v>30</v>
      </c>
      <c r="R15" s="172">
        <f>Q15*L20</f>
        <v>1803.72</v>
      </c>
      <c r="S15" s="177">
        <f t="shared" si="2"/>
        <v>2.4707999999999997</v>
      </c>
      <c r="T15" s="177">
        <f t="shared" si="3"/>
        <v>74.123999999999995</v>
      </c>
      <c r="U15" s="172">
        <f>Q15*K30*S15</f>
        <v>1198.5850799999998</v>
      </c>
      <c r="V15" s="173">
        <f t="shared" si="4"/>
        <v>-605.13492000000019</v>
      </c>
    </row>
    <row r="16" spans="1:22" ht="15" thickBot="1" x14ac:dyDescent="0.35">
      <c r="G16" s="209">
        <v>10</v>
      </c>
      <c r="H16" s="182">
        <v>5.44</v>
      </c>
      <c r="I16" s="162">
        <v>0.44</v>
      </c>
      <c r="J16" s="177">
        <f t="shared" si="0"/>
        <v>2.3936000000000002</v>
      </c>
      <c r="K16" s="162">
        <v>14.7</v>
      </c>
      <c r="L16" s="172">
        <v>541</v>
      </c>
      <c r="M16" s="162">
        <v>0.6</v>
      </c>
      <c r="N16" s="178">
        <f t="shared" si="1"/>
        <v>1.4361600000000001</v>
      </c>
      <c r="P16" s="188">
        <v>10</v>
      </c>
      <c r="Q16" s="172">
        <v>31</v>
      </c>
      <c r="R16" s="172">
        <f>Q16*L20</f>
        <v>1863.8440000000001</v>
      </c>
      <c r="S16" s="177">
        <f t="shared" si="2"/>
        <v>1.4361600000000001</v>
      </c>
      <c r="T16" s="177">
        <f t="shared" si="3"/>
        <v>44.520960000000002</v>
      </c>
      <c r="U16" s="172">
        <f>Q16*K30*S16</f>
        <v>719.90392320000012</v>
      </c>
      <c r="V16" s="173">
        <f t="shared" si="4"/>
        <v>-1143.9400768</v>
      </c>
    </row>
    <row r="17" spans="1:22" ht="14.4" customHeight="1" x14ac:dyDescent="0.3">
      <c r="A17" s="199" t="s">
        <v>755</v>
      </c>
      <c r="B17" s="526" t="s">
        <v>771</v>
      </c>
      <c r="C17" s="527"/>
      <c r="D17" s="528"/>
      <c r="G17" s="210">
        <v>11</v>
      </c>
      <c r="H17" s="182">
        <v>3.26</v>
      </c>
      <c r="I17" s="162">
        <v>0.24</v>
      </c>
      <c r="J17" s="177">
        <f t="shared" si="0"/>
        <v>0.78239999999999987</v>
      </c>
      <c r="K17" s="162">
        <v>8.5</v>
      </c>
      <c r="L17" s="172">
        <v>416</v>
      </c>
      <c r="M17" s="162">
        <v>0.6</v>
      </c>
      <c r="N17" s="178">
        <f t="shared" si="1"/>
        <v>0.46943999999999991</v>
      </c>
      <c r="P17" s="188">
        <v>11</v>
      </c>
      <c r="Q17" s="172">
        <v>30</v>
      </c>
      <c r="R17" s="172">
        <f>Q17*L20</f>
        <v>1803.72</v>
      </c>
      <c r="S17" s="177">
        <f t="shared" si="2"/>
        <v>0.46943999999999991</v>
      </c>
      <c r="T17" s="177">
        <f t="shared" si="3"/>
        <v>14.083199999999998</v>
      </c>
      <c r="U17" s="172">
        <f>Q17*K30*S17</f>
        <v>227.72534399999998</v>
      </c>
      <c r="V17" s="173">
        <f t="shared" si="4"/>
        <v>-1575.9946560000001</v>
      </c>
    </row>
    <row r="18" spans="1:22" ht="15" thickBot="1" x14ac:dyDescent="0.35">
      <c r="A18" s="200" t="s">
        <v>167</v>
      </c>
      <c r="B18" s="529"/>
      <c r="C18" s="530"/>
      <c r="D18" s="531"/>
      <c r="G18" s="211">
        <v>12</v>
      </c>
      <c r="H18" s="183">
        <v>2.69</v>
      </c>
      <c r="I18" s="165">
        <v>0.2</v>
      </c>
      <c r="J18" s="179">
        <f t="shared" si="0"/>
        <v>0.53800000000000003</v>
      </c>
      <c r="K18" s="165">
        <v>4.2</v>
      </c>
      <c r="L18" s="174">
        <v>370</v>
      </c>
      <c r="M18" s="165">
        <v>0.6</v>
      </c>
      <c r="N18" s="180">
        <f t="shared" si="1"/>
        <v>0.32280000000000003</v>
      </c>
      <c r="P18" s="189">
        <v>12</v>
      </c>
      <c r="Q18" s="174">
        <v>31</v>
      </c>
      <c r="R18" s="174">
        <f>Q18*L20</f>
        <v>1863.8440000000001</v>
      </c>
      <c r="S18" s="179">
        <f t="shared" si="2"/>
        <v>0.32280000000000003</v>
      </c>
      <c r="T18" s="179">
        <f t="shared" si="3"/>
        <v>10.0068</v>
      </c>
      <c r="U18" s="174">
        <f>Q18*K30*S18</f>
        <v>161.80995600000003</v>
      </c>
      <c r="V18" s="168">
        <f t="shared" si="4"/>
        <v>-1702.034044</v>
      </c>
    </row>
    <row r="19" spans="1:22" ht="15" thickBot="1" x14ac:dyDescent="0.35">
      <c r="A19" s="201" t="s">
        <v>68</v>
      </c>
      <c r="B19" s="202" t="s">
        <v>768</v>
      </c>
      <c r="C19" s="202" t="s">
        <v>769</v>
      </c>
      <c r="D19" s="203" t="s">
        <v>770</v>
      </c>
      <c r="U19" t="s">
        <v>772</v>
      </c>
      <c r="V19" s="185">
        <f>SUM(V7:V18)</f>
        <v>-10102.479743000002</v>
      </c>
    </row>
    <row r="20" spans="1:22" ht="15" thickBot="1" x14ac:dyDescent="0.35">
      <c r="A20" s="166" t="s">
        <v>528</v>
      </c>
      <c r="B20" s="170">
        <v>361</v>
      </c>
      <c r="C20" s="170">
        <v>416</v>
      </c>
      <c r="D20" s="171">
        <v>454</v>
      </c>
      <c r="G20" s="507" t="s">
        <v>773</v>
      </c>
      <c r="H20" s="508"/>
      <c r="J20" s="507" t="s">
        <v>774</v>
      </c>
      <c r="K20" s="508"/>
      <c r="L20" s="509">
        <v>60.124000000000002</v>
      </c>
      <c r="M20" s="510"/>
      <c r="N20" s="511"/>
      <c r="U20" t="s">
        <v>775</v>
      </c>
      <c r="V20">
        <v>0</v>
      </c>
    </row>
    <row r="21" spans="1:22" x14ac:dyDescent="0.3">
      <c r="A21" s="163" t="s">
        <v>529</v>
      </c>
      <c r="B21" s="172">
        <v>522</v>
      </c>
      <c r="C21" s="172">
        <v>579</v>
      </c>
      <c r="D21" s="173">
        <v>614</v>
      </c>
      <c r="G21" s="515" t="s">
        <v>776</v>
      </c>
      <c r="H21" s="513"/>
      <c r="I21" s="513"/>
      <c r="J21" s="516"/>
      <c r="K21" s="512" t="s">
        <v>777</v>
      </c>
      <c r="L21" s="513"/>
      <c r="M21" s="513"/>
      <c r="N21" s="514"/>
    </row>
    <row r="22" spans="1:22" ht="15" thickBot="1" x14ac:dyDescent="0.35">
      <c r="A22" s="163" t="s">
        <v>531</v>
      </c>
      <c r="B22" s="172">
        <v>574</v>
      </c>
      <c r="C22" s="172">
        <v>596</v>
      </c>
      <c r="D22" s="173">
        <v>574</v>
      </c>
      <c r="G22" s="164" t="s">
        <v>778</v>
      </c>
      <c r="H22" s="501">
        <v>16.71</v>
      </c>
      <c r="I22" s="502"/>
      <c r="J22" s="503"/>
      <c r="K22" s="165" t="s">
        <v>778</v>
      </c>
      <c r="L22" s="501">
        <v>186.26</v>
      </c>
      <c r="M22" s="502"/>
      <c r="N22" s="504"/>
    </row>
    <row r="23" spans="1:22" x14ac:dyDescent="0.3">
      <c r="A23" s="163" t="s">
        <v>533</v>
      </c>
      <c r="B23" s="172">
        <v>554</v>
      </c>
      <c r="C23" s="172">
        <v>559</v>
      </c>
      <c r="D23" s="173">
        <v>514</v>
      </c>
    </row>
    <row r="24" spans="1:22" x14ac:dyDescent="0.3">
      <c r="A24" s="163" t="s">
        <v>550</v>
      </c>
      <c r="B24" s="172">
        <v>636</v>
      </c>
      <c r="C24" s="172">
        <v>627</v>
      </c>
      <c r="D24" s="173">
        <v>538</v>
      </c>
      <c r="G24" s="497" t="s">
        <v>779</v>
      </c>
      <c r="H24" s="497"/>
      <c r="I24" s="497"/>
      <c r="J24" s="497"/>
      <c r="K24" s="205">
        <v>19369.55</v>
      </c>
      <c r="L24" s="204" t="s">
        <v>780</v>
      </c>
    </row>
    <row r="25" spans="1:22" ht="15" thickBot="1" x14ac:dyDescent="0.35">
      <c r="A25" s="163" t="s">
        <v>618</v>
      </c>
      <c r="B25" s="172">
        <v>648</v>
      </c>
      <c r="C25" s="172">
        <v>626</v>
      </c>
      <c r="D25" s="173">
        <v>551</v>
      </c>
    </row>
    <row r="26" spans="1:22" x14ac:dyDescent="0.3">
      <c r="A26" s="163" t="s">
        <v>619</v>
      </c>
      <c r="B26" s="172">
        <v>657</v>
      </c>
      <c r="C26" s="172">
        <v>647</v>
      </c>
      <c r="D26" s="173">
        <v>555</v>
      </c>
      <c r="G26" s="498" t="s">
        <v>781</v>
      </c>
      <c r="H26" s="499"/>
      <c r="I26" s="499"/>
      <c r="J26" s="499"/>
      <c r="K26" s="500"/>
    </row>
    <row r="27" spans="1:22" x14ac:dyDescent="0.3">
      <c r="A27" s="163" t="s">
        <v>620</v>
      </c>
      <c r="B27" s="172">
        <v>596</v>
      </c>
      <c r="C27" s="172">
        <v>603</v>
      </c>
      <c r="D27" s="173">
        <v>554</v>
      </c>
      <c r="G27" s="538" t="s">
        <v>782</v>
      </c>
      <c r="H27" s="539"/>
      <c r="I27" s="540"/>
      <c r="J27" s="162" t="s">
        <v>751</v>
      </c>
      <c r="K27" s="206">
        <v>2.31</v>
      </c>
    </row>
    <row r="28" spans="1:22" x14ac:dyDescent="0.3">
      <c r="A28" s="163" t="s">
        <v>547</v>
      </c>
      <c r="B28" s="172">
        <v>555</v>
      </c>
      <c r="C28" s="172">
        <v>577</v>
      </c>
      <c r="D28" s="173">
        <v>555</v>
      </c>
      <c r="G28" s="538" t="s">
        <v>783</v>
      </c>
      <c r="H28" s="539"/>
      <c r="I28" s="540"/>
      <c r="J28" s="162" t="s">
        <v>751</v>
      </c>
      <c r="K28" s="206">
        <v>2.33</v>
      </c>
    </row>
    <row r="29" spans="1:22" x14ac:dyDescent="0.3">
      <c r="A29" s="163" t="s">
        <v>525</v>
      </c>
      <c r="B29" s="172">
        <v>488</v>
      </c>
      <c r="C29" s="172">
        <v>541</v>
      </c>
      <c r="D29" s="173">
        <v>573</v>
      </c>
      <c r="G29" s="538" t="s">
        <v>784</v>
      </c>
      <c r="H29" s="539"/>
      <c r="I29" s="540"/>
      <c r="J29" s="162" t="s">
        <v>785</v>
      </c>
      <c r="K29" s="206">
        <v>7</v>
      </c>
    </row>
    <row r="30" spans="1:22" ht="15" thickBot="1" x14ac:dyDescent="0.35">
      <c r="A30" s="163" t="s">
        <v>526</v>
      </c>
      <c r="B30" s="172">
        <v>362</v>
      </c>
      <c r="C30" s="172">
        <v>416</v>
      </c>
      <c r="D30" s="173">
        <v>454</v>
      </c>
      <c r="G30" s="541" t="s">
        <v>786</v>
      </c>
      <c r="H30" s="542"/>
      <c r="I30" s="543"/>
      <c r="J30" s="165" t="s">
        <v>751</v>
      </c>
      <c r="K30" s="207">
        <v>16.170000000000002</v>
      </c>
    </row>
    <row r="31" spans="1:22" ht="15" thickBot="1" x14ac:dyDescent="0.35">
      <c r="A31" s="164" t="s">
        <v>527</v>
      </c>
      <c r="B31" s="174">
        <v>322</v>
      </c>
      <c r="C31" s="174">
        <v>370</v>
      </c>
      <c r="D31" s="168">
        <v>411</v>
      </c>
    </row>
    <row r="32" spans="1:22" x14ac:dyDescent="0.3">
      <c r="B32" s="185"/>
      <c r="C32" s="185">
        <v>6557</v>
      </c>
      <c r="D32" s="185"/>
    </row>
    <row r="33" spans="1:13" ht="15" thickBot="1" x14ac:dyDescent="0.35"/>
    <row r="34" spans="1:13" ht="15" thickBot="1" x14ac:dyDescent="0.35">
      <c r="A34" s="532" t="s">
        <v>787</v>
      </c>
      <c r="B34" s="533"/>
      <c r="C34" s="533"/>
      <c r="D34" s="533"/>
      <c r="E34" s="533"/>
      <c r="F34" s="533"/>
      <c r="G34" s="533"/>
      <c r="H34" s="533"/>
      <c r="I34" s="533"/>
      <c r="J34" s="533"/>
      <c r="K34" s="533"/>
      <c r="L34" s="533"/>
      <c r="M34" s="534"/>
    </row>
    <row r="35" spans="1:13" x14ac:dyDescent="0.3">
      <c r="A35" s="166" t="s">
        <v>68</v>
      </c>
      <c r="B35" s="170">
        <v>1</v>
      </c>
      <c r="C35" s="170">
        <v>2</v>
      </c>
      <c r="D35" s="170">
        <v>3</v>
      </c>
      <c r="E35" s="170">
        <v>4</v>
      </c>
      <c r="F35" s="170">
        <v>5</v>
      </c>
      <c r="G35" s="170">
        <v>6</v>
      </c>
      <c r="H35" s="170">
        <v>7</v>
      </c>
      <c r="I35" s="170">
        <v>8</v>
      </c>
      <c r="J35" s="170">
        <v>9</v>
      </c>
      <c r="K35" s="170">
        <v>10</v>
      </c>
      <c r="L35" s="170">
        <v>11</v>
      </c>
      <c r="M35" s="171">
        <v>12</v>
      </c>
    </row>
    <row r="36" spans="1:13" ht="15" thickBot="1" x14ac:dyDescent="0.35">
      <c r="A36" s="164" t="s">
        <v>759</v>
      </c>
      <c r="B36" s="179">
        <v>0.25</v>
      </c>
      <c r="C36" s="179">
        <v>0.31</v>
      </c>
      <c r="D36" s="179">
        <v>0.42</v>
      </c>
      <c r="E36" s="179">
        <v>0.53</v>
      </c>
      <c r="F36" s="179">
        <v>0.56999999999999995</v>
      </c>
      <c r="G36" s="179">
        <v>0.6</v>
      </c>
      <c r="H36" s="179">
        <v>0.63</v>
      </c>
      <c r="I36" s="179">
        <v>0.63</v>
      </c>
      <c r="J36" s="179">
        <v>0.57999999999999996</v>
      </c>
      <c r="K36" s="179">
        <v>0.44</v>
      </c>
      <c r="L36" s="179">
        <v>0.24</v>
      </c>
      <c r="M36" s="180">
        <v>0.2</v>
      </c>
    </row>
    <row r="37" spans="1:13" ht="15" thickBot="1" x14ac:dyDescent="0.35"/>
    <row r="38" spans="1:13" ht="15" thickBot="1" x14ac:dyDescent="0.35">
      <c r="A38" s="535" t="s">
        <v>788</v>
      </c>
      <c r="B38" s="536"/>
      <c r="C38" s="536"/>
      <c r="D38" s="536"/>
      <c r="E38" s="536"/>
      <c r="F38" s="536"/>
      <c r="G38" s="536"/>
      <c r="H38" s="536"/>
      <c r="I38" s="536"/>
      <c r="J38" s="536"/>
      <c r="K38" s="536"/>
      <c r="L38" s="536"/>
      <c r="M38" s="537"/>
    </row>
    <row r="39" spans="1:13" x14ac:dyDescent="0.3">
      <c r="A39" s="166" t="s">
        <v>68</v>
      </c>
      <c r="B39" s="170">
        <v>1</v>
      </c>
      <c r="C39" s="170">
        <v>2</v>
      </c>
      <c r="D39" s="170">
        <v>3</v>
      </c>
      <c r="E39" s="170">
        <v>4</v>
      </c>
      <c r="F39" s="170">
        <v>5</v>
      </c>
      <c r="G39" s="170">
        <v>6</v>
      </c>
      <c r="H39" s="170">
        <v>7</v>
      </c>
      <c r="I39" s="170">
        <v>8</v>
      </c>
      <c r="J39" s="170">
        <v>9</v>
      </c>
      <c r="K39" s="170">
        <v>10</v>
      </c>
      <c r="L39" s="170">
        <v>11</v>
      </c>
      <c r="M39" s="171">
        <v>12</v>
      </c>
    </row>
    <row r="40" spans="1:13" ht="15" thickBot="1" x14ac:dyDescent="0.35">
      <c r="A40" s="164" t="s">
        <v>761</v>
      </c>
      <c r="B40" s="169">
        <v>2.1</v>
      </c>
      <c r="C40" s="169">
        <v>3.6</v>
      </c>
      <c r="D40" s="169">
        <v>8.5</v>
      </c>
      <c r="E40" s="169">
        <v>13.4</v>
      </c>
      <c r="F40" s="169">
        <v>18.5</v>
      </c>
      <c r="G40" s="169">
        <v>21.6</v>
      </c>
      <c r="H40" s="169">
        <v>23.5</v>
      </c>
      <c r="I40" s="169">
        <v>23.6</v>
      </c>
      <c r="J40" s="169">
        <v>20.5</v>
      </c>
      <c r="K40" s="169">
        <v>14.7</v>
      </c>
      <c r="L40" s="169">
        <v>8.5</v>
      </c>
      <c r="M40" s="167">
        <v>4.2</v>
      </c>
    </row>
    <row r="41" spans="1:13" ht="15" thickBot="1" x14ac:dyDescent="0.35"/>
    <row r="42" spans="1:13" ht="15" thickBot="1" x14ac:dyDescent="0.35">
      <c r="A42" s="546" t="s">
        <v>789</v>
      </c>
      <c r="B42" s="547"/>
    </row>
    <row r="43" spans="1:13" x14ac:dyDescent="0.3">
      <c r="A43" t="s">
        <v>790</v>
      </c>
      <c r="B43" t="s">
        <v>791</v>
      </c>
    </row>
    <row r="44" spans="1:13" x14ac:dyDescent="0.3">
      <c r="A44" t="s">
        <v>792</v>
      </c>
      <c r="B44" t="s">
        <v>793</v>
      </c>
    </row>
    <row r="45" spans="1:13" ht="15" thickBot="1" x14ac:dyDescent="0.35"/>
    <row r="46" spans="1:13" ht="15" thickBot="1" x14ac:dyDescent="0.35">
      <c r="A46" s="544" t="s">
        <v>794</v>
      </c>
      <c r="B46" s="545"/>
    </row>
    <row r="47" spans="1:13" x14ac:dyDescent="0.3">
      <c r="A47" s="166" t="s">
        <v>56</v>
      </c>
      <c r="B47" s="176">
        <v>0.81499999999999995</v>
      </c>
    </row>
    <row r="48" spans="1:13" x14ac:dyDescent="0.3">
      <c r="A48" s="163" t="s">
        <v>57</v>
      </c>
      <c r="B48" s="178">
        <v>1.6864000000000001</v>
      </c>
    </row>
    <row r="49" spans="1:2" x14ac:dyDescent="0.3">
      <c r="A49" s="163" t="s">
        <v>58</v>
      </c>
      <c r="B49" s="178">
        <v>2.9819999999999998</v>
      </c>
    </row>
    <row r="50" spans="1:2" x14ac:dyDescent="0.3">
      <c r="A50" s="163" t="s">
        <v>59</v>
      </c>
      <c r="B50" s="178">
        <v>4.3407</v>
      </c>
    </row>
    <row r="51" spans="1:2" x14ac:dyDescent="0.3">
      <c r="A51" s="163" t="s">
        <v>60</v>
      </c>
      <c r="B51" s="178">
        <v>5.4263999999999992</v>
      </c>
    </row>
    <row r="52" spans="1:2" x14ac:dyDescent="0.3">
      <c r="A52" s="163" t="s">
        <v>61</v>
      </c>
      <c r="B52" s="178">
        <v>5.7839999999999998</v>
      </c>
    </row>
    <row r="53" spans="1:2" x14ac:dyDescent="0.3">
      <c r="A53" s="163" t="s">
        <v>62</v>
      </c>
      <c r="B53" s="178">
        <v>5.9975999999999994</v>
      </c>
    </row>
    <row r="54" spans="1:2" x14ac:dyDescent="0.3">
      <c r="A54" s="163" t="s">
        <v>63</v>
      </c>
      <c r="B54" s="178">
        <v>5.1597</v>
      </c>
    </row>
    <row r="55" spans="1:2" x14ac:dyDescent="0.3">
      <c r="A55" s="163" t="s">
        <v>64</v>
      </c>
      <c r="B55" s="178">
        <v>4.1179999999999994</v>
      </c>
    </row>
    <row r="56" spans="1:2" x14ac:dyDescent="0.3">
      <c r="A56" s="163" t="s">
        <v>65</v>
      </c>
      <c r="B56" s="178">
        <v>2.3936000000000002</v>
      </c>
    </row>
    <row r="57" spans="1:2" x14ac:dyDescent="0.3">
      <c r="A57" s="163" t="s">
        <v>110</v>
      </c>
      <c r="B57" s="178">
        <v>0.78239999999999987</v>
      </c>
    </row>
    <row r="58" spans="1:2" ht="15" thickBot="1" x14ac:dyDescent="0.35">
      <c r="A58" s="164" t="s">
        <v>67</v>
      </c>
      <c r="B58" s="180">
        <v>0.53800000000000003</v>
      </c>
    </row>
    <row r="62" spans="1:2" x14ac:dyDescent="0.3">
      <c r="A62" t="s">
        <v>323</v>
      </c>
      <c r="B62">
        <v>16.309999999999999</v>
      </c>
    </row>
    <row r="63" spans="1:2" x14ac:dyDescent="0.3">
      <c r="A63" t="s">
        <v>753</v>
      </c>
      <c r="B63">
        <f>3.5+0*40+(5+0.5*B62)</f>
        <v>16.655000000000001</v>
      </c>
    </row>
    <row r="64" spans="1:2" x14ac:dyDescent="0.3">
      <c r="A64" t="s">
        <v>795</v>
      </c>
      <c r="B64">
        <v>0.6</v>
      </c>
    </row>
    <row r="65" spans="1:4" x14ac:dyDescent="0.3">
      <c r="A65" t="s">
        <v>796</v>
      </c>
      <c r="B65">
        <f>((11.6+1.18*40+3.86*10-1.32*3.86)-3.86)</f>
        <v>88.444800000000001</v>
      </c>
    </row>
    <row r="66" spans="1:4" x14ac:dyDescent="0.3">
      <c r="A66" t="s">
        <v>797</v>
      </c>
      <c r="B66">
        <f>((11.6+1.18*40+3.86*10-1.32*17.4)-17.4)</f>
        <v>57.032000000000004</v>
      </c>
    </row>
    <row r="67" spans="1:4" x14ac:dyDescent="0.3">
      <c r="A67" t="s">
        <v>754</v>
      </c>
      <c r="B67">
        <f>((75*B62)/((750*(1-0.5))))^0.25</f>
        <v>1.3439124868764025</v>
      </c>
      <c r="C67">
        <f>(1223.25/375)^0.25</f>
        <v>1.3439124868764025</v>
      </c>
      <c r="D67" t="s">
        <v>516</v>
      </c>
    </row>
    <row r="68" spans="1:4" x14ac:dyDescent="0.3">
      <c r="A68" t="s">
        <v>798</v>
      </c>
      <c r="B68" s="117">
        <f>24*31</f>
        <v>744</v>
      </c>
      <c r="C68">
        <f>((11.6+1.18*40+3.86*10-1.32*3.86)-3.86)</f>
        <v>88.444800000000001</v>
      </c>
      <c r="D68">
        <f>(17353.24*3420)+0.8*17353.24*((50-10)/(50-10)*(365-3420))</f>
        <v>16936762.239999995</v>
      </c>
    </row>
    <row r="69" spans="1:4" x14ac:dyDescent="0.3">
      <c r="B69" s="117">
        <f>24*28</f>
        <v>672</v>
      </c>
      <c r="C69">
        <f>((11.6+1.18*40+3.86*10-1.32*3.86)-3.86)</f>
        <v>88.444800000000001</v>
      </c>
    </row>
    <row r="70" spans="1:4" x14ac:dyDescent="0.3">
      <c r="B70" s="117">
        <f>24*31</f>
        <v>744</v>
      </c>
      <c r="C70">
        <f>((11.6+1.18*40+3.86*10-1.32*3.86)-3.86)</f>
        <v>88.444800000000001</v>
      </c>
    </row>
    <row r="71" spans="1:4" x14ac:dyDescent="0.3">
      <c r="B71" s="117">
        <f>24*30</f>
        <v>720</v>
      </c>
      <c r="C71">
        <f>((11.6+1.18*40+3.86*10-1.32*3.86)-3.86)</f>
        <v>88.444800000000001</v>
      </c>
    </row>
    <row r="72" spans="1:4" x14ac:dyDescent="0.3">
      <c r="B72" s="117">
        <f>24*31</f>
        <v>744</v>
      </c>
      <c r="C72">
        <f>((11.6+1.18*40+3.86*10-1.32*17.4)-17.4)</f>
        <v>57.032000000000004</v>
      </c>
    </row>
    <row r="73" spans="1:4" x14ac:dyDescent="0.3">
      <c r="B73" s="117">
        <f>24*30</f>
        <v>720</v>
      </c>
      <c r="C73">
        <f>((11.6+1.18*40+3.86*10-1.32*17.4)-17.4)</f>
        <v>57.032000000000004</v>
      </c>
    </row>
    <row r="74" spans="1:4" x14ac:dyDescent="0.3">
      <c r="B74" s="117">
        <f>24*31</f>
        <v>744</v>
      </c>
      <c r="C74">
        <f>((11.6+1.18*40+3.86*10-1.32*17.4)-17.4)</f>
        <v>57.032000000000004</v>
      </c>
    </row>
    <row r="75" spans="1:4" x14ac:dyDescent="0.3">
      <c r="B75" s="117">
        <f>24*31</f>
        <v>744</v>
      </c>
      <c r="C75">
        <f>((11.6+1.18*40+3.86*10-1.32*17.4)-17.4)</f>
        <v>57.032000000000004</v>
      </c>
    </row>
    <row r="76" spans="1:4" x14ac:dyDescent="0.3">
      <c r="B76" s="117">
        <f>24*30</f>
        <v>720</v>
      </c>
      <c r="C76">
        <f>((11.6+1.18*40+3.86*10-1.32*17.4)-17.4)</f>
        <v>57.032000000000004</v>
      </c>
    </row>
    <row r="77" spans="1:4" x14ac:dyDescent="0.3">
      <c r="B77" s="117">
        <f>24*31</f>
        <v>744</v>
      </c>
      <c r="C77">
        <f>((11.6+1.18*40+3.86*10-1.32*3.86)-3.86)</f>
        <v>88.444800000000001</v>
      </c>
    </row>
    <row r="78" spans="1:4" x14ac:dyDescent="0.3">
      <c r="B78" s="117">
        <f>24*30</f>
        <v>720</v>
      </c>
      <c r="C78">
        <f>((11.6+1.18*40+3.86*10-1.32*3.86)-3.86)</f>
        <v>88.444800000000001</v>
      </c>
    </row>
    <row r="79" spans="1:4" x14ac:dyDescent="0.3">
      <c r="B79" s="117">
        <f>24*31</f>
        <v>744</v>
      </c>
      <c r="C79">
        <f>((11.6+1.18*40+3.86*10-1.32*3.86)-3.86)</f>
        <v>88.444800000000001</v>
      </c>
    </row>
    <row r="80" spans="1:4" x14ac:dyDescent="0.3">
      <c r="A80" t="s">
        <v>799</v>
      </c>
      <c r="B80">
        <f>(1+0.5)*((994.93*4.186*(50*5)*(50-10)))/3600</f>
        <v>17353.237416666667</v>
      </c>
    </row>
  </sheetData>
  <mergeCells count="35">
    <mergeCell ref="A46:B46"/>
    <mergeCell ref="A42:B42"/>
    <mergeCell ref="H2:H5"/>
    <mergeCell ref="I2:I5"/>
    <mergeCell ref="J2:J5"/>
    <mergeCell ref="G1:N1"/>
    <mergeCell ref="B1:D2"/>
    <mergeCell ref="B17:D18"/>
    <mergeCell ref="A34:M34"/>
    <mergeCell ref="A38:M38"/>
    <mergeCell ref="G27:I27"/>
    <mergeCell ref="G29:I29"/>
    <mergeCell ref="G30:I30"/>
    <mergeCell ref="G28:I28"/>
    <mergeCell ref="U2:U5"/>
    <mergeCell ref="V2:V5"/>
    <mergeCell ref="G24:J24"/>
    <mergeCell ref="G26:K26"/>
    <mergeCell ref="H22:J22"/>
    <mergeCell ref="L22:N22"/>
    <mergeCell ref="P2:P6"/>
    <mergeCell ref="Q2:Q5"/>
    <mergeCell ref="R2:R5"/>
    <mergeCell ref="S2:S5"/>
    <mergeCell ref="G20:H20"/>
    <mergeCell ref="J20:K20"/>
    <mergeCell ref="L20:N20"/>
    <mergeCell ref="K21:N21"/>
    <mergeCell ref="G21:J21"/>
    <mergeCell ref="K2:K5"/>
    <mergeCell ref="T2:T5"/>
    <mergeCell ref="L2:L5"/>
    <mergeCell ref="M2:M5"/>
    <mergeCell ref="N2:N5"/>
    <mergeCell ref="G2:G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8"/>
  <sheetViews>
    <sheetView workbookViewId="0">
      <selection activeCell="C17" sqref="C17"/>
    </sheetView>
  </sheetViews>
  <sheetFormatPr defaultRowHeight="14.4" x14ac:dyDescent="0.3"/>
  <cols>
    <col min="1" max="1" width="38" customWidth="1"/>
    <col min="3" max="3" width="11.88671875" customWidth="1"/>
    <col min="7" max="7" width="30.5546875" customWidth="1"/>
    <col min="10" max="10" width="11.88671875" bestFit="1" customWidth="1"/>
  </cols>
  <sheetData>
    <row r="1" spans="1:12" x14ac:dyDescent="0.3">
      <c r="A1" s="404" t="s">
        <v>621</v>
      </c>
      <c r="B1" s="404"/>
      <c r="C1" s="404"/>
      <c r="G1" s="344" t="s">
        <v>624</v>
      </c>
      <c r="H1" s="344"/>
      <c r="I1" s="344"/>
      <c r="J1" s="344"/>
      <c r="K1" s="344"/>
    </row>
    <row r="2" spans="1:12" x14ac:dyDescent="0.3">
      <c r="A2" s="145"/>
      <c r="B2" s="145"/>
      <c r="C2" s="146"/>
      <c r="G2" s="449"/>
      <c r="H2" s="449"/>
      <c r="I2" s="449"/>
      <c r="J2" s="449"/>
      <c r="K2" s="449"/>
    </row>
    <row r="3" spans="1:12" x14ac:dyDescent="0.3">
      <c r="A3" s="104" t="s">
        <v>701</v>
      </c>
      <c r="B3" s="136" t="s">
        <v>617</v>
      </c>
      <c r="C3" s="161" t="e">
        <f>K4+K5+K6+K3+K7+K8</f>
        <v>#REF!</v>
      </c>
      <c r="D3" s="104" t="s">
        <v>538</v>
      </c>
      <c r="G3" s="348" t="s">
        <v>702</v>
      </c>
      <c r="H3" s="348"/>
      <c r="I3" s="348"/>
      <c r="J3" s="139" t="s">
        <v>672</v>
      </c>
      <c r="K3" s="140" t="e">
        <f>#REF!</f>
        <v>#REF!</v>
      </c>
      <c r="L3" s="117" t="s">
        <v>538</v>
      </c>
    </row>
    <row r="4" spans="1:12" x14ac:dyDescent="0.3">
      <c r="A4" s="104" t="s">
        <v>703</v>
      </c>
      <c r="B4" s="136" t="s">
        <v>704</v>
      </c>
      <c r="C4" s="150" t="e">
        <f>C3/#REF!</f>
        <v>#REF!</v>
      </c>
      <c r="D4" s="104" t="s">
        <v>705</v>
      </c>
      <c r="G4" s="348" t="s">
        <v>609</v>
      </c>
      <c r="H4" s="348"/>
      <c r="I4" s="348"/>
      <c r="J4" s="136" t="s">
        <v>623</v>
      </c>
      <c r="K4" s="140" t="e">
        <f>#REF!</f>
        <v>#REF!</v>
      </c>
      <c r="L4" s="117" t="s">
        <v>538</v>
      </c>
    </row>
    <row r="5" spans="1:12" x14ac:dyDescent="0.3">
      <c r="G5" s="348" t="s">
        <v>678</v>
      </c>
      <c r="H5" s="348"/>
      <c r="I5" s="348"/>
      <c r="J5" s="136" t="s">
        <v>622</v>
      </c>
      <c r="K5" s="140" t="e">
        <f>#REF!</f>
        <v>#REF!</v>
      </c>
      <c r="L5" s="117" t="s">
        <v>538</v>
      </c>
    </row>
    <row r="6" spans="1:12" x14ac:dyDescent="0.3">
      <c r="A6" s="104" t="s">
        <v>706</v>
      </c>
      <c r="B6" s="104" t="s">
        <v>707</v>
      </c>
      <c r="C6" s="241" t="e">
        <f>#REF!</f>
        <v>#REF!</v>
      </c>
      <c r="G6" s="348" t="s">
        <v>679</v>
      </c>
      <c r="H6" s="348"/>
      <c r="I6" s="348"/>
      <c r="J6" s="139" t="s">
        <v>625</v>
      </c>
      <c r="K6" s="140" t="e">
        <f>#REF!</f>
        <v>#REF!</v>
      </c>
      <c r="L6" s="117" t="s">
        <v>538</v>
      </c>
    </row>
    <row r="7" spans="1:12" x14ac:dyDescent="0.3">
      <c r="G7" s="348" t="s">
        <v>676</v>
      </c>
      <c r="H7" s="348"/>
      <c r="I7" s="348"/>
      <c r="J7" s="147" t="s">
        <v>677</v>
      </c>
      <c r="K7" s="149" t="e">
        <f>#REF!</f>
        <v>#REF!</v>
      </c>
      <c r="L7" s="117" t="s">
        <v>538</v>
      </c>
    </row>
    <row r="8" spans="1:12" x14ac:dyDescent="0.3">
      <c r="G8" s="348" t="s">
        <v>673</v>
      </c>
      <c r="H8" s="348"/>
      <c r="I8" s="348"/>
      <c r="J8" s="148" t="s">
        <v>674</v>
      </c>
      <c r="K8" s="136" t="e">
        <f>#REF!</f>
        <v>#REF!</v>
      </c>
      <c r="L8" s="117" t="s">
        <v>538</v>
      </c>
    </row>
  </sheetData>
  <mergeCells count="9">
    <mergeCell ref="G6:I6"/>
    <mergeCell ref="G7:I7"/>
    <mergeCell ref="G8:I8"/>
    <mergeCell ref="A1:C1"/>
    <mergeCell ref="G1:K1"/>
    <mergeCell ref="G2:K2"/>
    <mergeCell ref="G3:I3"/>
    <mergeCell ref="G4:I4"/>
    <mergeCell ref="G5:I5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"/>
  <sheetViews>
    <sheetView workbookViewId="0">
      <selection activeCell="J14" sqref="J14"/>
    </sheetView>
  </sheetViews>
  <sheetFormatPr defaultColWidth="8.88671875" defaultRowHeight="14.4" x14ac:dyDescent="0.3"/>
  <cols>
    <col min="1" max="1" width="38" customWidth="1"/>
    <col min="3" max="3" width="11.88671875" customWidth="1"/>
    <col min="7" max="7" width="30.5546875" customWidth="1"/>
    <col min="10" max="10" width="11.88671875" bestFit="1" customWidth="1"/>
  </cols>
  <sheetData>
    <row r="1" spans="1:12" x14ac:dyDescent="0.3">
      <c r="A1" s="404" t="s">
        <v>621</v>
      </c>
      <c r="B1" s="404"/>
      <c r="C1" s="404"/>
      <c r="G1" s="344" t="s">
        <v>624</v>
      </c>
      <c r="H1" s="344"/>
      <c r="I1" s="344"/>
      <c r="J1" s="344"/>
      <c r="K1" s="344"/>
    </row>
    <row r="2" spans="1:12" x14ac:dyDescent="0.3">
      <c r="A2" s="145"/>
      <c r="B2" s="145"/>
      <c r="C2" s="146"/>
      <c r="G2" s="449"/>
      <c r="H2" s="449"/>
      <c r="I2" s="449"/>
      <c r="J2" s="449"/>
      <c r="K2" s="449"/>
    </row>
    <row r="3" spans="1:12" x14ac:dyDescent="0.3">
      <c r="A3" s="104" t="s">
        <v>701</v>
      </c>
      <c r="B3" s="136" t="s">
        <v>617</v>
      </c>
      <c r="C3" s="161" t="e">
        <f>K4+K5+K6+K3+K7+K8</f>
        <v>#REF!</v>
      </c>
      <c r="D3" s="104" t="s">
        <v>538</v>
      </c>
      <c r="G3" s="348" t="s">
        <v>702</v>
      </c>
      <c r="H3" s="348"/>
      <c r="I3" s="348"/>
      <c r="J3" s="139" t="s">
        <v>672</v>
      </c>
      <c r="K3" s="140" t="e">
        <f>#REF!</f>
        <v>#REF!</v>
      </c>
      <c r="L3" s="117" t="s">
        <v>538</v>
      </c>
    </row>
    <row r="4" spans="1:12" x14ac:dyDescent="0.3">
      <c r="A4" s="104" t="s">
        <v>703</v>
      </c>
      <c r="B4" s="136" t="s">
        <v>704</v>
      </c>
      <c r="C4" s="150" t="e">
        <f>C3/#REF!</f>
        <v>#REF!</v>
      </c>
      <c r="D4" s="104" t="s">
        <v>705</v>
      </c>
      <c r="G4" s="348" t="s">
        <v>609</v>
      </c>
      <c r="H4" s="348"/>
      <c r="I4" s="348"/>
      <c r="J4" s="136" t="s">
        <v>623</v>
      </c>
      <c r="K4" s="140" t="e">
        <f>#REF!</f>
        <v>#REF!</v>
      </c>
      <c r="L4" s="117" t="s">
        <v>538</v>
      </c>
    </row>
    <row r="5" spans="1:12" x14ac:dyDescent="0.3">
      <c r="G5" s="348" t="s">
        <v>678</v>
      </c>
      <c r="H5" s="348"/>
      <c r="I5" s="348"/>
      <c r="J5" s="136" t="s">
        <v>622</v>
      </c>
      <c r="K5" s="140" t="e">
        <f>#REF!</f>
        <v>#REF!</v>
      </c>
      <c r="L5" s="117" t="s">
        <v>538</v>
      </c>
    </row>
    <row r="6" spans="1:12" x14ac:dyDescent="0.3">
      <c r="G6" s="348" t="s">
        <v>679</v>
      </c>
      <c r="H6" s="348"/>
      <c r="I6" s="348"/>
      <c r="J6" s="139" t="s">
        <v>625</v>
      </c>
      <c r="K6" s="140" t="e">
        <f>#REF!</f>
        <v>#REF!</v>
      </c>
      <c r="L6" s="117" t="s">
        <v>538</v>
      </c>
    </row>
    <row r="7" spans="1:12" x14ac:dyDescent="0.3">
      <c r="G7" s="348" t="s">
        <v>676</v>
      </c>
      <c r="H7" s="348"/>
      <c r="I7" s="348"/>
      <c r="J7" s="147" t="s">
        <v>677</v>
      </c>
      <c r="K7" s="149" t="e">
        <f>#REF!</f>
        <v>#REF!</v>
      </c>
      <c r="L7" s="117" t="s">
        <v>538</v>
      </c>
    </row>
    <row r="8" spans="1:12" x14ac:dyDescent="0.3">
      <c r="G8" s="348" t="s">
        <v>673</v>
      </c>
      <c r="H8" s="348"/>
      <c r="I8" s="348"/>
      <c r="J8" s="148" t="s">
        <v>674</v>
      </c>
      <c r="K8" s="241" t="e">
        <f>#REF!</f>
        <v>#REF!</v>
      </c>
      <c r="L8" s="117" t="s">
        <v>538</v>
      </c>
    </row>
  </sheetData>
  <mergeCells count="9">
    <mergeCell ref="G6:I6"/>
    <mergeCell ref="G7:I7"/>
    <mergeCell ref="G8:I8"/>
    <mergeCell ref="A1:C1"/>
    <mergeCell ref="G1:K1"/>
    <mergeCell ref="G2:K2"/>
    <mergeCell ref="G3:I3"/>
    <mergeCell ref="G4:I4"/>
    <mergeCell ref="G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8"/>
  <sheetViews>
    <sheetView workbookViewId="0">
      <selection activeCell="K9" sqref="K9"/>
    </sheetView>
  </sheetViews>
  <sheetFormatPr defaultColWidth="8.88671875" defaultRowHeight="14.4" x14ac:dyDescent="0.3"/>
  <cols>
    <col min="1" max="1" width="38" customWidth="1"/>
    <col min="3" max="3" width="11.88671875" customWidth="1"/>
    <col min="7" max="7" width="30.5546875" customWidth="1"/>
    <col min="10" max="10" width="11.88671875" bestFit="1" customWidth="1"/>
  </cols>
  <sheetData>
    <row r="1" spans="1:12" x14ac:dyDescent="0.3">
      <c r="A1" s="404" t="s">
        <v>621</v>
      </c>
      <c r="B1" s="404"/>
      <c r="C1" s="404"/>
      <c r="G1" s="344" t="s">
        <v>624</v>
      </c>
      <c r="H1" s="344"/>
      <c r="I1" s="344"/>
      <c r="J1" s="344"/>
      <c r="K1" s="344"/>
    </row>
    <row r="2" spans="1:12" x14ac:dyDescent="0.3">
      <c r="A2" s="145"/>
      <c r="B2" s="145"/>
      <c r="C2" s="146"/>
      <c r="G2" s="449"/>
      <c r="H2" s="449"/>
      <c r="I2" s="449"/>
      <c r="J2" s="449"/>
      <c r="K2" s="449"/>
    </row>
    <row r="3" spans="1:12" x14ac:dyDescent="0.3">
      <c r="A3" s="104" t="s">
        <v>701</v>
      </c>
      <c r="B3" s="136" t="s">
        <v>617</v>
      </c>
      <c r="C3" s="161" t="e">
        <f>K4+K5+K6+K3+K7+K8</f>
        <v>#REF!</v>
      </c>
      <c r="D3" s="104" t="s">
        <v>538</v>
      </c>
      <c r="G3" s="348" t="s">
        <v>702</v>
      </c>
      <c r="H3" s="348"/>
      <c r="I3" s="348"/>
      <c r="J3" s="139" t="s">
        <v>672</v>
      </c>
      <c r="K3" s="140" t="e">
        <f>#REF!</f>
        <v>#REF!</v>
      </c>
      <c r="L3" s="117" t="s">
        <v>538</v>
      </c>
    </row>
    <row r="4" spans="1:12" x14ac:dyDescent="0.3">
      <c r="A4" s="104" t="s">
        <v>703</v>
      </c>
      <c r="B4" s="136" t="s">
        <v>704</v>
      </c>
      <c r="C4" s="150" t="e">
        <f>C3/#REF!</f>
        <v>#REF!</v>
      </c>
      <c r="D4" s="104" t="s">
        <v>705</v>
      </c>
      <c r="G4" s="348" t="s">
        <v>609</v>
      </c>
      <c r="H4" s="348"/>
      <c r="I4" s="348"/>
      <c r="J4" s="136" t="s">
        <v>623</v>
      </c>
      <c r="K4" s="140" t="e">
        <f>#REF!</f>
        <v>#REF!</v>
      </c>
      <c r="L4" s="117" t="s">
        <v>538</v>
      </c>
    </row>
    <row r="5" spans="1:12" x14ac:dyDescent="0.3">
      <c r="G5" s="348" t="s">
        <v>678</v>
      </c>
      <c r="H5" s="348"/>
      <c r="I5" s="348"/>
      <c r="J5" s="136" t="s">
        <v>622</v>
      </c>
      <c r="K5" s="140" t="e">
        <f>#REF!</f>
        <v>#REF!</v>
      </c>
      <c r="L5" s="117" t="s">
        <v>538</v>
      </c>
    </row>
    <row r="6" spans="1:12" x14ac:dyDescent="0.3">
      <c r="G6" s="348" t="s">
        <v>679</v>
      </c>
      <c r="H6" s="348"/>
      <c r="I6" s="348"/>
      <c r="J6" s="139" t="s">
        <v>625</v>
      </c>
      <c r="K6" s="140" t="e">
        <f>#REF!</f>
        <v>#REF!</v>
      </c>
      <c r="L6" s="117" t="s">
        <v>538</v>
      </c>
    </row>
    <row r="7" spans="1:12" x14ac:dyDescent="0.3">
      <c r="G7" s="348" t="s">
        <v>676</v>
      </c>
      <c r="H7" s="348"/>
      <c r="I7" s="348"/>
      <c r="J7" s="147" t="s">
        <v>677</v>
      </c>
      <c r="K7" s="149" t="e">
        <f>#REF!</f>
        <v>#REF!</v>
      </c>
      <c r="L7" s="117" t="s">
        <v>538</v>
      </c>
    </row>
    <row r="8" spans="1:12" x14ac:dyDescent="0.3">
      <c r="G8" s="348" t="s">
        <v>673</v>
      </c>
      <c r="H8" s="348"/>
      <c r="I8" s="348"/>
      <c r="J8" s="148" t="s">
        <v>674</v>
      </c>
      <c r="K8" s="241" t="e">
        <f>#REF!</f>
        <v>#REF!</v>
      </c>
      <c r="L8" s="117" t="s">
        <v>538</v>
      </c>
    </row>
  </sheetData>
  <mergeCells count="9">
    <mergeCell ref="G6:I6"/>
    <mergeCell ref="G7:I7"/>
    <mergeCell ref="G8:I8"/>
    <mergeCell ref="A1:C1"/>
    <mergeCell ref="G1:K1"/>
    <mergeCell ref="G2:K2"/>
    <mergeCell ref="G3:I3"/>
    <mergeCell ref="G4:I4"/>
    <mergeCell ref="G5:I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59"/>
  <sheetViews>
    <sheetView workbookViewId="0">
      <selection activeCell="C10" sqref="C10"/>
    </sheetView>
  </sheetViews>
  <sheetFormatPr defaultRowHeight="14.4" x14ac:dyDescent="0.3"/>
  <cols>
    <col min="1" max="1" width="34.88671875" customWidth="1"/>
    <col min="3" max="3" width="14" bestFit="1" customWidth="1"/>
    <col min="7" max="7" width="13.88671875" customWidth="1"/>
    <col min="9" max="9" width="21.109375" customWidth="1"/>
    <col min="11" max="11" width="12.88671875" bestFit="1" customWidth="1"/>
  </cols>
  <sheetData>
    <row r="1" spans="1:17" x14ac:dyDescent="0.3">
      <c r="A1" s="404" t="s">
        <v>621</v>
      </c>
      <c r="B1" s="404"/>
      <c r="C1" s="404"/>
      <c r="G1" s="344" t="s">
        <v>624</v>
      </c>
      <c r="H1" s="344"/>
      <c r="I1" s="344"/>
      <c r="J1" s="344"/>
      <c r="K1" s="344"/>
    </row>
    <row r="2" spans="1:17" x14ac:dyDescent="0.3">
      <c r="A2" s="145"/>
      <c r="B2" s="145"/>
      <c r="C2" s="146"/>
      <c r="G2" s="449"/>
      <c r="H2" s="449"/>
      <c r="I2" s="449"/>
      <c r="J2" s="449"/>
      <c r="K2" s="449"/>
      <c r="L2" s="117"/>
    </row>
    <row r="3" spans="1:17" x14ac:dyDescent="0.3">
      <c r="A3" s="104" t="s">
        <v>708</v>
      </c>
      <c r="B3" s="136" t="s">
        <v>709</v>
      </c>
      <c r="C3" s="161" t="e">
        <f>K3+C10+K9+K10+K11</f>
        <v>#REF!</v>
      </c>
      <c r="D3" s="117" t="s">
        <v>538</v>
      </c>
      <c r="G3" s="408" t="s">
        <v>710</v>
      </c>
      <c r="H3" s="408"/>
      <c r="I3" s="408"/>
      <c r="J3" s="136" t="s">
        <v>709</v>
      </c>
      <c r="K3" s="141" t="e">
        <f>K4+K5</f>
        <v>#REF!</v>
      </c>
      <c r="L3" s="117" t="s">
        <v>538</v>
      </c>
    </row>
    <row r="4" spans="1:17" x14ac:dyDescent="0.3">
      <c r="A4" s="104" t="s">
        <v>711</v>
      </c>
      <c r="B4" s="136" t="s">
        <v>712</v>
      </c>
      <c r="C4" s="150" t="e">
        <f>C3/#REF!</f>
        <v>#REF!</v>
      </c>
      <c r="D4" s="117" t="s">
        <v>705</v>
      </c>
      <c r="G4" s="348" t="s">
        <v>713</v>
      </c>
      <c r="H4" s="348"/>
      <c r="I4" s="348"/>
      <c r="J4" s="136" t="s">
        <v>714</v>
      </c>
      <c r="K4" s="141">
        <f>(1/1000)*K49*K52*(K20-K51)*K21</f>
        <v>9681.5438280439175</v>
      </c>
      <c r="L4" s="117" t="s">
        <v>538</v>
      </c>
      <c r="M4" s="138" t="s">
        <v>715</v>
      </c>
      <c r="N4" s="138"/>
      <c r="O4" s="138"/>
      <c r="P4" s="138"/>
      <c r="Q4" s="138"/>
    </row>
    <row r="5" spans="1:17" x14ac:dyDescent="0.3">
      <c r="G5" s="348" t="s">
        <v>716</v>
      </c>
      <c r="H5" s="348"/>
      <c r="I5" s="348"/>
      <c r="J5" s="136" t="s">
        <v>717</v>
      </c>
      <c r="K5" s="141" t="e">
        <f>(365/3600)*K36*K37*(K20-K38)*K39</f>
        <v>#REF!</v>
      </c>
      <c r="L5" s="117" t="s">
        <v>538</v>
      </c>
    </row>
    <row r="6" spans="1:17" x14ac:dyDescent="0.3">
      <c r="A6" s="104" t="s">
        <v>718</v>
      </c>
      <c r="B6" s="136" t="s">
        <v>719</v>
      </c>
      <c r="C6" s="233">
        <f>C7*C8</f>
        <v>250</v>
      </c>
      <c r="D6" s="117" t="s">
        <v>700</v>
      </c>
      <c r="G6" s="348" t="s">
        <v>720</v>
      </c>
      <c r="H6" s="348"/>
      <c r="I6" s="348"/>
      <c r="J6" s="139" t="s">
        <v>721</v>
      </c>
      <c r="K6" s="141" t="e">
        <f>(212/3600)*K36*K37*(K20-K38)*K39</f>
        <v>#REF!</v>
      </c>
      <c r="L6" s="117" t="s">
        <v>538</v>
      </c>
    </row>
    <row r="7" spans="1:17" x14ac:dyDescent="0.3">
      <c r="A7" s="104" t="s">
        <v>722</v>
      </c>
      <c r="B7" s="136" t="s">
        <v>723</v>
      </c>
      <c r="C7" s="104">
        <v>5</v>
      </c>
      <c r="D7" s="117"/>
      <c r="G7" s="348" t="s">
        <v>724</v>
      </c>
      <c r="H7" s="348"/>
      <c r="I7" s="348"/>
      <c r="J7" s="139" t="s">
        <v>725</v>
      </c>
      <c r="K7" s="150" t="e">
        <f>K8*#REF!</f>
        <v>#REF!</v>
      </c>
      <c r="L7" s="117" t="s">
        <v>537</v>
      </c>
    </row>
    <row r="8" spans="1:17" x14ac:dyDescent="0.3">
      <c r="A8" s="104" t="s">
        <v>726</v>
      </c>
      <c r="B8" s="136" t="s">
        <v>727</v>
      </c>
      <c r="C8" s="104">
        <v>50</v>
      </c>
      <c r="D8" s="117" t="s">
        <v>728</v>
      </c>
      <c r="G8" s="348" t="s">
        <v>729</v>
      </c>
      <c r="H8" s="348"/>
      <c r="I8" s="348"/>
      <c r="J8" s="139" t="s">
        <v>730</v>
      </c>
      <c r="K8" s="157">
        <v>20</v>
      </c>
      <c r="L8" s="117" t="s">
        <v>731</v>
      </c>
      <c r="M8" s="152" t="s">
        <v>732</v>
      </c>
      <c r="N8" s="152"/>
    </row>
    <row r="9" spans="1:17" x14ac:dyDescent="0.3">
      <c r="G9" s="348" t="s">
        <v>733</v>
      </c>
      <c r="H9" s="348"/>
      <c r="I9" s="348"/>
      <c r="J9" s="139" t="s">
        <v>734</v>
      </c>
      <c r="K9" s="157">
        <f>(365/1000)*K41*K42</f>
        <v>273.75</v>
      </c>
      <c r="L9" s="117" t="s">
        <v>538</v>
      </c>
    </row>
    <row r="10" spans="1:17" x14ac:dyDescent="0.3">
      <c r="A10" s="104" t="s">
        <v>735</v>
      </c>
      <c r="B10" s="162"/>
      <c r="C10" s="150" t="e">
        <f>#REF!*1000*12</f>
        <v>#REF!</v>
      </c>
      <c r="D10" s="117" t="s">
        <v>537</v>
      </c>
      <c r="G10" s="348" t="s">
        <v>736</v>
      </c>
      <c r="H10" s="348"/>
      <c r="I10" s="348"/>
      <c r="J10" s="139" t="s">
        <v>695</v>
      </c>
      <c r="K10" s="216">
        <f>((K44-K38)/K45)*K46</f>
        <v>3.2</v>
      </c>
      <c r="L10" s="117" t="s">
        <v>538</v>
      </c>
    </row>
    <row r="11" spans="1:17" x14ac:dyDescent="0.3">
      <c r="G11" s="348" t="s">
        <v>737</v>
      </c>
      <c r="H11" s="348"/>
      <c r="I11" s="348"/>
      <c r="J11" s="139" t="s">
        <v>738</v>
      </c>
      <c r="K11" s="234" t="e">
        <f>((1-K23)/K23)*(C10+K3+K4)</f>
        <v>#REF!</v>
      </c>
      <c r="L11" s="117" t="s">
        <v>538</v>
      </c>
    </row>
    <row r="12" spans="1:17" x14ac:dyDescent="0.3">
      <c r="A12" s="117"/>
      <c r="B12" s="117"/>
      <c r="C12" s="117"/>
      <c r="D12" s="117"/>
      <c r="E12" s="117"/>
      <c r="G12" s="551"/>
      <c r="H12" s="551"/>
      <c r="I12" s="551"/>
      <c r="J12" s="143"/>
      <c r="K12" s="144"/>
      <c r="L12" s="117"/>
    </row>
    <row r="13" spans="1:17" x14ac:dyDescent="0.3">
      <c r="G13" s="348" t="s">
        <v>632</v>
      </c>
      <c r="H13" s="348"/>
      <c r="I13" s="348"/>
      <c r="J13" s="139"/>
      <c r="K13" s="140">
        <f>K49</f>
        <v>0.15554180046340077</v>
      </c>
      <c r="L13" s="117"/>
    </row>
    <row r="14" spans="1:17" x14ac:dyDescent="0.3">
      <c r="G14" s="348" t="s">
        <v>626</v>
      </c>
      <c r="H14" s="348"/>
      <c r="I14" s="348"/>
      <c r="J14" s="136" t="s">
        <v>627</v>
      </c>
      <c r="K14" s="141">
        <f>K18/K19</f>
        <v>2.2422360248447206</v>
      </c>
      <c r="L14" s="117" t="s">
        <v>628</v>
      </c>
    </row>
    <row r="15" spans="1:17" x14ac:dyDescent="0.3">
      <c r="G15" s="552" t="s">
        <v>629</v>
      </c>
      <c r="H15" s="552"/>
      <c r="I15" s="552"/>
      <c r="J15" s="136" t="s">
        <v>630</v>
      </c>
      <c r="K15" s="153">
        <v>8</v>
      </c>
      <c r="L15" s="117" t="s">
        <v>631</v>
      </c>
    </row>
    <row r="16" spans="1:17" x14ac:dyDescent="0.3">
      <c r="G16" s="552"/>
      <c r="H16" s="552"/>
      <c r="I16" s="552"/>
      <c r="J16" s="136" t="s">
        <v>635</v>
      </c>
      <c r="K16" s="153">
        <v>14</v>
      </c>
      <c r="L16" s="117" t="s">
        <v>631</v>
      </c>
    </row>
    <row r="17" spans="7:12" x14ac:dyDescent="0.3">
      <c r="G17" s="348" t="s">
        <v>638</v>
      </c>
      <c r="H17" s="348"/>
      <c r="I17" s="348"/>
      <c r="J17" s="139" t="s">
        <v>639</v>
      </c>
      <c r="K17" s="153">
        <v>50</v>
      </c>
      <c r="L17" s="117" t="s">
        <v>640</v>
      </c>
    </row>
    <row r="18" spans="7:12" x14ac:dyDescent="0.3">
      <c r="G18" s="348" t="s">
        <v>668</v>
      </c>
      <c r="H18" s="348"/>
      <c r="I18" s="348"/>
      <c r="J18" s="136" t="s">
        <v>669</v>
      </c>
      <c r="K18" s="153">
        <v>108.3</v>
      </c>
      <c r="L18" s="117" t="s">
        <v>628</v>
      </c>
    </row>
    <row r="19" spans="7:12" x14ac:dyDescent="0.3">
      <c r="G19" s="348" t="s">
        <v>670</v>
      </c>
      <c r="H19" s="348"/>
      <c r="I19" s="348"/>
      <c r="J19" s="136" t="s">
        <v>671</v>
      </c>
      <c r="K19" s="153">
        <v>48.3</v>
      </c>
      <c r="L19" s="117" t="s">
        <v>628</v>
      </c>
    </row>
    <row r="20" spans="7:12" x14ac:dyDescent="0.3">
      <c r="G20" s="348" t="s">
        <v>739</v>
      </c>
      <c r="H20" s="348"/>
      <c r="I20" s="348"/>
      <c r="J20" s="139" t="s">
        <v>740</v>
      </c>
      <c r="K20" s="154">
        <f>60-(5/2)</f>
        <v>57.5</v>
      </c>
      <c r="L20" s="117" t="s">
        <v>104</v>
      </c>
    </row>
    <row r="21" spans="7:12" x14ac:dyDescent="0.3">
      <c r="G21" s="348" t="s">
        <v>741</v>
      </c>
      <c r="H21" s="348"/>
      <c r="I21" s="348"/>
      <c r="J21" s="139" t="s">
        <v>742</v>
      </c>
      <c r="K21" s="140">
        <f>364*24</f>
        <v>8736</v>
      </c>
      <c r="L21" s="117" t="s">
        <v>743</v>
      </c>
    </row>
    <row r="22" spans="7:12" x14ac:dyDescent="0.3">
      <c r="G22" s="551"/>
      <c r="H22" s="551"/>
      <c r="I22" s="551"/>
      <c r="J22" s="134"/>
      <c r="K22" s="134"/>
      <c r="L22" s="117"/>
    </row>
    <row r="23" spans="7:12" x14ac:dyDescent="0.3">
      <c r="G23" s="348" t="s">
        <v>744</v>
      </c>
      <c r="H23" s="348"/>
      <c r="I23" s="348"/>
      <c r="J23" s="139" t="s">
        <v>675</v>
      </c>
      <c r="K23" s="154">
        <v>0.85</v>
      </c>
      <c r="L23" s="117"/>
    </row>
    <row r="24" spans="7:12" x14ac:dyDescent="0.3">
      <c r="G24" s="551"/>
      <c r="H24" s="551"/>
      <c r="I24" s="551"/>
      <c r="J24" s="143"/>
      <c r="K24" s="144"/>
      <c r="L24" s="117"/>
    </row>
    <row r="25" spans="7:12" x14ac:dyDescent="0.3">
      <c r="G25" s="348" t="s">
        <v>647</v>
      </c>
      <c r="H25" s="348"/>
      <c r="I25" s="348"/>
      <c r="J25" s="136" t="s">
        <v>648</v>
      </c>
      <c r="K25" s="155" t="e">
        <f>(#REF!+K3)/(K29*K34)</f>
        <v>#REF!</v>
      </c>
      <c r="L25" s="117"/>
    </row>
    <row r="26" spans="7:12" x14ac:dyDescent="0.3">
      <c r="G26" s="553" t="s">
        <v>649</v>
      </c>
      <c r="H26" s="553"/>
      <c r="I26" s="553"/>
      <c r="J26" s="136" t="s">
        <v>650</v>
      </c>
      <c r="K26" s="154">
        <v>1.33</v>
      </c>
      <c r="L26" s="117"/>
    </row>
    <row r="27" spans="7:12" x14ac:dyDescent="0.3">
      <c r="G27" s="553"/>
      <c r="H27" s="553"/>
      <c r="I27" s="553"/>
      <c r="J27" s="136" t="s">
        <v>651</v>
      </c>
      <c r="K27" s="154">
        <v>1.1000000000000001</v>
      </c>
      <c r="L27" s="117"/>
    </row>
    <row r="28" spans="7:12" x14ac:dyDescent="0.3">
      <c r="G28" s="348" t="s">
        <v>652</v>
      </c>
      <c r="H28" s="348"/>
      <c r="I28" s="348"/>
      <c r="J28" s="139" t="s">
        <v>653</v>
      </c>
      <c r="K28" s="155" t="e">
        <f>(#REF!+K32)/1000</f>
        <v>#REF!</v>
      </c>
      <c r="L28" s="117" t="s">
        <v>654</v>
      </c>
    </row>
    <row r="29" spans="7:12" x14ac:dyDescent="0.3">
      <c r="G29" s="348" t="s">
        <v>655</v>
      </c>
      <c r="H29" s="348"/>
      <c r="I29" s="348"/>
      <c r="J29" s="139" t="s">
        <v>656</v>
      </c>
      <c r="K29" s="155" t="e">
        <f>(#REF!+K33)/1000</f>
        <v>#REF!</v>
      </c>
      <c r="L29" s="117" t="s">
        <v>654</v>
      </c>
    </row>
    <row r="30" spans="7:12" x14ac:dyDescent="0.3">
      <c r="G30" s="104" t="s">
        <v>657</v>
      </c>
      <c r="H30" s="449" t="s">
        <v>658</v>
      </c>
      <c r="I30" s="449"/>
      <c r="J30" s="136" t="s">
        <v>659</v>
      </c>
      <c r="K30" s="136">
        <v>8</v>
      </c>
      <c r="L30" s="117" t="s">
        <v>25</v>
      </c>
    </row>
    <row r="31" spans="7:12" x14ac:dyDescent="0.3">
      <c r="G31" s="104" t="s">
        <v>657</v>
      </c>
      <c r="H31" s="449" t="s">
        <v>660</v>
      </c>
      <c r="I31" s="449"/>
      <c r="J31" s="136" t="s">
        <v>661</v>
      </c>
      <c r="K31" s="136">
        <v>12</v>
      </c>
      <c r="L31" s="117" t="s">
        <v>25</v>
      </c>
    </row>
    <row r="32" spans="7:12" x14ac:dyDescent="0.3">
      <c r="G32" s="348" t="s">
        <v>662</v>
      </c>
      <c r="H32" s="348"/>
      <c r="I32" s="348"/>
      <c r="J32" s="139" t="s">
        <v>663</v>
      </c>
      <c r="K32" s="150" t="e">
        <f>#REF!*K30</f>
        <v>#REF!</v>
      </c>
      <c r="L32" s="117" t="s">
        <v>664</v>
      </c>
    </row>
    <row r="33" spans="7:17" x14ac:dyDescent="0.3">
      <c r="G33" s="348" t="s">
        <v>665</v>
      </c>
      <c r="H33" s="348"/>
      <c r="I33" s="348"/>
      <c r="J33" s="139" t="s">
        <v>663</v>
      </c>
      <c r="K33" s="150" t="e">
        <f>#REF!*PotrebaEnergieTV!K31</f>
        <v>#REF!</v>
      </c>
      <c r="L33" s="117" t="s">
        <v>664</v>
      </c>
    </row>
    <row r="34" spans="7:17" x14ac:dyDescent="0.3">
      <c r="G34" s="348" t="s">
        <v>666</v>
      </c>
      <c r="H34" s="348"/>
      <c r="I34" s="348"/>
      <c r="J34" s="136" t="s">
        <v>667</v>
      </c>
      <c r="K34" s="136">
        <f>VstupneUdaje!BF21*24</f>
        <v>5088</v>
      </c>
      <c r="L34" s="117" t="s">
        <v>25</v>
      </c>
    </row>
    <row r="36" spans="7:17" x14ac:dyDescent="0.3">
      <c r="G36" s="348" t="s">
        <v>680</v>
      </c>
      <c r="H36" s="348"/>
      <c r="I36" s="348"/>
      <c r="J36" s="136" t="s">
        <v>681</v>
      </c>
      <c r="K36" s="136">
        <v>4181</v>
      </c>
      <c r="L36" s="117" t="s">
        <v>682</v>
      </c>
    </row>
    <row r="37" spans="7:17" x14ac:dyDescent="0.3">
      <c r="G37" s="348" t="s">
        <v>683</v>
      </c>
      <c r="H37" s="348"/>
      <c r="I37" s="348"/>
      <c r="J37" s="136" t="s">
        <v>684</v>
      </c>
      <c r="K37" s="157" t="e">
        <f>K54*#REF!*3.14*(0.015^2)</f>
        <v>#REF!</v>
      </c>
      <c r="L37" s="117" t="s">
        <v>496</v>
      </c>
    </row>
    <row r="38" spans="7:17" x14ac:dyDescent="0.3">
      <c r="G38" s="348" t="s">
        <v>685</v>
      </c>
      <c r="H38" s="348"/>
      <c r="I38" s="348"/>
      <c r="J38" s="139" t="s">
        <v>686</v>
      </c>
      <c r="K38" s="136">
        <v>22.8</v>
      </c>
      <c r="L38" s="117" t="s">
        <v>104</v>
      </c>
    </row>
    <row r="39" spans="7:17" x14ac:dyDescent="0.3">
      <c r="G39" s="348" t="s">
        <v>687</v>
      </c>
      <c r="H39" s="348"/>
      <c r="I39" s="348"/>
      <c r="J39" s="136" t="s">
        <v>688</v>
      </c>
      <c r="K39" s="153">
        <v>5</v>
      </c>
      <c r="L39" s="117"/>
    </row>
    <row r="40" spans="7:17" x14ac:dyDescent="0.3">
      <c r="G40" s="117"/>
      <c r="H40" s="117"/>
      <c r="I40" s="117"/>
      <c r="J40" s="117"/>
      <c r="K40" s="117"/>
      <c r="L40" s="117"/>
    </row>
    <row r="41" spans="7:17" x14ac:dyDescent="0.3">
      <c r="G41" s="348" t="s">
        <v>689</v>
      </c>
      <c r="H41" s="348"/>
      <c r="I41" s="348"/>
      <c r="J41" s="136" t="s">
        <v>690</v>
      </c>
      <c r="K41" s="153">
        <v>5</v>
      </c>
      <c r="L41" s="117" t="s">
        <v>691</v>
      </c>
    </row>
    <row r="42" spans="7:17" x14ac:dyDescent="0.3">
      <c r="G42" s="348" t="s">
        <v>692</v>
      </c>
      <c r="H42" s="348"/>
      <c r="I42" s="348"/>
      <c r="J42" s="136" t="s">
        <v>693</v>
      </c>
      <c r="K42" s="153">
        <v>150</v>
      </c>
      <c r="L42" s="117" t="s">
        <v>664</v>
      </c>
    </row>
    <row r="43" spans="7:17" x14ac:dyDescent="0.3">
      <c r="G43" s="117"/>
      <c r="H43" s="117"/>
      <c r="I43" s="117"/>
      <c r="J43" s="117"/>
      <c r="K43" s="117"/>
      <c r="L43" s="117"/>
      <c r="N43" s="556" t="s">
        <v>745</v>
      </c>
      <c r="O43" s="557"/>
      <c r="P43" s="557"/>
      <c r="Q43" s="558"/>
    </row>
    <row r="44" spans="7:17" x14ac:dyDescent="0.3">
      <c r="G44" s="348" t="s">
        <v>694</v>
      </c>
      <c r="H44" s="348"/>
      <c r="I44" s="348"/>
      <c r="J44" s="136" t="s">
        <v>695</v>
      </c>
      <c r="K44" s="136">
        <v>55</v>
      </c>
      <c r="L44" s="117" t="s">
        <v>104</v>
      </c>
      <c r="N44" s="554" t="s">
        <v>746</v>
      </c>
      <c r="O44" s="554" t="s">
        <v>747</v>
      </c>
      <c r="P44" s="555" t="s">
        <v>748</v>
      </c>
      <c r="Q44" s="554" t="s">
        <v>749</v>
      </c>
    </row>
    <row r="45" spans="7:17" x14ac:dyDescent="0.3">
      <c r="G45" s="348" t="s">
        <v>696</v>
      </c>
      <c r="H45" s="348"/>
      <c r="I45" s="348"/>
      <c r="J45" s="136" t="s">
        <v>697</v>
      </c>
      <c r="K45" s="136">
        <f>55-K38</f>
        <v>32.200000000000003</v>
      </c>
      <c r="L45" s="117" t="s">
        <v>104</v>
      </c>
      <c r="N45" s="554"/>
      <c r="O45" s="554"/>
      <c r="P45" s="555"/>
      <c r="Q45" s="554"/>
    </row>
    <row r="46" spans="7:17" x14ac:dyDescent="0.3">
      <c r="G46" s="348" t="s">
        <v>698</v>
      </c>
      <c r="H46" s="348"/>
      <c r="I46" s="348"/>
      <c r="J46" s="136" t="s">
        <v>699</v>
      </c>
      <c r="K46" s="153">
        <f>P47</f>
        <v>3.2</v>
      </c>
      <c r="L46" s="117" t="s">
        <v>700</v>
      </c>
      <c r="N46" s="257" t="s">
        <v>750</v>
      </c>
      <c r="O46" s="257" t="s">
        <v>751</v>
      </c>
      <c r="P46" s="159" t="s">
        <v>700</v>
      </c>
      <c r="Q46" s="257" t="s">
        <v>628</v>
      </c>
    </row>
    <row r="47" spans="7:17" x14ac:dyDescent="0.3">
      <c r="G47" s="117"/>
      <c r="H47" s="117"/>
      <c r="I47" s="117"/>
      <c r="J47" s="117"/>
      <c r="K47" s="117"/>
      <c r="L47" s="117"/>
      <c r="N47" s="105">
        <v>250</v>
      </c>
      <c r="O47" s="105">
        <v>1.89</v>
      </c>
      <c r="P47" s="158">
        <v>3.2</v>
      </c>
      <c r="Q47" s="105">
        <v>16</v>
      </c>
    </row>
    <row r="48" spans="7:17" x14ac:dyDescent="0.3">
      <c r="L48" s="117"/>
      <c r="N48" s="105">
        <v>400</v>
      </c>
      <c r="O48" s="105">
        <v>2.74</v>
      </c>
      <c r="P48" s="158">
        <v>4.4000000000000004</v>
      </c>
      <c r="Q48" s="105">
        <v>17</v>
      </c>
    </row>
    <row r="49" spans="7:17" x14ac:dyDescent="0.3">
      <c r="G49" s="348" t="s">
        <v>632</v>
      </c>
      <c r="H49" s="348"/>
      <c r="I49" s="348"/>
      <c r="J49" s="148" t="s">
        <v>633</v>
      </c>
      <c r="K49" s="104">
        <f>(3.14)/((1/2*K17)*(LN(K14))+(1/(K16*K18)))</f>
        <v>0.15554180046340077</v>
      </c>
      <c r="L49" s="117" t="s">
        <v>634</v>
      </c>
      <c r="N49" s="105">
        <v>630</v>
      </c>
      <c r="O49" s="105">
        <v>4.25</v>
      </c>
      <c r="P49" s="158">
        <v>6</v>
      </c>
      <c r="Q49" s="105">
        <v>19</v>
      </c>
    </row>
    <row r="50" spans="7:17" x14ac:dyDescent="0.3">
      <c r="G50" s="348" t="s">
        <v>636</v>
      </c>
      <c r="H50" s="348"/>
      <c r="I50" s="348"/>
      <c r="J50" s="148" t="s">
        <v>637</v>
      </c>
      <c r="K50" s="160">
        <f>(K12+K13)/2</f>
        <v>7.7770900231700385E-2</v>
      </c>
      <c r="L50" s="117" t="s">
        <v>104</v>
      </c>
      <c r="N50" s="105">
        <v>1000</v>
      </c>
      <c r="O50" s="105">
        <v>6.13</v>
      </c>
      <c r="P50" s="158">
        <v>8</v>
      </c>
      <c r="Q50" s="105">
        <v>19</v>
      </c>
    </row>
    <row r="51" spans="7:17" x14ac:dyDescent="0.3">
      <c r="G51" s="348" t="s">
        <v>641</v>
      </c>
      <c r="H51" s="348"/>
      <c r="I51" s="348"/>
      <c r="J51" s="137" t="s">
        <v>642</v>
      </c>
      <c r="K51" s="156">
        <v>10</v>
      </c>
      <c r="L51" s="117" t="s">
        <v>104</v>
      </c>
      <c r="N51" s="105">
        <v>1600</v>
      </c>
      <c r="O51" s="105">
        <v>8.1999999999999993</v>
      </c>
      <c r="P51" s="158">
        <v>11</v>
      </c>
      <c r="Q51" s="105">
        <v>20</v>
      </c>
    </row>
    <row r="52" spans="7:17" x14ac:dyDescent="0.3">
      <c r="G52" s="348" t="s">
        <v>643</v>
      </c>
      <c r="H52" s="348"/>
      <c r="I52" s="348"/>
      <c r="J52" s="137" t="s">
        <v>644</v>
      </c>
      <c r="K52" s="156">
        <v>150</v>
      </c>
      <c r="L52" s="117" t="s">
        <v>114</v>
      </c>
      <c r="N52" s="105">
        <v>2500</v>
      </c>
      <c r="O52" s="105">
        <v>10.199999999999999</v>
      </c>
      <c r="P52" s="158">
        <v>15</v>
      </c>
      <c r="Q52" s="105">
        <v>20</v>
      </c>
    </row>
    <row r="53" spans="7:17" x14ac:dyDescent="0.3">
      <c r="G53" s="348" t="s">
        <v>645</v>
      </c>
      <c r="H53" s="348"/>
      <c r="I53" s="348"/>
      <c r="J53" s="137" t="s">
        <v>646</v>
      </c>
      <c r="K53" s="104">
        <f>K26</f>
        <v>1.33</v>
      </c>
      <c r="L53" s="117"/>
      <c r="N53" s="105">
        <v>4000</v>
      </c>
      <c r="O53" s="105">
        <v>13.63</v>
      </c>
      <c r="P53" s="158">
        <v>20</v>
      </c>
      <c r="Q53" s="105">
        <v>21</v>
      </c>
    </row>
    <row r="54" spans="7:17" x14ac:dyDescent="0.3">
      <c r="G54" s="348" t="s">
        <v>752</v>
      </c>
      <c r="H54" s="348"/>
      <c r="I54" s="348"/>
      <c r="J54" s="137" t="s">
        <v>750</v>
      </c>
      <c r="K54" s="156">
        <f>20</f>
        <v>20</v>
      </c>
      <c r="L54" s="117" t="s">
        <v>114</v>
      </c>
      <c r="N54" s="105">
        <v>6300</v>
      </c>
      <c r="O54" s="105">
        <v>19.03</v>
      </c>
      <c r="P54" s="158">
        <v>27</v>
      </c>
      <c r="Q54" s="105">
        <v>22</v>
      </c>
    </row>
    <row r="55" spans="7:17" x14ac:dyDescent="0.3">
      <c r="G55" s="117"/>
      <c r="H55" s="117"/>
      <c r="I55" s="117"/>
      <c r="J55" s="117"/>
      <c r="K55" s="117"/>
      <c r="L55" s="117"/>
      <c r="N55" s="105">
        <v>10000</v>
      </c>
      <c r="O55" s="105">
        <v>27.3</v>
      </c>
      <c r="P55" s="158">
        <v>36</v>
      </c>
      <c r="Q55" s="105">
        <v>23</v>
      </c>
    </row>
    <row r="56" spans="7:17" x14ac:dyDescent="0.3">
      <c r="G56" s="117"/>
      <c r="H56" s="117"/>
      <c r="I56" s="117"/>
      <c r="J56" s="117"/>
      <c r="K56" s="117"/>
      <c r="L56" s="117"/>
      <c r="N56" s="259"/>
      <c r="O56" s="259"/>
      <c r="P56" s="259"/>
      <c r="Q56" s="259"/>
    </row>
    <row r="57" spans="7:17" x14ac:dyDescent="0.3">
      <c r="G57" s="117"/>
      <c r="H57" s="117"/>
      <c r="I57" s="117"/>
      <c r="J57" s="117"/>
      <c r="K57" s="117"/>
      <c r="L57" s="117"/>
      <c r="N57" s="259"/>
      <c r="O57" s="259"/>
      <c r="P57" s="259"/>
      <c r="Q57" s="259"/>
    </row>
    <row r="58" spans="7:17" x14ac:dyDescent="0.3">
      <c r="G58" s="117"/>
      <c r="H58" s="117"/>
      <c r="I58" s="117"/>
      <c r="J58" s="117"/>
      <c r="K58" s="117"/>
      <c r="L58" s="117"/>
      <c r="N58" s="259"/>
      <c r="O58" s="259"/>
      <c r="P58" s="259"/>
      <c r="Q58" s="259"/>
    </row>
    <row r="59" spans="7:17" x14ac:dyDescent="0.3">
      <c r="G59" s="117"/>
      <c r="H59" s="117"/>
      <c r="I59" s="117"/>
      <c r="J59" s="117"/>
      <c r="K59" s="117"/>
      <c r="L59" s="117"/>
      <c r="N59" s="259"/>
      <c r="O59" s="259"/>
      <c r="P59" s="259"/>
      <c r="Q59" s="259"/>
    </row>
  </sheetData>
  <mergeCells count="53">
    <mergeCell ref="G54:I54"/>
    <mergeCell ref="G49:I49"/>
    <mergeCell ref="G50:I50"/>
    <mergeCell ref="G51:I51"/>
    <mergeCell ref="G52:I52"/>
    <mergeCell ref="G53:I53"/>
    <mergeCell ref="Q44:Q45"/>
    <mergeCell ref="N43:Q43"/>
    <mergeCell ref="G44:I44"/>
    <mergeCell ref="G45:I45"/>
    <mergeCell ref="G46:I46"/>
    <mergeCell ref="G41:I41"/>
    <mergeCell ref="G42:I42"/>
    <mergeCell ref="N44:N45"/>
    <mergeCell ref="O44:O45"/>
    <mergeCell ref="P44:P45"/>
    <mergeCell ref="G36:I36"/>
    <mergeCell ref="G37:I37"/>
    <mergeCell ref="G38:I38"/>
    <mergeCell ref="G39:I39"/>
    <mergeCell ref="G9:I9"/>
    <mergeCell ref="G10:I10"/>
    <mergeCell ref="G11:I11"/>
    <mergeCell ref="G34:I34"/>
    <mergeCell ref="G28:I28"/>
    <mergeCell ref="G15:I16"/>
    <mergeCell ref="G26:I27"/>
    <mergeCell ref="G21:I21"/>
    <mergeCell ref="G22:I22"/>
    <mergeCell ref="G23:I23"/>
    <mergeCell ref="G24:I24"/>
    <mergeCell ref="G25:I25"/>
    <mergeCell ref="G6:I6"/>
    <mergeCell ref="G8:I8"/>
    <mergeCell ref="G12:I12"/>
    <mergeCell ref="G14:I14"/>
    <mergeCell ref="A1:C1"/>
    <mergeCell ref="G1:K1"/>
    <mergeCell ref="G2:K2"/>
    <mergeCell ref="G3:I3"/>
    <mergeCell ref="G4:I4"/>
    <mergeCell ref="G5:I5"/>
    <mergeCell ref="G7:I7"/>
    <mergeCell ref="G13:I13"/>
    <mergeCell ref="H30:I30"/>
    <mergeCell ref="H31:I31"/>
    <mergeCell ref="G32:I32"/>
    <mergeCell ref="G33:I33"/>
    <mergeCell ref="G17:I17"/>
    <mergeCell ref="G18:I18"/>
    <mergeCell ref="G19:I19"/>
    <mergeCell ref="G20:I20"/>
    <mergeCell ref="G29:I29"/>
  </mergeCells>
  <dataValidations disablePrompts="1" count="1">
    <dataValidation type="list" allowBlank="1" showInputMessage="1" showErrorMessage="1" sqref="K51" xr:uid="{00000000-0002-0000-1400-000000000000}">
      <formula1>#REF!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22</vt:i4>
      </vt:variant>
    </vt:vector>
  </HeadingPairs>
  <TitlesOfParts>
    <vt:vector size="22" baseType="lpstr">
      <vt:lpstr>VstupneUdaje</vt:lpstr>
      <vt:lpstr>Dennostupne</vt:lpstr>
      <vt:lpstr>Hárok7</vt:lpstr>
      <vt:lpstr>Konstrukcie</vt:lpstr>
      <vt:lpstr>Konstrukcie nové</vt:lpstr>
      <vt:lpstr>PodlahaTeren</vt:lpstr>
      <vt:lpstr>OtvoroveKonstrukcie</vt:lpstr>
      <vt:lpstr>KonstrukcieSUM</vt:lpstr>
      <vt:lpstr>OtvoroveKonstrukcie nové</vt:lpstr>
      <vt:lpstr>TepelneStraty</vt:lpstr>
      <vt:lpstr>PotrebaTeplaVyk nové</vt:lpstr>
      <vt:lpstr>PotrebaTeplaVyk 3 roky_STENY</vt:lpstr>
      <vt:lpstr>PotrebaTeplaVyk 3 roky_STRECHA</vt:lpstr>
      <vt:lpstr>PotrebaTeplaVyk 3 roky_OKNA</vt:lpstr>
      <vt:lpstr>VYK_bilancia</vt:lpstr>
      <vt:lpstr>TV_bilancia</vt:lpstr>
      <vt:lpstr>osvetlenie</vt:lpstr>
      <vt:lpstr>TV-Solar_Vstupy</vt:lpstr>
      <vt:lpstr>PotrebEnergieVYK 2018</vt:lpstr>
      <vt:lpstr>PotrebEnergieVYK 2017</vt:lpstr>
      <vt:lpstr>PotrebEnergieVYK 2016</vt:lpstr>
      <vt:lpstr>PotrebaEnergieTV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Veronika Gombosova</dc:creator>
  <cp:keywords/>
  <dc:description/>
  <cp:lastModifiedBy>Karolína Gábrišová</cp:lastModifiedBy>
  <cp:revision/>
  <dcterms:created xsi:type="dcterms:W3CDTF">2015-06-05T18:19:34Z</dcterms:created>
  <dcterms:modified xsi:type="dcterms:W3CDTF">2025-10-13T14:13:12Z</dcterms:modified>
  <cp:category/>
  <cp:contentStatus/>
</cp:coreProperties>
</file>