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tubask-my.sharepoint.com/personal/karolina_gabrisova_stuba_sk/Documents/01_Škola/01_PhD/2. ročník 2025-2026/01_Výučba/KaGa - EACB 2025/01 Zadanie 1/"/>
    </mc:Choice>
  </mc:AlternateContent>
  <xr:revisionPtr revIDLastSave="11" documentId="13_ncr:1_{0E4D9DD7-70F8-4007-98B4-88C42AFFAEF3}" xr6:coauthVersionLast="47" xr6:coauthVersionMax="47" xr10:uidLastSave="{CC8943C1-D7CB-4A18-9576-FC0E3C104006}"/>
  <bookViews>
    <workbookView xWindow="-28920" yWindow="-1845" windowWidth="29040" windowHeight="17520" xr2:uid="{00000000-000D-0000-FFFF-FFFF00000000}"/>
  </bookViews>
  <sheets>
    <sheet name="Mesačný priemer vonk. teploty" sheetId="7" r:id="rId1"/>
    <sheet name="Intenzita sln. žiarenia" sheetId="10" r:id="rId2"/>
  </sheets>
  <externalReferences>
    <externalReference r:id="rId3"/>
  </externalReferences>
  <definedNames>
    <definedName name="konštrukcie">[1]zoznamy!$A$3:$A$10</definedName>
    <definedName name="materialy">[1]zoznamy!$F$3:$F$65541</definedName>
    <definedName name="odpory">[1]zoznamy!$C$3:$C$6</definedName>
    <definedName name="systém">[1]zoznamy!$AB$2:$AB$3</definedName>
    <definedName name="Z_2EDB7387_9FC9_40AF_A862_6DBD13569CFF_.wvu.Cols" localSheetId="1" hidden="1">'Intenzita sln. žiarenia'!$F:$G,'Intenzita sln. žiarenia'!#REF!,'Intenzita sln. žiarenia'!#REF!,'Intenzita sln. žiarenia'!$X:$Y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4" i="10" l="1"/>
  <c r="BI267" i="10"/>
  <c r="BF267" i="10"/>
  <c r="BC267" i="10"/>
  <c r="AZ267" i="10"/>
  <c r="BI266" i="10"/>
  <c r="BF266" i="10"/>
  <c r="BC266" i="10"/>
  <c r="AZ266" i="10"/>
  <c r="BI265" i="10"/>
  <c r="BF265" i="10"/>
  <c r="BC265" i="10"/>
  <c r="AZ265" i="10"/>
  <c r="BI264" i="10"/>
  <c r="BF264" i="10"/>
  <c r="BC264" i="10"/>
  <c r="AZ264" i="10"/>
  <c r="BI263" i="10"/>
  <c r="BF263" i="10"/>
  <c r="BC263" i="10"/>
  <c r="AZ263" i="10"/>
  <c r="BI262" i="10"/>
  <c r="BF262" i="10"/>
  <c r="BC262" i="10"/>
  <c r="AZ262" i="10"/>
  <c r="BI261" i="10"/>
  <c r="BF261" i="10"/>
  <c r="BC261" i="10"/>
  <c r="AZ261" i="10"/>
  <c r="BI260" i="10"/>
  <c r="BF260" i="10"/>
  <c r="BC260" i="10"/>
  <c r="AZ260" i="10"/>
  <c r="BI259" i="10"/>
  <c r="BF259" i="10"/>
  <c r="BC259" i="10"/>
  <c r="AZ259" i="10"/>
  <c r="BI258" i="10"/>
  <c r="BF258" i="10"/>
  <c r="BC258" i="10"/>
  <c r="AZ258" i="10"/>
  <c r="BI257" i="10"/>
  <c r="BF257" i="10"/>
  <c r="BC257" i="10"/>
  <c r="AZ257" i="10"/>
  <c r="BI256" i="10"/>
  <c r="BF256" i="10"/>
  <c r="BC256" i="10"/>
  <c r="AZ256" i="10"/>
  <c r="BI252" i="10"/>
  <c r="BF252" i="10"/>
  <c r="BC252" i="10"/>
  <c r="AZ252" i="10"/>
  <c r="BI251" i="10"/>
  <c r="BF251" i="10"/>
  <c r="BC251" i="10"/>
  <c r="AZ251" i="10"/>
  <c r="BI250" i="10"/>
  <c r="BF250" i="10"/>
  <c r="BC250" i="10"/>
  <c r="AZ250" i="10"/>
  <c r="BI249" i="10"/>
  <c r="BF249" i="10"/>
  <c r="BC249" i="10"/>
  <c r="AZ249" i="10"/>
  <c r="BI248" i="10"/>
  <c r="BF248" i="10"/>
  <c r="BC248" i="10"/>
  <c r="AZ248" i="10"/>
  <c r="BI247" i="10"/>
  <c r="BF247" i="10"/>
  <c r="BC247" i="10"/>
  <c r="AZ247" i="10"/>
  <c r="BI246" i="10"/>
  <c r="BF246" i="10"/>
  <c r="BC246" i="10"/>
  <c r="AZ246" i="10"/>
  <c r="BI245" i="10"/>
  <c r="BF245" i="10"/>
  <c r="BC245" i="10"/>
  <c r="AZ245" i="10"/>
  <c r="BI244" i="10"/>
  <c r="BF244" i="10"/>
  <c r="BC244" i="10"/>
  <c r="AZ244" i="10"/>
  <c r="BI243" i="10"/>
  <c r="BF243" i="10"/>
  <c r="BC243" i="10"/>
  <c r="AZ243" i="10"/>
  <c r="BI242" i="10"/>
  <c r="BF242" i="10"/>
  <c r="BC242" i="10"/>
  <c r="AZ242" i="10"/>
  <c r="BI241" i="10"/>
  <c r="BF241" i="10"/>
  <c r="BC241" i="10"/>
  <c r="AZ241" i="10"/>
  <c r="BI237" i="10"/>
  <c r="BF237" i="10"/>
  <c r="BC237" i="10"/>
  <c r="AZ237" i="10"/>
  <c r="BI236" i="10"/>
  <c r="BF236" i="10"/>
  <c r="BC236" i="10"/>
  <c r="AZ236" i="10"/>
  <c r="BI235" i="10"/>
  <c r="BF235" i="10"/>
  <c r="BC235" i="10"/>
  <c r="AZ235" i="10"/>
  <c r="BI234" i="10"/>
  <c r="BF234" i="10"/>
  <c r="BC234" i="10"/>
  <c r="AZ234" i="10"/>
  <c r="BI233" i="10"/>
  <c r="BF233" i="10"/>
  <c r="BC233" i="10"/>
  <c r="AZ233" i="10"/>
  <c r="BI232" i="10"/>
  <c r="BF232" i="10"/>
  <c r="BC232" i="10"/>
  <c r="AZ232" i="10"/>
  <c r="BI231" i="10"/>
  <c r="BF231" i="10"/>
  <c r="BC231" i="10"/>
  <c r="AZ231" i="10"/>
  <c r="BI230" i="10"/>
  <c r="BF230" i="10"/>
  <c r="BC230" i="10"/>
  <c r="AZ230" i="10"/>
  <c r="BI229" i="10"/>
  <c r="BF229" i="10"/>
  <c r="BC229" i="10"/>
  <c r="AZ229" i="10"/>
  <c r="BI228" i="10"/>
  <c r="BF228" i="10"/>
  <c r="BC228" i="10"/>
  <c r="AZ228" i="10"/>
  <c r="BI227" i="10"/>
  <c r="BF227" i="10"/>
  <c r="BC227" i="10"/>
  <c r="AZ227" i="10"/>
  <c r="BI226" i="10"/>
  <c r="BF226" i="10"/>
  <c r="BC226" i="10"/>
  <c r="AZ226" i="10"/>
  <c r="BI222" i="10"/>
  <c r="BF222" i="10"/>
  <c r="BC222" i="10"/>
  <c r="AZ222" i="10"/>
  <c r="BI221" i="10"/>
  <c r="BF221" i="10"/>
  <c r="BC221" i="10"/>
  <c r="AZ221" i="10"/>
  <c r="BI220" i="10"/>
  <c r="BF220" i="10"/>
  <c r="BC220" i="10"/>
  <c r="AZ220" i="10"/>
  <c r="BI219" i="10"/>
  <c r="BF219" i="10"/>
  <c r="BC219" i="10"/>
  <c r="AZ219" i="10"/>
  <c r="BI218" i="10"/>
  <c r="BF218" i="10"/>
  <c r="BC218" i="10"/>
  <c r="AZ218" i="10"/>
  <c r="BI217" i="10"/>
  <c r="BF217" i="10"/>
  <c r="BC217" i="10"/>
  <c r="AZ217" i="10"/>
  <c r="BI216" i="10"/>
  <c r="BF216" i="10"/>
  <c r="BC216" i="10"/>
  <c r="AZ216" i="10"/>
  <c r="BI215" i="10"/>
  <c r="BF215" i="10"/>
  <c r="BC215" i="10"/>
  <c r="AZ215" i="10"/>
  <c r="BI214" i="10"/>
  <c r="BF214" i="10"/>
  <c r="BC214" i="10"/>
  <c r="AZ214" i="10"/>
  <c r="BI213" i="10"/>
  <c r="BF213" i="10"/>
  <c r="BC213" i="10"/>
  <c r="AZ213" i="10"/>
  <c r="BI212" i="10"/>
  <c r="BF212" i="10"/>
  <c r="BC212" i="10"/>
  <c r="AZ212" i="10"/>
  <c r="BI211" i="10"/>
  <c r="BF211" i="10"/>
  <c r="BC211" i="10"/>
  <c r="AZ211" i="10"/>
  <c r="BI207" i="10"/>
  <c r="BF207" i="10"/>
  <c r="BC207" i="10"/>
  <c r="AZ207" i="10"/>
  <c r="BI206" i="10"/>
  <c r="BF206" i="10"/>
  <c r="BC206" i="10"/>
  <c r="AZ206" i="10"/>
  <c r="BI205" i="10"/>
  <c r="BF205" i="10"/>
  <c r="BC205" i="10"/>
  <c r="AZ205" i="10"/>
  <c r="BI204" i="10"/>
  <c r="BF204" i="10"/>
  <c r="BC204" i="10"/>
  <c r="AZ204" i="10"/>
  <c r="BI203" i="10"/>
  <c r="BF203" i="10"/>
  <c r="BC203" i="10"/>
  <c r="AZ203" i="10"/>
  <c r="BI202" i="10"/>
  <c r="BF202" i="10"/>
  <c r="BC202" i="10"/>
  <c r="AZ202" i="10"/>
  <c r="BI201" i="10"/>
  <c r="BF201" i="10"/>
  <c r="BC201" i="10"/>
  <c r="AZ201" i="10"/>
  <c r="BI200" i="10"/>
  <c r="BF200" i="10"/>
  <c r="BC200" i="10"/>
  <c r="AZ200" i="10"/>
  <c r="BI199" i="10"/>
  <c r="BF199" i="10"/>
  <c r="BC199" i="10"/>
  <c r="AZ199" i="10"/>
  <c r="BI198" i="10"/>
  <c r="BF198" i="10"/>
  <c r="BC198" i="10"/>
  <c r="AZ198" i="10"/>
  <c r="BI197" i="10"/>
  <c r="BF197" i="10"/>
  <c r="BC197" i="10"/>
  <c r="AZ197" i="10"/>
  <c r="BI196" i="10"/>
  <c r="BF196" i="10"/>
  <c r="BC196" i="10"/>
  <c r="AZ196" i="10"/>
  <c r="BI192" i="10"/>
  <c r="BF192" i="10"/>
  <c r="BC192" i="10"/>
  <c r="AZ192" i="10"/>
  <c r="BI191" i="10"/>
  <c r="BF191" i="10"/>
  <c r="BC191" i="10"/>
  <c r="AZ191" i="10"/>
  <c r="BI190" i="10"/>
  <c r="BF190" i="10"/>
  <c r="BC190" i="10"/>
  <c r="AZ190" i="10"/>
  <c r="BI189" i="10"/>
  <c r="BF189" i="10"/>
  <c r="BC189" i="10"/>
  <c r="AZ189" i="10"/>
  <c r="BI188" i="10"/>
  <c r="BF188" i="10"/>
  <c r="BC188" i="10"/>
  <c r="AZ188" i="10"/>
  <c r="BI187" i="10"/>
  <c r="BF187" i="10"/>
  <c r="BC187" i="10"/>
  <c r="AZ187" i="10"/>
  <c r="BI186" i="10"/>
  <c r="BF186" i="10"/>
  <c r="BC186" i="10"/>
  <c r="AZ186" i="10"/>
  <c r="BI185" i="10"/>
  <c r="BF185" i="10"/>
  <c r="BC185" i="10"/>
  <c r="AZ185" i="10"/>
  <c r="BI184" i="10"/>
  <c r="BF184" i="10"/>
  <c r="BC184" i="10"/>
  <c r="AZ184" i="10"/>
  <c r="BI183" i="10"/>
  <c r="BF183" i="10"/>
  <c r="BC183" i="10"/>
  <c r="AZ183" i="10"/>
  <c r="BI182" i="10"/>
  <c r="BF182" i="10"/>
  <c r="BC182" i="10"/>
  <c r="AZ182" i="10"/>
  <c r="BI181" i="10"/>
  <c r="BF181" i="10"/>
  <c r="BC181" i="10"/>
  <c r="AZ181" i="10"/>
  <c r="BI177" i="10"/>
  <c r="BF177" i="10"/>
  <c r="BC177" i="10"/>
  <c r="AZ177" i="10"/>
  <c r="BI176" i="10"/>
  <c r="BF176" i="10"/>
  <c r="BC176" i="10"/>
  <c r="AZ176" i="10"/>
  <c r="BI175" i="10"/>
  <c r="BF175" i="10"/>
  <c r="BC175" i="10"/>
  <c r="AZ175" i="10"/>
  <c r="BI174" i="10"/>
  <c r="BF174" i="10"/>
  <c r="BC174" i="10"/>
  <c r="AZ174" i="10"/>
  <c r="BI173" i="10"/>
  <c r="BF173" i="10"/>
  <c r="BC173" i="10"/>
  <c r="AZ173" i="10"/>
  <c r="BI172" i="10"/>
  <c r="BF172" i="10"/>
  <c r="BC172" i="10"/>
  <c r="AZ172" i="10"/>
  <c r="BI171" i="10"/>
  <c r="BF171" i="10"/>
  <c r="BC171" i="10"/>
  <c r="AZ171" i="10"/>
  <c r="BI170" i="10"/>
  <c r="BF170" i="10"/>
  <c r="BC170" i="10"/>
  <c r="AZ170" i="10"/>
  <c r="BI169" i="10"/>
  <c r="BF169" i="10"/>
  <c r="BC169" i="10"/>
  <c r="AZ169" i="10"/>
  <c r="BI168" i="10"/>
  <c r="BF168" i="10"/>
  <c r="BC168" i="10"/>
  <c r="AZ168" i="10"/>
  <c r="BI167" i="10"/>
  <c r="BF167" i="10"/>
  <c r="BC167" i="10"/>
  <c r="AZ167" i="10"/>
  <c r="BI166" i="10"/>
  <c r="BF166" i="10"/>
  <c r="BC166" i="10"/>
  <c r="AZ166" i="10"/>
  <c r="BI162" i="10"/>
  <c r="BF162" i="10"/>
  <c r="BC162" i="10"/>
  <c r="AZ162" i="10"/>
  <c r="BI161" i="10"/>
  <c r="BF161" i="10"/>
  <c r="BC161" i="10"/>
  <c r="AZ161" i="10"/>
  <c r="BI160" i="10"/>
  <c r="BF160" i="10"/>
  <c r="BC160" i="10"/>
  <c r="AZ160" i="10"/>
  <c r="BI159" i="10"/>
  <c r="BF159" i="10"/>
  <c r="BC159" i="10"/>
  <c r="AZ159" i="10"/>
  <c r="BI158" i="10"/>
  <c r="BF158" i="10"/>
  <c r="BC158" i="10"/>
  <c r="AZ158" i="10"/>
  <c r="BI157" i="10"/>
  <c r="BF157" i="10"/>
  <c r="BC157" i="10"/>
  <c r="AZ157" i="10"/>
  <c r="BI156" i="10"/>
  <c r="BF156" i="10"/>
  <c r="BC156" i="10"/>
  <c r="AZ156" i="10"/>
  <c r="BI155" i="10"/>
  <c r="BF155" i="10"/>
  <c r="BC155" i="10"/>
  <c r="AZ155" i="10"/>
  <c r="BI154" i="10"/>
  <c r="BF154" i="10"/>
  <c r="BC154" i="10"/>
  <c r="AZ154" i="10"/>
  <c r="BI153" i="10"/>
  <c r="BF153" i="10"/>
  <c r="BC153" i="10"/>
  <c r="AZ153" i="10"/>
  <c r="BI152" i="10"/>
  <c r="BF152" i="10"/>
  <c r="BC152" i="10"/>
  <c r="AZ152" i="10"/>
  <c r="BI151" i="10"/>
  <c r="BF151" i="10"/>
  <c r="BC151" i="10"/>
  <c r="AZ151" i="10"/>
  <c r="BI147" i="10"/>
  <c r="BF147" i="10"/>
  <c r="BC147" i="10"/>
  <c r="AZ147" i="10"/>
  <c r="BI146" i="10"/>
  <c r="BF146" i="10"/>
  <c r="BC146" i="10"/>
  <c r="AZ146" i="10"/>
  <c r="BI145" i="10"/>
  <c r="BF145" i="10"/>
  <c r="BC145" i="10"/>
  <c r="AZ145" i="10"/>
  <c r="BI144" i="10"/>
  <c r="BF144" i="10"/>
  <c r="BC144" i="10"/>
  <c r="AZ144" i="10"/>
  <c r="BI143" i="10"/>
  <c r="BF143" i="10"/>
  <c r="BC143" i="10"/>
  <c r="AZ143" i="10"/>
  <c r="BI142" i="10"/>
  <c r="BF142" i="10"/>
  <c r="BC142" i="10"/>
  <c r="AZ142" i="10"/>
  <c r="BI141" i="10"/>
  <c r="BF141" i="10"/>
  <c r="BC141" i="10"/>
  <c r="AZ141" i="10"/>
  <c r="BI140" i="10"/>
  <c r="BF140" i="10"/>
  <c r="BC140" i="10"/>
  <c r="AZ140" i="10"/>
  <c r="BI139" i="10"/>
  <c r="BF139" i="10"/>
  <c r="BC139" i="10"/>
  <c r="AZ139" i="10"/>
  <c r="BI138" i="10"/>
  <c r="BF138" i="10"/>
  <c r="BC138" i="10"/>
  <c r="AZ138" i="10"/>
  <c r="BI137" i="10"/>
  <c r="BF137" i="10"/>
  <c r="BC137" i="10"/>
  <c r="AZ137" i="10"/>
  <c r="BI136" i="10"/>
  <c r="BF136" i="10"/>
  <c r="BC136" i="10"/>
  <c r="AZ136" i="10"/>
  <c r="BI131" i="10"/>
  <c r="BF131" i="10"/>
  <c r="BC131" i="10"/>
  <c r="AZ131" i="10"/>
  <c r="BI130" i="10"/>
  <c r="BF130" i="10"/>
  <c r="BC130" i="10"/>
  <c r="AZ130" i="10"/>
  <c r="BI129" i="10"/>
  <c r="BF129" i="10"/>
  <c r="BC129" i="10"/>
  <c r="AZ129" i="10"/>
  <c r="BI128" i="10"/>
  <c r="BF128" i="10"/>
  <c r="BC128" i="10"/>
  <c r="AZ128" i="10"/>
  <c r="BI127" i="10"/>
  <c r="BF127" i="10"/>
  <c r="BC127" i="10"/>
  <c r="AZ127" i="10"/>
  <c r="BI126" i="10"/>
  <c r="BF126" i="10"/>
  <c r="BC126" i="10"/>
  <c r="AZ126" i="10"/>
  <c r="BI125" i="10"/>
  <c r="BF125" i="10"/>
  <c r="BC125" i="10"/>
  <c r="AZ125" i="10"/>
  <c r="BI124" i="10"/>
  <c r="BF124" i="10"/>
  <c r="BC124" i="10"/>
  <c r="AZ124" i="10"/>
  <c r="BI123" i="10"/>
  <c r="BF123" i="10"/>
  <c r="BC123" i="10"/>
  <c r="AZ123" i="10"/>
  <c r="BI122" i="10"/>
  <c r="BF122" i="10"/>
  <c r="BC122" i="10"/>
  <c r="AZ122" i="10"/>
  <c r="BI121" i="10"/>
  <c r="BF121" i="10"/>
  <c r="BC121" i="10"/>
  <c r="AZ121" i="10"/>
  <c r="BI120" i="10"/>
  <c r="BF120" i="10"/>
  <c r="BC120" i="10"/>
  <c r="AZ120" i="10"/>
  <c r="BI115" i="10"/>
  <c r="BF115" i="10"/>
  <c r="BC115" i="10"/>
  <c r="AZ115" i="10"/>
  <c r="BI114" i="10"/>
  <c r="BF114" i="10"/>
  <c r="BC114" i="10"/>
  <c r="AZ114" i="10"/>
  <c r="BI113" i="10"/>
  <c r="BF113" i="10"/>
  <c r="BC113" i="10"/>
  <c r="AZ113" i="10"/>
  <c r="BI112" i="10"/>
  <c r="BF112" i="10"/>
  <c r="BC112" i="10"/>
  <c r="AZ112" i="10"/>
  <c r="BI111" i="10"/>
  <c r="BF111" i="10"/>
  <c r="BC111" i="10"/>
  <c r="AZ111" i="10"/>
  <c r="BI110" i="10"/>
  <c r="BF110" i="10"/>
  <c r="BC110" i="10"/>
  <c r="AZ110" i="10"/>
  <c r="BI109" i="10"/>
  <c r="BF109" i="10"/>
  <c r="BC109" i="10"/>
  <c r="AZ109" i="10"/>
  <c r="BI108" i="10"/>
  <c r="BF108" i="10"/>
  <c r="BC108" i="10"/>
  <c r="AZ108" i="10"/>
  <c r="BI107" i="10"/>
  <c r="BF107" i="10"/>
  <c r="BC107" i="10"/>
  <c r="AZ107" i="10"/>
  <c r="BI106" i="10"/>
  <c r="BF106" i="10"/>
  <c r="BC106" i="10"/>
  <c r="AZ106" i="10"/>
  <c r="BI105" i="10"/>
  <c r="BF105" i="10"/>
  <c r="BC105" i="10"/>
  <c r="AZ105" i="10"/>
  <c r="BI104" i="10"/>
  <c r="BF104" i="10"/>
  <c r="BC104" i="10"/>
  <c r="AZ104" i="10"/>
  <c r="BI98" i="10"/>
  <c r="BF98" i="10"/>
  <c r="BC98" i="10"/>
  <c r="AZ98" i="10"/>
  <c r="BI97" i="10"/>
  <c r="BF97" i="10"/>
  <c r="BC97" i="10"/>
  <c r="AZ97" i="10"/>
  <c r="BI96" i="10"/>
  <c r="BF96" i="10"/>
  <c r="BC96" i="10"/>
  <c r="AZ96" i="10"/>
  <c r="BI95" i="10"/>
  <c r="BF95" i="10"/>
  <c r="BC95" i="10"/>
  <c r="AZ95" i="10"/>
  <c r="BI94" i="10"/>
  <c r="BF94" i="10"/>
  <c r="BC94" i="10"/>
  <c r="AZ94" i="10"/>
  <c r="BI93" i="10"/>
  <c r="BF93" i="10"/>
  <c r="BC93" i="10"/>
  <c r="AZ93" i="10"/>
  <c r="BI92" i="10"/>
  <c r="BF92" i="10"/>
  <c r="BC92" i="10"/>
  <c r="AZ92" i="10"/>
  <c r="BI91" i="10"/>
  <c r="BF91" i="10"/>
  <c r="BC91" i="10"/>
  <c r="AZ91" i="10"/>
  <c r="BI90" i="10"/>
  <c r="BF90" i="10"/>
  <c r="BC90" i="10"/>
  <c r="AZ90" i="10"/>
  <c r="BI89" i="10"/>
  <c r="BF89" i="10"/>
  <c r="BC89" i="10"/>
  <c r="AZ89" i="10"/>
  <c r="BI88" i="10"/>
  <c r="BF88" i="10"/>
  <c r="BC88" i="10"/>
  <c r="AZ88" i="10"/>
  <c r="BI87" i="10"/>
  <c r="BF87" i="10"/>
  <c r="BC87" i="10"/>
  <c r="AZ87" i="10"/>
  <c r="BI82" i="10"/>
  <c r="BF82" i="10"/>
  <c r="BC82" i="10"/>
  <c r="AZ82" i="10"/>
  <c r="BI81" i="10"/>
  <c r="BF81" i="10"/>
  <c r="BC81" i="10"/>
  <c r="AZ81" i="10"/>
  <c r="BI80" i="10"/>
  <c r="BF80" i="10"/>
  <c r="BC80" i="10"/>
  <c r="AZ80" i="10"/>
  <c r="BI79" i="10"/>
  <c r="BF79" i="10"/>
  <c r="BC79" i="10"/>
  <c r="AZ79" i="10"/>
  <c r="BI78" i="10"/>
  <c r="BF78" i="10"/>
  <c r="BC78" i="10"/>
  <c r="AZ78" i="10"/>
  <c r="BI77" i="10"/>
  <c r="BF77" i="10"/>
  <c r="BC77" i="10"/>
  <c r="AZ77" i="10"/>
  <c r="BI76" i="10"/>
  <c r="BF76" i="10"/>
  <c r="BC76" i="10"/>
  <c r="AZ76" i="10"/>
  <c r="BI75" i="10"/>
  <c r="BF75" i="10"/>
  <c r="BC75" i="10"/>
  <c r="AZ75" i="10"/>
  <c r="BI74" i="10"/>
  <c r="BF74" i="10"/>
  <c r="BC74" i="10"/>
  <c r="AZ74" i="10"/>
  <c r="BI73" i="10"/>
  <c r="BF73" i="10"/>
  <c r="BC73" i="10"/>
  <c r="AZ73" i="10"/>
  <c r="BI72" i="10"/>
  <c r="BF72" i="10"/>
  <c r="BC72" i="10"/>
  <c r="AZ72" i="10"/>
  <c r="BI71" i="10"/>
  <c r="BF71" i="10"/>
  <c r="BC71" i="10"/>
  <c r="AZ71" i="10"/>
  <c r="BI67" i="10"/>
  <c r="BF67" i="10"/>
  <c r="BC67" i="10"/>
  <c r="AZ67" i="10"/>
  <c r="BI66" i="10"/>
  <c r="BF66" i="10"/>
  <c r="BC66" i="10"/>
  <c r="AZ66" i="10"/>
  <c r="BI65" i="10"/>
  <c r="BF65" i="10"/>
  <c r="BC65" i="10"/>
  <c r="AZ65" i="10"/>
  <c r="BI64" i="10"/>
  <c r="BF64" i="10"/>
  <c r="BC64" i="10"/>
  <c r="AZ64" i="10"/>
  <c r="BI63" i="10"/>
  <c r="BF63" i="10"/>
  <c r="BC63" i="10"/>
  <c r="AZ63" i="10"/>
  <c r="BI62" i="10"/>
  <c r="BF62" i="10"/>
  <c r="BC62" i="10"/>
  <c r="AZ62" i="10"/>
  <c r="BI61" i="10"/>
  <c r="BF61" i="10"/>
  <c r="BC61" i="10"/>
  <c r="AZ61" i="10"/>
  <c r="BI60" i="10"/>
  <c r="BF60" i="10"/>
  <c r="BC60" i="10"/>
  <c r="AZ60" i="10"/>
  <c r="BI59" i="10"/>
  <c r="BF59" i="10"/>
  <c r="BC59" i="10"/>
  <c r="AZ59" i="10"/>
  <c r="BI58" i="10"/>
  <c r="BF58" i="10"/>
  <c r="BC58" i="10"/>
  <c r="AZ58" i="10"/>
  <c r="BI57" i="10"/>
  <c r="BF57" i="10"/>
  <c r="BC57" i="10"/>
  <c r="AZ57" i="10"/>
  <c r="BI56" i="10"/>
  <c r="BF56" i="10"/>
  <c r="BC56" i="10"/>
  <c r="AZ56" i="10"/>
  <c r="BI52" i="10"/>
  <c r="BF52" i="10"/>
  <c r="BC52" i="10"/>
  <c r="AZ52" i="10"/>
  <c r="BI51" i="10"/>
  <c r="BF51" i="10"/>
  <c r="BC51" i="10"/>
  <c r="AZ51" i="10"/>
  <c r="BI50" i="10"/>
  <c r="BF50" i="10"/>
  <c r="BC50" i="10"/>
  <c r="AZ50" i="10"/>
  <c r="BI49" i="10"/>
  <c r="BF49" i="10"/>
  <c r="BC49" i="10"/>
  <c r="AZ49" i="10"/>
  <c r="BI48" i="10"/>
  <c r="BF48" i="10"/>
  <c r="BC48" i="10"/>
  <c r="AZ48" i="10"/>
  <c r="BI47" i="10"/>
  <c r="BF47" i="10"/>
  <c r="BC47" i="10"/>
  <c r="AZ47" i="10"/>
  <c r="BI46" i="10"/>
  <c r="BF46" i="10"/>
  <c r="BC46" i="10"/>
  <c r="AZ46" i="10"/>
  <c r="BI45" i="10"/>
  <c r="BF45" i="10"/>
  <c r="BC45" i="10"/>
  <c r="AZ45" i="10"/>
  <c r="BI44" i="10"/>
  <c r="BF44" i="10"/>
  <c r="BC44" i="10"/>
  <c r="AZ44" i="10"/>
  <c r="BI43" i="10"/>
  <c r="BF43" i="10"/>
  <c r="BC43" i="10"/>
  <c r="AZ43" i="10"/>
  <c r="BI42" i="10"/>
  <c r="BF42" i="10"/>
  <c r="BC42" i="10"/>
  <c r="AZ42" i="10"/>
  <c r="BI41" i="10"/>
  <c r="BF41" i="10"/>
  <c r="BC41" i="10"/>
  <c r="AZ41" i="10"/>
  <c r="BI37" i="10"/>
  <c r="BF37" i="10"/>
  <c r="BC37" i="10"/>
  <c r="AZ37" i="10"/>
  <c r="BI36" i="10"/>
  <c r="BF36" i="10"/>
  <c r="BC36" i="10"/>
  <c r="AZ36" i="10"/>
  <c r="BI35" i="10"/>
  <c r="BF35" i="10"/>
  <c r="BC35" i="10"/>
  <c r="AZ35" i="10"/>
  <c r="BI34" i="10"/>
  <c r="BF34" i="10"/>
  <c r="BC34" i="10"/>
  <c r="AZ34" i="10"/>
  <c r="BI33" i="10"/>
  <c r="BF33" i="10"/>
  <c r="BC33" i="10"/>
  <c r="AZ33" i="10"/>
  <c r="BI32" i="10"/>
  <c r="BF32" i="10"/>
  <c r="BC32" i="10"/>
  <c r="AZ32" i="10"/>
  <c r="BI31" i="10"/>
  <c r="BF31" i="10"/>
  <c r="BC31" i="10"/>
  <c r="AZ31" i="10"/>
  <c r="BI30" i="10"/>
  <c r="BF30" i="10"/>
  <c r="BC30" i="10"/>
  <c r="AZ30" i="10"/>
  <c r="BI29" i="10"/>
  <c r="BF29" i="10"/>
  <c r="BC29" i="10"/>
  <c r="AZ29" i="10"/>
  <c r="BI28" i="10"/>
  <c r="BF28" i="10"/>
  <c r="BC28" i="10"/>
  <c r="AZ28" i="10"/>
  <c r="BI27" i="10"/>
  <c r="BF27" i="10"/>
  <c r="BC27" i="10"/>
  <c r="AZ27" i="10"/>
  <c r="BI26" i="10"/>
  <c r="BF26" i="10"/>
  <c r="BC26" i="10"/>
  <c r="AZ26" i="10"/>
  <c r="BI22" i="10"/>
  <c r="BF22" i="10"/>
  <c r="BC22" i="10"/>
  <c r="AZ22" i="10"/>
  <c r="BI21" i="10"/>
  <c r="BF21" i="10"/>
  <c r="BC21" i="10"/>
  <c r="AZ21" i="10"/>
  <c r="BI20" i="10"/>
  <c r="BF20" i="10"/>
  <c r="BC20" i="10"/>
  <c r="AZ20" i="10"/>
  <c r="BI19" i="10"/>
  <c r="BF19" i="10"/>
  <c r="BC19" i="10"/>
  <c r="AZ19" i="10"/>
  <c r="BI18" i="10"/>
  <c r="BF18" i="10"/>
  <c r="BC18" i="10"/>
  <c r="AZ18" i="10"/>
  <c r="BI17" i="10"/>
  <c r="BF17" i="10"/>
  <c r="BC17" i="10"/>
  <c r="AZ17" i="10"/>
  <c r="BI16" i="10"/>
  <c r="BF16" i="10"/>
  <c r="BC16" i="10"/>
  <c r="AZ16" i="10"/>
  <c r="BI15" i="10"/>
  <c r="BF15" i="10"/>
  <c r="BC15" i="10"/>
  <c r="AZ15" i="10"/>
  <c r="BI14" i="10"/>
  <c r="BF14" i="10"/>
  <c r="BC14" i="10"/>
  <c r="BI13" i="10"/>
  <c r="BF13" i="10"/>
  <c r="BC13" i="10"/>
  <c r="AZ13" i="10"/>
  <c r="BI12" i="10"/>
  <c r="BF12" i="10"/>
  <c r="BC12" i="10"/>
  <c r="AZ12" i="10"/>
  <c r="BI11" i="10"/>
  <c r="BF11" i="10"/>
  <c r="BC11" i="10"/>
  <c r="AZ11" i="10"/>
  <c r="I58" i="7" l="1"/>
  <c r="I56" i="7"/>
  <c r="I53" i="7"/>
  <c r="I60" i="7"/>
  <c r="I59" i="7"/>
  <c r="I57" i="7"/>
  <c r="I55" i="7"/>
  <c r="I54" i="7"/>
  <c r="I52" i="7"/>
  <c r="I51" i="7"/>
  <c r="I50" i="7"/>
  <c r="I49" i="7"/>
  <c r="D51" i="7"/>
  <c r="D60" i="7"/>
  <c r="D59" i="7"/>
  <c r="D58" i="7"/>
  <c r="D57" i="7"/>
  <c r="D56" i="7"/>
  <c r="D55" i="7"/>
  <c r="D54" i="7"/>
  <c r="D53" i="7"/>
  <c r="D52" i="7"/>
  <c r="D50" i="7"/>
  <c r="D49" i="7"/>
  <c r="I37" i="7"/>
  <c r="I36" i="7"/>
  <c r="I35" i="7"/>
  <c r="X44" i="7"/>
  <c r="X42" i="7"/>
  <c r="X38" i="7"/>
  <c r="X46" i="7"/>
  <c r="X45" i="7"/>
  <c r="X43" i="7"/>
  <c r="X41" i="7"/>
  <c r="X40" i="7"/>
  <c r="X39" i="7"/>
  <c r="X37" i="7"/>
  <c r="X36" i="7"/>
  <c r="X35" i="7"/>
  <c r="N40" i="7"/>
  <c r="N46" i="7"/>
  <c r="N45" i="7"/>
  <c r="N44" i="7"/>
  <c r="N43" i="7"/>
  <c r="N42" i="7"/>
  <c r="N41" i="7"/>
  <c r="N39" i="7"/>
  <c r="N38" i="7"/>
  <c r="N37" i="7"/>
  <c r="N36" i="7"/>
  <c r="N35" i="7"/>
  <c r="D46" i="7"/>
  <c r="D45" i="7"/>
  <c r="D44" i="7"/>
  <c r="D43" i="7"/>
  <c r="D42" i="7"/>
  <c r="D41" i="7"/>
  <c r="D40" i="7"/>
  <c r="D39" i="7"/>
  <c r="D38" i="7"/>
  <c r="D37" i="7"/>
  <c r="D36" i="7"/>
  <c r="D35" i="7"/>
  <c r="S37" i="7"/>
  <c r="S46" i="7"/>
  <c r="S45" i="7"/>
  <c r="S44" i="7"/>
  <c r="S43" i="7"/>
  <c r="S42" i="7"/>
  <c r="S41" i="7"/>
  <c r="S40" i="7"/>
  <c r="S39" i="7"/>
  <c r="S38" i="7"/>
  <c r="S36" i="7"/>
  <c r="S35" i="7"/>
  <c r="I46" i="7"/>
  <c r="I45" i="7"/>
  <c r="I44" i="7"/>
  <c r="I43" i="7"/>
  <c r="I42" i="7"/>
  <c r="I41" i="7"/>
  <c r="I40" i="7"/>
  <c r="I39" i="7"/>
  <c r="I38" i="7"/>
  <c r="X32" i="7"/>
  <c r="X31" i="7"/>
  <c r="X30" i="7"/>
  <c r="X29" i="7"/>
  <c r="X28" i="7"/>
  <c r="X27" i="7"/>
  <c r="X26" i="7"/>
  <c r="X25" i="7"/>
  <c r="X24" i="7"/>
  <c r="X23" i="7"/>
  <c r="X22" i="7"/>
  <c r="X21" i="7"/>
  <c r="S32" i="7"/>
  <c r="S31" i="7"/>
  <c r="S30" i="7"/>
  <c r="S29" i="7"/>
  <c r="S28" i="7"/>
  <c r="S27" i="7"/>
  <c r="S26" i="7"/>
  <c r="S25" i="7"/>
  <c r="S24" i="7"/>
  <c r="S23" i="7"/>
  <c r="S22" i="7"/>
  <c r="S21" i="7"/>
  <c r="N32" i="7"/>
  <c r="N31" i="7"/>
  <c r="N30" i="7"/>
  <c r="N29" i="7"/>
  <c r="N28" i="7"/>
  <c r="N27" i="7"/>
  <c r="N26" i="7"/>
  <c r="N25" i="7"/>
  <c r="N24" i="7"/>
  <c r="N23" i="7"/>
  <c r="N22" i="7"/>
  <c r="N21" i="7"/>
  <c r="I32" i="7"/>
  <c r="I31" i="7"/>
  <c r="I30" i="7"/>
  <c r="I29" i="7"/>
  <c r="I28" i="7"/>
  <c r="I27" i="7"/>
  <c r="I26" i="7"/>
  <c r="I25" i="7"/>
  <c r="I24" i="7"/>
  <c r="I23" i="7"/>
  <c r="I22" i="7"/>
  <c r="I21" i="7"/>
  <c r="D32" i="7"/>
  <c r="D31" i="7"/>
  <c r="D30" i="7"/>
  <c r="D29" i="7"/>
  <c r="D28" i="7"/>
  <c r="D27" i="7"/>
  <c r="D26" i="7"/>
  <c r="D25" i="7"/>
  <c r="D24" i="7"/>
  <c r="D23" i="7"/>
  <c r="D22" i="7"/>
  <c r="D21" i="7"/>
  <c r="X18" i="7"/>
  <c r="X17" i="7"/>
  <c r="X16" i="7"/>
  <c r="X15" i="7"/>
  <c r="X14" i="7"/>
  <c r="X13" i="7"/>
  <c r="X12" i="7"/>
  <c r="X11" i="7"/>
  <c r="X10" i="7"/>
  <c r="X9" i="7"/>
  <c r="X8" i="7"/>
  <c r="X7" i="7"/>
  <c r="S12" i="7"/>
  <c r="S11" i="7"/>
  <c r="S18" i="7"/>
  <c r="S17" i="7"/>
  <c r="S16" i="7"/>
  <c r="S15" i="7"/>
  <c r="S14" i="7"/>
  <c r="S13" i="7"/>
  <c r="S10" i="7"/>
  <c r="S9" i="7"/>
  <c r="S8" i="7"/>
  <c r="S7" i="7"/>
  <c r="N18" i="7"/>
  <c r="N17" i="7"/>
  <c r="N16" i="7"/>
  <c r="N15" i="7"/>
  <c r="N14" i="7"/>
  <c r="N13" i="7"/>
  <c r="N12" i="7"/>
  <c r="N11" i="7"/>
  <c r="N10" i="7"/>
  <c r="N9" i="7"/>
  <c r="N8" i="7"/>
  <c r="N7" i="7"/>
  <c r="I18" i="7"/>
  <c r="I17" i="7"/>
  <c r="I16" i="7"/>
  <c r="I15" i="7"/>
  <c r="I14" i="7"/>
  <c r="I13" i="7"/>
  <c r="I12" i="7"/>
  <c r="I11" i="7"/>
  <c r="I10" i="7"/>
  <c r="I9" i="7"/>
  <c r="I8" i="7"/>
  <c r="I7" i="7"/>
  <c r="D18" i="7"/>
  <c r="D17" i="7"/>
  <c r="D16" i="7"/>
  <c r="D15" i="7"/>
  <c r="D14" i="7"/>
  <c r="D13" i="7"/>
  <c r="D12" i="7"/>
  <c r="D11" i="7"/>
  <c r="D10" i="7"/>
  <c r="D9" i="7"/>
  <c r="D8" i="7"/>
  <c r="D7" i="7"/>
  <c r="AO66" i="10" l="1"/>
  <c r="AQ50" i="10"/>
  <c r="AQ22" i="10"/>
  <c r="AQ11" i="10"/>
  <c r="AK267" i="10"/>
  <c r="AK266" i="10"/>
  <c r="AK265" i="10"/>
  <c r="AK264" i="10"/>
  <c r="AK263" i="10"/>
  <c r="AK262" i="10"/>
  <c r="AK261" i="10"/>
  <c r="AK260" i="10"/>
  <c r="AK259" i="10"/>
  <c r="AK258" i="10"/>
  <c r="AK257" i="10"/>
  <c r="AK256" i="10"/>
  <c r="AH267" i="10"/>
  <c r="AH266" i="10"/>
  <c r="AH265" i="10"/>
  <c r="AH264" i="10"/>
  <c r="AH263" i="10"/>
  <c r="AH262" i="10"/>
  <c r="AH261" i="10"/>
  <c r="AH260" i="10"/>
  <c r="AH259" i="10"/>
  <c r="AH258" i="10"/>
  <c r="AH257" i="10"/>
  <c r="AH256" i="10"/>
  <c r="AE267" i="10"/>
  <c r="AE266" i="10"/>
  <c r="AE265" i="10"/>
  <c r="AE264" i="10"/>
  <c r="AE263" i="10"/>
  <c r="AE262" i="10"/>
  <c r="AE261" i="10"/>
  <c r="AD261" i="10"/>
  <c r="AE260" i="10"/>
  <c r="AE259" i="10"/>
  <c r="AE258" i="10"/>
  <c r="AE257" i="10"/>
  <c r="AE256" i="10"/>
  <c r="AB267" i="10"/>
  <c r="AB266" i="10"/>
  <c r="AB265" i="10"/>
  <c r="AB264" i="10"/>
  <c r="AB263" i="10"/>
  <c r="AB262" i="10"/>
  <c r="AB261" i="10"/>
  <c r="AB260" i="10"/>
  <c r="AB259" i="10"/>
  <c r="AB258" i="10"/>
  <c r="AB257" i="10"/>
  <c r="AB256" i="10"/>
  <c r="AK252" i="10"/>
  <c r="AK251" i="10"/>
  <c r="AK250" i="10"/>
  <c r="AK249" i="10"/>
  <c r="AK248" i="10"/>
  <c r="AK247" i="10"/>
  <c r="AK246" i="10"/>
  <c r="AK245" i="10"/>
  <c r="AK244" i="10"/>
  <c r="AK243" i="10"/>
  <c r="AK242" i="10"/>
  <c r="AK241" i="10"/>
  <c r="AH252" i="10"/>
  <c r="AH251" i="10"/>
  <c r="AH250" i="10"/>
  <c r="AH249" i="10"/>
  <c r="AH248" i="10"/>
  <c r="AH247" i="10"/>
  <c r="AH246" i="10"/>
  <c r="AH245" i="10"/>
  <c r="AH244" i="10"/>
  <c r="AH243" i="10"/>
  <c r="AH242" i="10"/>
  <c r="AH241" i="10"/>
  <c r="AE252" i="10"/>
  <c r="AE251" i="10"/>
  <c r="AE250" i="10"/>
  <c r="AE249" i="10"/>
  <c r="AE248" i="10"/>
  <c r="AE247" i="10"/>
  <c r="AE246" i="10"/>
  <c r="AE245" i="10"/>
  <c r="AE244" i="10"/>
  <c r="AE243" i="10"/>
  <c r="AE242" i="10"/>
  <c r="AE241" i="10"/>
  <c r="AB252" i="10"/>
  <c r="AB251" i="10"/>
  <c r="AB250" i="10"/>
  <c r="AB249" i="10"/>
  <c r="AB248" i="10"/>
  <c r="AB247" i="10"/>
  <c r="AB246" i="10"/>
  <c r="AB245" i="10"/>
  <c r="AB244" i="10"/>
  <c r="AB243" i="10"/>
  <c r="AB242" i="10"/>
  <c r="AB241" i="10"/>
  <c r="AK237" i="10"/>
  <c r="AK236" i="10"/>
  <c r="AK235" i="10"/>
  <c r="AK234" i="10"/>
  <c r="AK233" i="10"/>
  <c r="AK232" i="10"/>
  <c r="AK231" i="10"/>
  <c r="AK230" i="10"/>
  <c r="AK229" i="10"/>
  <c r="AK228" i="10"/>
  <c r="AK227" i="10"/>
  <c r="AK226" i="10"/>
  <c r="AH237" i="10"/>
  <c r="AH236" i="10"/>
  <c r="AH235" i="10"/>
  <c r="AH234" i="10"/>
  <c r="AH233" i="10"/>
  <c r="AH232" i="10"/>
  <c r="AH231" i="10"/>
  <c r="AH230" i="10"/>
  <c r="AH229" i="10"/>
  <c r="AH228" i="10"/>
  <c r="AH227" i="10"/>
  <c r="AH226" i="10"/>
  <c r="AE237" i="10"/>
  <c r="AE236" i="10"/>
  <c r="AE235" i="10"/>
  <c r="AE234" i="10"/>
  <c r="AE233" i="10"/>
  <c r="AE232" i="10"/>
  <c r="AE231" i="10"/>
  <c r="AE230" i="10"/>
  <c r="AE229" i="10"/>
  <c r="AE228" i="10"/>
  <c r="AE227" i="10"/>
  <c r="AE226" i="10"/>
  <c r="AB237" i="10"/>
  <c r="AB236" i="10"/>
  <c r="AB235" i="10"/>
  <c r="AB234" i="10"/>
  <c r="AB233" i="10"/>
  <c r="AB232" i="10"/>
  <c r="AB231" i="10"/>
  <c r="AB230" i="10"/>
  <c r="AB229" i="10"/>
  <c r="AB228" i="10"/>
  <c r="AB227" i="10"/>
  <c r="AB226" i="10"/>
  <c r="AK222" i="10"/>
  <c r="AK221" i="10"/>
  <c r="AK220" i="10"/>
  <c r="AK219" i="10"/>
  <c r="AK218" i="10"/>
  <c r="AK217" i="10"/>
  <c r="AK216" i="10"/>
  <c r="AK215" i="10"/>
  <c r="AK214" i="10"/>
  <c r="AK213" i="10"/>
  <c r="AK212" i="10"/>
  <c r="AK211" i="10"/>
  <c r="AH222" i="10"/>
  <c r="AH221" i="10"/>
  <c r="AH220" i="10"/>
  <c r="AH219" i="10"/>
  <c r="AH218" i="10"/>
  <c r="AH217" i="10"/>
  <c r="AH216" i="10"/>
  <c r="AH215" i="10"/>
  <c r="AH214" i="10"/>
  <c r="AH213" i="10"/>
  <c r="AH212" i="10"/>
  <c r="AH211" i="10"/>
  <c r="AE222" i="10"/>
  <c r="AE221" i="10"/>
  <c r="AE220" i="10"/>
  <c r="AE219" i="10"/>
  <c r="AE218" i="10"/>
  <c r="AE217" i="10"/>
  <c r="AE216" i="10"/>
  <c r="AD216" i="10"/>
  <c r="AE215" i="10"/>
  <c r="AE214" i="10"/>
  <c r="AE213" i="10"/>
  <c r="AE212" i="10"/>
  <c r="AE211" i="10"/>
  <c r="AB222" i="10"/>
  <c r="AB221" i="10"/>
  <c r="AB220" i="10"/>
  <c r="AB219" i="10"/>
  <c r="AB218" i="10"/>
  <c r="AB217" i="10"/>
  <c r="AB216" i="10"/>
  <c r="AB215" i="10"/>
  <c r="AB214" i="10"/>
  <c r="AB213" i="10"/>
  <c r="AB212" i="10"/>
  <c r="AB211" i="10"/>
  <c r="AK207" i="10"/>
  <c r="AK206" i="10"/>
  <c r="AK205" i="10"/>
  <c r="AK204" i="10"/>
  <c r="AK203" i="10"/>
  <c r="AK202" i="10"/>
  <c r="AK201" i="10"/>
  <c r="AK200" i="10"/>
  <c r="AK199" i="10"/>
  <c r="AK198" i="10"/>
  <c r="AK197" i="10"/>
  <c r="AK196" i="10"/>
  <c r="AH207" i="10"/>
  <c r="AH206" i="10"/>
  <c r="AH205" i="10"/>
  <c r="AG205" i="10"/>
  <c r="AH204" i="10"/>
  <c r="AH203" i="10"/>
  <c r="AH202" i="10"/>
  <c r="AH201" i="10"/>
  <c r="AH200" i="10"/>
  <c r="AH199" i="10"/>
  <c r="AH198" i="10"/>
  <c r="AH197" i="10"/>
  <c r="AH196" i="10"/>
  <c r="AE207" i="10"/>
  <c r="AE206" i="10"/>
  <c r="AE205" i="10"/>
  <c r="AE204" i="10"/>
  <c r="AE203" i="10"/>
  <c r="AE202" i="10"/>
  <c r="AE201" i="10"/>
  <c r="AE200" i="10"/>
  <c r="AE199" i="10"/>
  <c r="AE198" i="10"/>
  <c r="AE197" i="10"/>
  <c r="AE196" i="10"/>
  <c r="AB207" i="10"/>
  <c r="AB206" i="10"/>
  <c r="AB205" i="10"/>
  <c r="AB204" i="10"/>
  <c r="AB203" i="10"/>
  <c r="AB202" i="10"/>
  <c r="AB201" i="10"/>
  <c r="AB200" i="10"/>
  <c r="AB199" i="10"/>
  <c r="AB198" i="10"/>
  <c r="AB197" i="10"/>
  <c r="AB196" i="10"/>
  <c r="AK192" i="10"/>
  <c r="AK191" i="10"/>
  <c r="AK190" i="10"/>
  <c r="AK189" i="10"/>
  <c r="AK188" i="10"/>
  <c r="AK187" i="10"/>
  <c r="AK186" i="10"/>
  <c r="AK185" i="10"/>
  <c r="AK184" i="10"/>
  <c r="AK183" i="10"/>
  <c r="AK182" i="10"/>
  <c r="AK181" i="10"/>
  <c r="AH192" i="10"/>
  <c r="AH191" i="10"/>
  <c r="AH190" i="10"/>
  <c r="AH189" i="10"/>
  <c r="AH188" i="10"/>
  <c r="AH187" i="10"/>
  <c r="AH186" i="10"/>
  <c r="AH185" i="10"/>
  <c r="AH184" i="10"/>
  <c r="AH183" i="10"/>
  <c r="AH182" i="10"/>
  <c r="AH181" i="10"/>
  <c r="AE192" i="10"/>
  <c r="AE191" i="10"/>
  <c r="AE190" i="10"/>
  <c r="AE189" i="10"/>
  <c r="AE188" i="10"/>
  <c r="AE187" i="10"/>
  <c r="AE186" i="10"/>
  <c r="AE185" i="10"/>
  <c r="AE184" i="10"/>
  <c r="AE183" i="10"/>
  <c r="AE182" i="10"/>
  <c r="AE181" i="10"/>
  <c r="AB192" i="10"/>
  <c r="AB191" i="10"/>
  <c r="AB190" i="10"/>
  <c r="AB189" i="10"/>
  <c r="AB188" i="10"/>
  <c r="AB187" i="10"/>
  <c r="AB186" i="10"/>
  <c r="AB185" i="10"/>
  <c r="AB184" i="10"/>
  <c r="AB183" i="10"/>
  <c r="AB182" i="10"/>
  <c r="AB181" i="10"/>
  <c r="AK177" i="10"/>
  <c r="AK176" i="10"/>
  <c r="AK175" i="10"/>
  <c r="AK174" i="10"/>
  <c r="AK173" i="10"/>
  <c r="AK172" i="10"/>
  <c r="AK171" i="10"/>
  <c r="AK170" i="10"/>
  <c r="AK169" i="10"/>
  <c r="AK168" i="10"/>
  <c r="AK167" i="10"/>
  <c r="AK166" i="10"/>
  <c r="AH177" i="10"/>
  <c r="AH176" i="10"/>
  <c r="AH175" i="10"/>
  <c r="AH174" i="10"/>
  <c r="AH173" i="10"/>
  <c r="AH172" i="10"/>
  <c r="AH171" i="10"/>
  <c r="AH170" i="10"/>
  <c r="AH169" i="10"/>
  <c r="AH168" i="10"/>
  <c r="AH167" i="10"/>
  <c r="AH166" i="10"/>
  <c r="AE177" i="10"/>
  <c r="AE176" i="10"/>
  <c r="AE175" i="10"/>
  <c r="AE174" i="10"/>
  <c r="AE173" i="10"/>
  <c r="AE172" i="10"/>
  <c r="AE171" i="10"/>
  <c r="AE170" i="10"/>
  <c r="AE169" i="10"/>
  <c r="AE168" i="10"/>
  <c r="AE167" i="10"/>
  <c r="AE166" i="10"/>
  <c r="AB177" i="10"/>
  <c r="AB176" i="10"/>
  <c r="AB175" i="10"/>
  <c r="AB174" i="10"/>
  <c r="AB173" i="10"/>
  <c r="AB172" i="10"/>
  <c r="AB171" i="10"/>
  <c r="AB170" i="10"/>
  <c r="AB169" i="10"/>
  <c r="AB168" i="10"/>
  <c r="AB167" i="10"/>
  <c r="AB166" i="10"/>
  <c r="AK162" i="10"/>
  <c r="AK161" i="10"/>
  <c r="AK160" i="10"/>
  <c r="AK159" i="10"/>
  <c r="AK158" i="10"/>
  <c r="AK157" i="10"/>
  <c r="AK156" i="10"/>
  <c r="AK155" i="10"/>
  <c r="AK154" i="10"/>
  <c r="AK153" i="10"/>
  <c r="AK152" i="10"/>
  <c r="AK151" i="10"/>
  <c r="AH162" i="10"/>
  <c r="AH161" i="10"/>
  <c r="AH160" i="10"/>
  <c r="AH159" i="10"/>
  <c r="AH158" i="10"/>
  <c r="AH157" i="10"/>
  <c r="AH156" i="10"/>
  <c r="AH155" i="10"/>
  <c r="AH154" i="10"/>
  <c r="AH153" i="10"/>
  <c r="AH152" i="10"/>
  <c r="AH151" i="10"/>
  <c r="AE162" i="10"/>
  <c r="AE161" i="10"/>
  <c r="AE160" i="10"/>
  <c r="AE159" i="10"/>
  <c r="AE158" i="10"/>
  <c r="AE157" i="10"/>
  <c r="AE156" i="10"/>
  <c r="AE155" i="10"/>
  <c r="AE154" i="10"/>
  <c r="AE153" i="10"/>
  <c r="AE152" i="10"/>
  <c r="AE151" i="10"/>
  <c r="AB162" i="10"/>
  <c r="AB161" i="10"/>
  <c r="AB160" i="10"/>
  <c r="AB159" i="10"/>
  <c r="AB158" i="10"/>
  <c r="AB157" i="10"/>
  <c r="AB156" i="10"/>
  <c r="AB155" i="10"/>
  <c r="AB154" i="10"/>
  <c r="AB153" i="10"/>
  <c r="AB152" i="10"/>
  <c r="AB151" i="10"/>
  <c r="AK147" i="10"/>
  <c r="AK146" i="10"/>
  <c r="AK145" i="10"/>
  <c r="AK144" i="10"/>
  <c r="AK143" i="10"/>
  <c r="AK142" i="10"/>
  <c r="AK141" i="10"/>
  <c r="AK140" i="10"/>
  <c r="AK139" i="10"/>
  <c r="AK138" i="10"/>
  <c r="AK137" i="10"/>
  <c r="AK136" i="10"/>
  <c r="AH147" i="10"/>
  <c r="AH146" i="10"/>
  <c r="AH145" i="10"/>
  <c r="AH144" i="10"/>
  <c r="AH143" i="10"/>
  <c r="AH142" i="10"/>
  <c r="AH141" i="10"/>
  <c r="AH140" i="10"/>
  <c r="AH139" i="10"/>
  <c r="AH138" i="10"/>
  <c r="AH137" i="10"/>
  <c r="AH136" i="10"/>
  <c r="AE147" i="10"/>
  <c r="AE146" i="10"/>
  <c r="AE145" i="10"/>
  <c r="AE144" i="10"/>
  <c r="AE143" i="10"/>
  <c r="AE142" i="10"/>
  <c r="AE141" i="10"/>
  <c r="AD141" i="10"/>
  <c r="AE140" i="10"/>
  <c r="AE139" i="10"/>
  <c r="AE138" i="10"/>
  <c r="AE137" i="10"/>
  <c r="AE136" i="10"/>
  <c r="AB147" i="10"/>
  <c r="AB146" i="10"/>
  <c r="AB145" i="10"/>
  <c r="AB144" i="10"/>
  <c r="AB143" i="10"/>
  <c r="AB142" i="10"/>
  <c r="AB141" i="10"/>
  <c r="AB140" i="10"/>
  <c r="AB139" i="10"/>
  <c r="AB138" i="10"/>
  <c r="AB137" i="10"/>
  <c r="AB136" i="10"/>
  <c r="AK131" i="10"/>
  <c r="AK130" i="10"/>
  <c r="AK129" i="10"/>
  <c r="AK128" i="10"/>
  <c r="AK127" i="10"/>
  <c r="AK126" i="10"/>
  <c r="AK125" i="10"/>
  <c r="AK124" i="10"/>
  <c r="AK123" i="10"/>
  <c r="AK122" i="10"/>
  <c r="AK121" i="10"/>
  <c r="AK120" i="10"/>
  <c r="AH131" i="10"/>
  <c r="AH130" i="10"/>
  <c r="AH129" i="10"/>
  <c r="AH128" i="10"/>
  <c r="AH127" i="10"/>
  <c r="AH126" i="10"/>
  <c r="AH125" i="10"/>
  <c r="AH124" i="10"/>
  <c r="AH123" i="10"/>
  <c r="AH122" i="10"/>
  <c r="AH121" i="10"/>
  <c r="AH120" i="10"/>
  <c r="AE131" i="10"/>
  <c r="AE130" i="10"/>
  <c r="AE129" i="10"/>
  <c r="AE128" i="10"/>
  <c r="AE127" i="10"/>
  <c r="AE126" i="10"/>
  <c r="AE125" i="10"/>
  <c r="AE124" i="10"/>
  <c r="AE123" i="10"/>
  <c r="AE122" i="10"/>
  <c r="AE121" i="10"/>
  <c r="AE120" i="10"/>
  <c r="AB131" i="10"/>
  <c r="AB130" i="10"/>
  <c r="AB129" i="10"/>
  <c r="AB128" i="10"/>
  <c r="AB127" i="10"/>
  <c r="AB126" i="10"/>
  <c r="AB125" i="10"/>
  <c r="AB124" i="10"/>
  <c r="AB123" i="10"/>
  <c r="AB122" i="10"/>
  <c r="AB121" i="10"/>
  <c r="AB120" i="10"/>
  <c r="AK115" i="10"/>
  <c r="AK114" i="10"/>
  <c r="AK113" i="10"/>
  <c r="AK112" i="10"/>
  <c r="AK111" i="10"/>
  <c r="AK110" i="10"/>
  <c r="AK109" i="10"/>
  <c r="AK108" i="10"/>
  <c r="AK107" i="10"/>
  <c r="AK106" i="10"/>
  <c r="AK105" i="10"/>
  <c r="AK104" i="10"/>
  <c r="AH115" i="10"/>
  <c r="AH114" i="10"/>
  <c r="AH113" i="10"/>
  <c r="AH112" i="10"/>
  <c r="AH111" i="10"/>
  <c r="AH110" i="10"/>
  <c r="AH109" i="10"/>
  <c r="AH108" i="10"/>
  <c r="AH107" i="10"/>
  <c r="AH106" i="10"/>
  <c r="AH105" i="10"/>
  <c r="AH104" i="10"/>
  <c r="AE115" i="10"/>
  <c r="AE114" i="10"/>
  <c r="AE113" i="10"/>
  <c r="AE112" i="10"/>
  <c r="AE111" i="10"/>
  <c r="AE110" i="10"/>
  <c r="AE109" i="10"/>
  <c r="AE108" i="10"/>
  <c r="AE107" i="10"/>
  <c r="AE106" i="10"/>
  <c r="AE105" i="10"/>
  <c r="AE104" i="10"/>
  <c r="AB115" i="10"/>
  <c r="AB114" i="10"/>
  <c r="AB113" i="10"/>
  <c r="AA113" i="10"/>
  <c r="AB112" i="10"/>
  <c r="AB111" i="10"/>
  <c r="AB110" i="10"/>
  <c r="AB109" i="10"/>
  <c r="AB108" i="10"/>
  <c r="AB107" i="10"/>
  <c r="AB106" i="10"/>
  <c r="AB105" i="10"/>
  <c r="AB104" i="10"/>
  <c r="AK98" i="10"/>
  <c r="AK97" i="10"/>
  <c r="AK96" i="10"/>
  <c r="AK95" i="10"/>
  <c r="AK94" i="10"/>
  <c r="AK93" i="10"/>
  <c r="AK92" i="10"/>
  <c r="AK91" i="10"/>
  <c r="AK90" i="10"/>
  <c r="AK89" i="10"/>
  <c r="AK88" i="10"/>
  <c r="AK87" i="10"/>
  <c r="AH98" i="10"/>
  <c r="AH97" i="10"/>
  <c r="AH96" i="10"/>
  <c r="AH95" i="10"/>
  <c r="AH94" i="10"/>
  <c r="AH93" i="10"/>
  <c r="AH92" i="10"/>
  <c r="AH91" i="10"/>
  <c r="AH90" i="10"/>
  <c r="AH89" i="10"/>
  <c r="AH88" i="10"/>
  <c r="AH87" i="10"/>
  <c r="AE98" i="10"/>
  <c r="AE97" i="10"/>
  <c r="AE96" i="10"/>
  <c r="AE95" i="10"/>
  <c r="AE94" i="10"/>
  <c r="AE93" i="10"/>
  <c r="AE92" i="10"/>
  <c r="AD92" i="10"/>
  <c r="AE91" i="10"/>
  <c r="AE90" i="10"/>
  <c r="AE89" i="10"/>
  <c r="AE88" i="10"/>
  <c r="AE87" i="10"/>
  <c r="AB98" i="10"/>
  <c r="AB97" i="10"/>
  <c r="AB96" i="10"/>
  <c r="AB95" i="10"/>
  <c r="AB94" i="10"/>
  <c r="AB93" i="10"/>
  <c r="AB92" i="10"/>
  <c r="AB91" i="10"/>
  <c r="AB90" i="10"/>
  <c r="AB89" i="10"/>
  <c r="AB88" i="10"/>
  <c r="AB87" i="10"/>
  <c r="AK82" i="10"/>
  <c r="AK81" i="10"/>
  <c r="AK80" i="10"/>
  <c r="AK79" i="10"/>
  <c r="AK78" i="10"/>
  <c r="AK77" i="10"/>
  <c r="AK76" i="10"/>
  <c r="AK75" i="10"/>
  <c r="AK74" i="10"/>
  <c r="AK73" i="10"/>
  <c r="AK72" i="10"/>
  <c r="AK71" i="10"/>
  <c r="AH82" i="10"/>
  <c r="AH81" i="10"/>
  <c r="AH80" i="10"/>
  <c r="AG80" i="10"/>
  <c r="AH79" i="10"/>
  <c r="AH78" i="10"/>
  <c r="AH77" i="10"/>
  <c r="AH76" i="10"/>
  <c r="AH75" i="10"/>
  <c r="AH74" i="10"/>
  <c r="AH73" i="10"/>
  <c r="AH72" i="10"/>
  <c r="AH71" i="10"/>
  <c r="AE82" i="10"/>
  <c r="AE81" i="10"/>
  <c r="AE80" i="10"/>
  <c r="AE79" i="10"/>
  <c r="AE78" i="10"/>
  <c r="AE77" i="10"/>
  <c r="AE76" i="10"/>
  <c r="AE75" i="10"/>
  <c r="AE74" i="10"/>
  <c r="AE73" i="10"/>
  <c r="AE72" i="10"/>
  <c r="AE71" i="10"/>
  <c r="AB82" i="10"/>
  <c r="AB81" i="10"/>
  <c r="AB80" i="10"/>
  <c r="AB79" i="10"/>
  <c r="AB78" i="10"/>
  <c r="AB77" i="10"/>
  <c r="AB76" i="10"/>
  <c r="AB75" i="10"/>
  <c r="AB74" i="10"/>
  <c r="AB73" i="10"/>
  <c r="AB72" i="10"/>
  <c r="AB71" i="10"/>
  <c r="AK67" i="10"/>
  <c r="AK66" i="10"/>
  <c r="AK65" i="10"/>
  <c r="AK64" i="10"/>
  <c r="AK63" i="10"/>
  <c r="AK62" i="10"/>
  <c r="AK61" i="10"/>
  <c r="AK60" i="10"/>
  <c r="AK59" i="10"/>
  <c r="AK58" i="10"/>
  <c r="AK57" i="10"/>
  <c r="AK56" i="10"/>
  <c r="AH67" i="10"/>
  <c r="AH66" i="10"/>
  <c r="AH65" i="10"/>
  <c r="AH64" i="10"/>
  <c r="AH63" i="10"/>
  <c r="AH62" i="10"/>
  <c r="AH61" i="10"/>
  <c r="AH60" i="10"/>
  <c r="AH59" i="10"/>
  <c r="AH58" i="10"/>
  <c r="AH57" i="10"/>
  <c r="AH56" i="10"/>
  <c r="AE67" i="10"/>
  <c r="AE66" i="10"/>
  <c r="AE65" i="10"/>
  <c r="AE64" i="10"/>
  <c r="AE63" i="10"/>
  <c r="AE62" i="10"/>
  <c r="AE61" i="10"/>
  <c r="AE60" i="10"/>
  <c r="AE59" i="10"/>
  <c r="AE58" i="10"/>
  <c r="AE57" i="10"/>
  <c r="AE56" i="10"/>
  <c r="AB67" i="10"/>
  <c r="AB66" i="10"/>
  <c r="AB65" i="10"/>
  <c r="AB64" i="10"/>
  <c r="AB63" i="10"/>
  <c r="AB62" i="10"/>
  <c r="AB61" i="10"/>
  <c r="AB60" i="10"/>
  <c r="AB59" i="10"/>
  <c r="AB58" i="10"/>
  <c r="AB57" i="10"/>
  <c r="AB56" i="10"/>
  <c r="AK52" i="10"/>
  <c r="AK51" i="10"/>
  <c r="AK50" i="10"/>
  <c r="AK49" i="10"/>
  <c r="AK48" i="10"/>
  <c r="AK47" i="10"/>
  <c r="AK46" i="10"/>
  <c r="AK45" i="10"/>
  <c r="AK44" i="10"/>
  <c r="AK43" i="10"/>
  <c r="AK42" i="10"/>
  <c r="AK41" i="10"/>
  <c r="AH52" i="10"/>
  <c r="AH51" i="10"/>
  <c r="AH50" i="10"/>
  <c r="AH49" i="10"/>
  <c r="AH48" i="10"/>
  <c r="AH47" i="10"/>
  <c r="AH46" i="10"/>
  <c r="AH45" i="10"/>
  <c r="AH44" i="10"/>
  <c r="AH43" i="10"/>
  <c r="AH42" i="10"/>
  <c r="AH41" i="10"/>
  <c r="AE52" i="10"/>
  <c r="AE51" i="10"/>
  <c r="AE50" i="10"/>
  <c r="AE49" i="10"/>
  <c r="AE48" i="10"/>
  <c r="AE47" i="10"/>
  <c r="AE46" i="10"/>
  <c r="AE45" i="10"/>
  <c r="AE44" i="10"/>
  <c r="AE43" i="10"/>
  <c r="AE42" i="10"/>
  <c r="AE41" i="10"/>
  <c r="AB52" i="10"/>
  <c r="AB51" i="10"/>
  <c r="AB50" i="10"/>
  <c r="AB49" i="10"/>
  <c r="AB48" i="10"/>
  <c r="AB47" i="10"/>
  <c r="AB46" i="10"/>
  <c r="AB45" i="10"/>
  <c r="AB44" i="10"/>
  <c r="AB43" i="10"/>
  <c r="AB42" i="10"/>
  <c r="AB41" i="10"/>
  <c r="AK37" i="10"/>
  <c r="AK36" i="10"/>
  <c r="AK35" i="10"/>
  <c r="AK34" i="10"/>
  <c r="AK33" i="10"/>
  <c r="AK32" i="10"/>
  <c r="AK31" i="10"/>
  <c r="AK30" i="10"/>
  <c r="AK29" i="10"/>
  <c r="AK28" i="10"/>
  <c r="AK27" i="10"/>
  <c r="AK26" i="10"/>
  <c r="AH37" i="10"/>
  <c r="AH36" i="10"/>
  <c r="AH35" i="10"/>
  <c r="AH34" i="10"/>
  <c r="AH33" i="10"/>
  <c r="AH32" i="10"/>
  <c r="AH31" i="10"/>
  <c r="AH30" i="10"/>
  <c r="AH29" i="10"/>
  <c r="AH28" i="10"/>
  <c r="AH27" i="10"/>
  <c r="AH26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B37" i="10"/>
  <c r="AB36" i="10"/>
  <c r="AB35" i="10"/>
  <c r="AB34" i="10"/>
  <c r="AB33" i="10"/>
  <c r="AB32" i="10"/>
  <c r="AB31" i="10"/>
  <c r="AB30" i="10"/>
  <c r="AB29" i="10"/>
  <c r="AB28" i="10"/>
  <c r="AB27" i="10"/>
  <c r="AB26" i="10"/>
  <c r="AK22" i="10"/>
  <c r="AK21" i="10"/>
  <c r="AK20" i="10"/>
  <c r="AK19" i="10"/>
  <c r="AK18" i="10"/>
  <c r="AK17" i="10"/>
  <c r="AK16" i="10"/>
  <c r="AK15" i="10"/>
  <c r="AK14" i="10"/>
  <c r="AK13" i="10"/>
  <c r="AK12" i="10"/>
  <c r="AK11" i="10"/>
  <c r="AH22" i="10"/>
  <c r="AH21" i="10"/>
  <c r="AH20" i="10"/>
  <c r="AH19" i="10"/>
  <c r="AH18" i="10"/>
  <c r="AH17" i="10"/>
  <c r="AH16" i="10"/>
  <c r="AH15" i="10"/>
  <c r="AH14" i="10"/>
  <c r="AH13" i="10"/>
  <c r="AH12" i="10"/>
  <c r="AH11" i="10"/>
  <c r="AE22" i="10"/>
  <c r="AE21" i="10"/>
  <c r="AE20" i="10"/>
  <c r="AE19" i="10"/>
  <c r="AE18" i="10"/>
  <c r="AE17" i="10"/>
  <c r="AE16" i="10"/>
  <c r="AD16" i="10"/>
  <c r="AE15" i="10"/>
  <c r="AE14" i="10"/>
  <c r="AE13" i="10"/>
  <c r="AE12" i="10"/>
  <c r="AE11" i="10"/>
  <c r="AB20" i="10"/>
  <c r="AB12" i="10"/>
  <c r="AB13" i="10"/>
  <c r="AB14" i="10"/>
  <c r="AB15" i="10"/>
  <c r="AB16" i="10"/>
  <c r="AB17" i="10"/>
  <c r="AB18" i="10"/>
  <c r="AB19" i="10"/>
  <c r="AB21" i="10"/>
  <c r="AB22" i="10"/>
  <c r="AB11" i="10"/>
  <c r="U267" i="10"/>
  <c r="AU267" i="10" s="1"/>
  <c r="U266" i="10"/>
  <c r="AU266" i="10" s="1"/>
  <c r="U265" i="10"/>
  <c r="AU265" i="10" s="1"/>
  <c r="U264" i="10"/>
  <c r="U263" i="10"/>
  <c r="AU263" i="10" s="1"/>
  <c r="U262" i="10"/>
  <c r="AU262" i="10" s="1"/>
  <c r="U261" i="10"/>
  <c r="AU261" i="10" s="1"/>
  <c r="U260" i="10"/>
  <c r="U259" i="10"/>
  <c r="AU259" i="10" s="1"/>
  <c r="U258" i="10"/>
  <c r="U257" i="10"/>
  <c r="U256" i="10"/>
  <c r="AU256" i="10" s="1"/>
  <c r="R267" i="10"/>
  <c r="AS267" i="10" s="1"/>
  <c r="R266" i="10"/>
  <c r="AS266" i="10" s="1"/>
  <c r="R265" i="10"/>
  <c r="R264" i="10"/>
  <c r="R263" i="10"/>
  <c r="AS263" i="10" s="1"/>
  <c r="R262" i="10"/>
  <c r="AS262" i="10" s="1"/>
  <c r="R261" i="10"/>
  <c r="AS261" i="10" s="1"/>
  <c r="R260" i="10"/>
  <c r="AS260" i="10" s="1"/>
  <c r="R259" i="10"/>
  <c r="R258" i="10"/>
  <c r="R257" i="10"/>
  <c r="AS257" i="10" s="1"/>
  <c r="R256" i="10"/>
  <c r="O267" i="10"/>
  <c r="O266" i="10"/>
  <c r="AQ266" i="10" s="1"/>
  <c r="O265" i="10"/>
  <c r="AQ265" i="10" s="1"/>
  <c r="O264" i="10"/>
  <c r="AQ264" i="10" s="1"/>
  <c r="O263" i="10"/>
  <c r="AQ263" i="10" s="1"/>
  <c r="O262" i="10"/>
  <c r="AQ262" i="10" s="1"/>
  <c r="O261" i="10"/>
  <c r="AQ261" i="10" s="1"/>
  <c r="O260" i="10"/>
  <c r="O259" i="10"/>
  <c r="AQ259" i="10" s="1"/>
  <c r="O258" i="10"/>
  <c r="AQ258" i="10" s="1"/>
  <c r="O257" i="10"/>
  <c r="AQ257" i="10" s="1"/>
  <c r="O256" i="10"/>
  <c r="L267" i="10"/>
  <c r="AO267" i="10" s="1"/>
  <c r="L266" i="10"/>
  <c r="AO266" i="10" s="1"/>
  <c r="L265" i="10"/>
  <c r="AO265" i="10" s="1"/>
  <c r="L264" i="10"/>
  <c r="AO264" i="10" s="1"/>
  <c r="L263" i="10"/>
  <c r="AO263" i="10" s="1"/>
  <c r="L262" i="10"/>
  <c r="AO262" i="10" s="1"/>
  <c r="L261" i="10"/>
  <c r="L260" i="10"/>
  <c r="AO260" i="10" s="1"/>
  <c r="L259" i="10"/>
  <c r="AO259" i="10" s="1"/>
  <c r="L258" i="10"/>
  <c r="AO258" i="10" s="1"/>
  <c r="L257" i="10"/>
  <c r="L256" i="10"/>
  <c r="AO256" i="10" s="1"/>
  <c r="U252" i="10"/>
  <c r="AU252" i="10" s="1"/>
  <c r="U251" i="10"/>
  <c r="AU251" i="10" s="1"/>
  <c r="U250" i="10"/>
  <c r="AU250" i="10" s="1"/>
  <c r="U249" i="10"/>
  <c r="AU249" i="10" s="1"/>
  <c r="U248" i="10"/>
  <c r="AU248" i="10" s="1"/>
  <c r="U247" i="10"/>
  <c r="AU247" i="10" s="1"/>
  <c r="U246" i="10"/>
  <c r="AU246" i="10" s="1"/>
  <c r="U245" i="10"/>
  <c r="U244" i="10"/>
  <c r="U243" i="10"/>
  <c r="AU243" i="10" s="1"/>
  <c r="U242" i="10"/>
  <c r="AU242" i="10" s="1"/>
  <c r="U241" i="10"/>
  <c r="AU241" i="10" s="1"/>
  <c r="R252" i="10"/>
  <c r="AS252" i="10" s="1"/>
  <c r="R251" i="10"/>
  <c r="AS251" i="10" s="1"/>
  <c r="R250" i="10"/>
  <c r="AS250" i="10" s="1"/>
  <c r="R249" i="10"/>
  <c r="R248" i="10"/>
  <c r="R247" i="10"/>
  <c r="AS247" i="10" s="1"/>
  <c r="R246" i="10"/>
  <c r="AS246" i="10" s="1"/>
  <c r="R245" i="10"/>
  <c r="AS245" i="10" s="1"/>
  <c r="R244" i="10"/>
  <c r="R243" i="10"/>
  <c r="AS243" i="10" s="1"/>
  <c r="R242" i="10"/>
  <c r="AS242" i="10" s="1"/>
  <c r="R241" i="10"/>
  <c r="O252" i="10"/>
  <c r="AQ252" i="10" s="1"/>
  <c r="O251" i="10"/>
  <c r="AQ251" i="10" s="1"/>
  <c r="O250" i="10"/>
  <c r="O249" i="10"/>
  <c r="O248" i="10"/>
  <c r="AQ248" i="10" s="1"/>
  <c r="O247" i="10"/>
  <c r="AQ247" i="10" s="1"/>
  <c r="O246" i="10"/>
  <c r="AQ246" i="10" s="1"/>
  <c r="O245" i="10"/>
  <c r="O244" i="10"/>
  <c r="AQ244" i="10" s="1"/>
  <c r="O243" i="10"/>
  <c r="AQ243" i="10" s="1"/>
  <c r="O242" i="10"/>
  <c r="AQ242" i="10" s="1"/>
  <c r="O241" i="10"/>
  <c r="AQ241" i="10" s="1"/>
  <c r="L252" i="10"/>
  <c r="AO252" i="10" s="1"/>
  <c r="L251" i="10"/>
  <c r="AO251" i="10" s="1"/>
  <c r="L250" i="10"/>
  <c r="L249" i="10"/>
  <c r="AO249" i="10" s="1"/>
  <c r="L248" i="10"/>
  <c r="AO248" i="10" s="1"/>
  <c r="L247" i="10"/>
  <c r="AO247" i="10" s="1"/>
  <c r="L246" i="10"/>
  <c r="L245" i="10"/>
  <c r="AO245" i="10" s="1"/>
  <c r="L244" i="10"/>
  <c r="AO244" i="10" s="1"/>
  <c r="L243" i="10"/>
  <c r="AO243" i="10" s="1"/>
  <c r="L242" i="10"/>
  <c r="AO242" i="10" s="1"/>
  <c r="L241" i="10"/>
  <c r="AO241" i="10" s="1"/>
  <c r="U237" i="10"/>
  <c r="U236" i="10"/>
  <c r="U235" i="10"/>
  <c r="AU235" i="10" s="1"/>
  <c r="U234" i="10"/>
  <c r="AU234" i="10" s="1"/>
  <c r="U233" i="10"/>
  <c r="AU233" i="10" s="1"/>
  <c r="U232" i="10"/>
  <c r="AU232" i="10" s="1"/>
  <c r="U231" i="10"/>
  <c r="AU231" i="10" s="1"/>
  <c r="U230" i="10"/>
  <c r="U229" i="10"/>
  <c r="AU229" i="10" s="1"/>
  <c r="U228" i="10"/>
  <c r="AU228" i="10" s="1"/>
  <c r="U227" i="10"/>
  <c r="AU227" i="10" s="1"/>
  <c r="U226" i="10"/>
  <c r="AU226" i="10" s="1"/>
  <c r="R237" i="10"/>
  <c r="R236" i="10"/>
  <c r="R235" i="10"/>
  <c r="AS235" i="10" s="1"/>
  <c r="R234" i="10"/>
  <c r="R233" i="10"/>
  <c r="AS233" i="10" s="1"/>
  <c r="R232" i="10"/>
  <c r="AS232" i="10" s="1"/>
  <c r="R231" i="10"/>
  <c r="AS231" i="10" s="1"/>
  <c r="R230" i="10"/>
  <c r="AS230" i="10" s="1"/>
  <c r="R229" i="10"/>
  <c r="AS229" i="10" s="1"/>
  <c r="R228" i="10"/>
  <c r="AS228" i="10" s="1"/>
  <c r="R227" i="10"/>
  <c r="AS227" i="10" s="1"/>
  <c r="R226" i="10"/>
  <c r="O237" i="10"/>
  <c r="AQ237" i="10" s="1"/>
  <c r="O236" i="10"/>
  <c r="AQ236" i="10" s="1"/>
  <c r="O235" i="10"/>
  <c r="AQ235" i="10" s="1"/>
  <c r="O234" i="10"/>
  <c r="O233" i="10"/>
  <c r="AQ233" i="10" s="1"/>
  <c r="O232" i="10"/>
  <c r="AQ232" i="10" s="1"/>
  <c r="O231" i="10"/>
  <c r="AQ231" i="10" s="1"/>
  <c r="O230" i="10"/>
  <c r="O229" i="10"/>
  <c r="AQ229" i="10" s="1"/>
  <c r="O228" i="10"/>
  <c r="AQ228" i="10" s="1"/>
  <c r="O227" i="10"/>
  <c r="O226" i="10"/>
  <c r="L237" i="10"/>
  <c r="AO237" i="10" s="1"/>
  <c r="L236" i="10"/>
  <c r="AO236" i="10" s="1"/>
  <c r="L235" i="10"/>
  <c r="AO235" i="10" s="1"/>
  <c r="L234" i="10"/>
  <c r="AO234" i="10" s="1"/>
  <c r="L233" i="10"/>
  <c r="AO233" i="10" s="1"/>
  <c r="L232" i="10"/>
  <c r="AO232" i="10" s="1"/>
  <c r="L231" i="10"/>
  <c r="AO231" i="10" s="1"/>
  <c r="L230" i="10"/>
  <c r="AO230" i="10" s="1"/>
  <c r="L229" i="10"/>
  <c r="AO229" i="10" s="1"/>
  <c r="L228" i="10"/>
  <c r="L227" i="10"/>
  <c r="L226" i="10"/>
  <c r="AO226" i="10" s="1"/>
  <c r="U222" i="10"/>
  <c r="AU222" i="10" s="1"/>
  <c r="U221" i="10"/>
  <c r="U220" i="10"/>
  <c r="AU220" i="10" s="1"/>
  <c r="U219" i="10"/>
  <c r="AU219" i="10" s="1"/>
  <c r="U218" i="10"/>
  <c r="AU218" i="10" s="1"/>
  <c r="U217" i="10"/>
  <c r="AU217" i="10" s="1"/>
  <c r="U216" i="10"/>
  <c r="AU216" i="10" s="1"/>
  <c r="U215" i="10"/>
  <c r="U214" i="10"/>
  <c r="U213" i="10"/>
  <c r="AU213" i="10" s="1"/>
  <c r="U212" i="10"/>
  <c r="AU212" i="10" s="1"/>
  <c r="U211" i="10"/>
  <c r="AU211" i="10" s="1"/>
  <c r="R222" i="10"/>
  <c r="R221" i="10"/>
  <c r="AS221" i="10" s="1"/>
  <c r="R220" i="10"/>
  <c r="AS220" i="10" s="1"/>
  <c r="R219" i="10"/>
  <c r="R218" i="10"/>
  <c r="AS218" i="10" s="1"/>
  <c r="R217" i="10"/>
  <c r="AS217" i="10" s="1"/>
  <c r="R216" i="10"/>
  <c r="R215" i="10"/>
  <c r="R214" i="10"/>
  <c r="AS214" i="10" s="1"/>
  <c r="R213" i="10"/>
  <c r="AS213" i="10" s="1"/>
  <c r="R212" i="10"/>
  <c r="AS212" i="10" s="1"/>
  <c r="R211" i="10"/>
  <c r="O222" i="10"/>
  <c r="AQ222" i="10" s="1"/>
  <c r="O221" i="10"/>
  <c r="AQ221" i="10" s="1"/>
  <c r="O220" i="10"/>
  <c r="AQ220" i="10" s="1"/>
  <c r="O219" i="10"/>
  <c r="AQ219" i="10" s="1"/>
  <c r="O218" i="10"/>
  <c r="AQ218" i="10" s="1"/>
  <c r="O217" i="10"/>
  <c r="AQ217" i="10" s="1"/>
  <c r="O216" i="10"/>
  <c r="O215" i="10"/>
  <c r="O214" i="10"/>
  <c r="AQ214" i="10" s="1"/>
  <c r="O213" i="10"/>
  <c r="AQ213" i="10" s="1"/>
  <c r="O212" i="10"/>
  <c r="O211" i="10"/>
  <c r="AQ211" i="10" s="1"/>
  <c r="L222" i="10"/>
  <c r="AO222" i="10" s="1"/>
  <c r="L221" i="10"/>
  <c r="AO221" i="10" s="1"/>
  <c r="L220" i="10"/>
  <c r="AO220" i="10" s="1"/>
  <c r="L219" i="10"/>
  <c r="AO219" i="10" s="1"/>
  <c r="L218" i="10"/>
  <c r="AO218" i="10" s="1"/>
  <c r="L217" i="10"/>
  <c r="AO217" i="10" s="1"/>
  <c r="L216" i="10"/>
  <c r="AO216" i="10" s="1"/>
  <c r="L215" i="10"/>
  <c r="AO215" i="10" s="1"/>
  <c r="L214" i="10"/>
  <c r="AO214" i="10" s="1"/>
  <c r="L213" i="10"/>
  <c r="AO213" i="10" s="1"/>
  <c r="L212" i="10"/>
  <c r="AO212" i="10" s="1"/>
  <c r="L211" i="10"/>
  <c r="AO211" i="10" s="1"/>
  <c r="U207" i="10"/>
  <c r="AU207" i="10" s="1"/>
  <c r="U206" i="10"/>
  <c r="AU206" i="10" s="1"/>
  <c r="U205" i="10"/>
  <c r="AU205" i="10" s="1"/>
  <c r="U204" i="10"/>
  <c r="AU204" i="10" s="1"/>
  <c r="U203" i="10"/>
  <c r="AU203" i="10" s="1"/>
  <c r="U202" i="10"/>
  <c r="AU202" i="10" s="1"/>
  <c r="U201" i="10"/>
  <c r="AU201" i="10" s="1"/>
  <c r="U200" i="10"/>
  <c r="U199" i="10"/>
  <c r="U198" i="10"/>
  <c r="AU198" i="10" s="1"/>
  <c r="U197" i="10"/>
  <c r="AU197" i="10" s="1"/>
  <c r="U196" i="10"/>
  <c r="AU196" i="10" s="1"/>
  <c r="R207" i="10"/>
  <c r="AS207" i="10" s="1"/>
  <c r="R206" i="10"/>
  <c r="AS206" i="10" s="1"/>
  <c r="R205" i="10"/>
  <c r="AS205" i="10" s="1"/>
  <c r="R204" i="10"/>
  <c r="R203" i="10"/>
  <c r="AS203" i="10" s="1"/>
  <c r="R202" i="10"/>
  <c r="AS202" i="10" s="1"/>
  <c r="R201" i="10"/>
  <c r="AS201" i="10" s="1"/>
  <c r="R200" i="10"/>
  <c r="R199" i="10"/>
  <c r="AS199" i="10" s="1"/>
  <c r="R198" i="10"/>
  <c r="AS198" i="10" s="1"/>
  <c r="R197" i="10"/>
  <c r="AS197" i="10" s="1"/>
  <c r="R196" i="10"/>
  <c r="O207" i="10"/>
  <c r="AQ207" i="10" s="1"/>
  <c r="O206" i="10"/>
  <c r="O205" i="10"/>
  <c r="O204" i="10"/>
  <c r="AQ204" i="10" s="1"/>
  <c r="O203" i="10"/>
  <c r="AQ203" i="10" s="1"/>
  <c r="O202" i="10"/>
  <c r="AQ202" i="10" s="1"/>
  <c r="O201" i="10"/>
  <c r="O200" i="10"/>
  <c r="O199" i="10"/>
  <c r="AQ199" i="10" s="1"/>
  <c r="O198" i="10"/>
  <c r="AQ198" i="10" s="1"/>
  <c r="O197" i="10"/>
  <c r="AQ197" i="10" s="1"/>
  <c r="O196" i="10"/>
  <c r="AQ196" i="10" s="1"/>
  <c r="L207" i="10"/>
  <c r="L206" i="10"/>
  <c r="L205" i="10"/>
  <c r="AO205" i="10" s="1"/>
  <c r="L204" i="10"/>
  <c r="AO204" i="10" s="1"/>
  <c r="L203" i="10"/>
  <c r="AO203" i="10" s="1"/>
  <c r="L202" i="10"/>
  <c r="AO202" i="10" s="1"/>
  <c r="L201" i="10"/>
  <c r="AO201" i="10" s="1"/>
  <c r="L200" i="10"/>
  <c r="AO200" i="10" s="1"/>
  <c r="L199" i="10"/>
  <c r="AO199" i="10" s="1"/>
  <c r="L198" i="10"/>
  <c r="AO198" i="10" s="1"/>
  <c r="L197" i="10"/>
  <c r="AO197" i="10" s="1"/>
  <c r="L196" i="10"/>
  <c r="U192" i="10"/>
  <c r="AU192" i="10" s="1"/>
  <c r="U191" i="10"/>
  <c r="AU191" i="10" s="1"/>
  <c r="U190" i="10"/>
  <c r="AU190" i="10" s="1"/>
  <c r="U189" i="10"/>
  <c r="U188" i="10"/>
  <c r="AU188" i="10" s="1"/>
  <c r="U187" i="10"/>
  <c r="AU187" i="10" s="1"/>
  <c r="U186" i="10"/>
  <c r="AU186" i="10" s="1"/>
  <c r="U185" i="10"/>
  <c r="U184" i="10"/>
  <c r="AU184" i="10" s="1"/>
  <c r="U183" i="10"/>
  <c r="U182" i="10"/>
  <c r="U181" i="10"/>
  <c r="AU181" i="10" s="1"/>
  <c r="R192" i="10"/>
  <c r="AS192" i="10" s="1"/>
  <c r="R191" i="10"/>
  <c r="AS191" i="10" s="1"/>
  <c r="R190" i="10"/>
  <c r="R189" i="10"/>
  <c r="R188" i="10"/>
  <c r="AS188" i="10" s="1"/>
  <c r="R187" i="10"/>
  <c r="AS187" i="10" s="1"/>
  <c r="R186" i="10"/>
  <c r="AS186" i="10" s="1"/>
  <c r="R185" i="10"/>
  <c r="AS185" i="10" s="1"/>
  <c r="R184" i="10"/>
  <c r="AS184" i="10" s="1"/>
  <c r="R183" i="10"/>
  <c r="R182" i="10"/>
  <c r="R181" i="10"/>
  <c r="O192" i="10"/>
  <c r="AQ192" i="10" s="1"/>
  <c r="O191" i="10"/>
  <c r="O190" i="10"/>
  <c r="AQ190" i="10" s="1"/>
  <c r="O189" i="10"/>
  <c r="AQ189" i="10" s="1"/>
  <c r="O188" i="10"/>
  <c r="AQ188" i="10" s="1"/>
  <c r="O187" i="10"/>
  <c r="AQ187" i="10" s="1"/>
  <c r="O186" i="10"/>
  <c r="AQ186" i="10" s="1"/>
  <c r="O185" i="10"/>
  <c r="O184" i="10"/>
  <c r="O183" i="10"/>
  <c r="AQ183" i="10" s="1"/>
  <c r="O182" i="10"/>
  <c r="AQ182" i="10" s="1"/>
  <c r="O181" i="10"/>
  <c r="AQ181" i="10" s="1"/>
  <c r="L192" i="10"/>
  <c r="L191" i="10"/>
  <c r="AO191" i="10" s="1"/>
  <c r="L190" i="10"/>
  <c r="AO190" i="10" s="1"/>
  <c r="L189" i="10"/>
  <c r="AO189" i="10" s="1"/>
  <c r="L188" i="10"/>
  <c r="AO188" i="10" s="1"/>
  <c r="L187" i="10"/>
  <c r="AO187" i="10" s="1"/>
  <c r="L186" i="10"/>
  <c r="AO186" i="10" s="1"/>
  <c r="L185" i="10"/>
  <c r="L184" i="10"/>
  <c r="L183" i="10"/>
  <c r="AO183" i="10" s="1"/>
  <c r="L182" i="10"/>
  <c r="AO182" i="10" s="1"/>
  <c r="L181" i="10"/>
  <c r="U177" i="10"/>
  <c r="AU177" i="10" s="1"/>
  <c r="U176" i="10"/>
  <c r="AU176" i="10" s="1"/>
  <c r="U175" i="10"/>
  <c r="AU175" i="10" s="1"/>
  <c r="U174" i="10"/>
  <c r="AU174" i="10" s="1"/>
  <c r="U173" i="10"/>
  <c r="AU173" i="10" s="1"/>
  <c r="U172" i="10"/>
  <c r="AU172" i="10" s="1"/>
  <c r="U171" i="10"/>
  <c r="U170" i="10"/>
  <c r="U169" i="10"/>
  <c r="AU169" i="10" s="1"/>
  <c r="U168" i="10"/>
  <c r="AU168" i="10" s="1"/>
  <c r="U167" i="10"/>
  <c r="AU167" i="10" s="1"/>
  <c r="U166" i="10"/>
  <c r="R177" i="10"/>
  <c r="AS177" i="10" s="1"/>
  <c r="R176" i="10"/>
  <c r="AS176" i="10" s="1"/>
  <c r="R175" i="10"/>
  <c r="AS175" i="10" s="1"/>
  <c r="R174" i="10"/>
  <c r="R173" i="10"/>
  <c r="AS173" i="10" s="1"/>
  <c r="R172" i="10"/>
  <c r="AS172" i="10" s="1"/>
  <c r="R171" i="10"/>
  <c r="R170" i="10"/>
  <c r="AS170" i="10" s="1"/>
  <c r="R169" i="10"/>
  <c r="AS169" i="10" s="1"/>
  <c r="R168" i="10"/>
  <c r="AS168" i="10" s="1"/>
  <c r="R167" i="10"/>
  <c r="R166" i="10"/>
  <c r="O177" i="10"/>
  <c r="AQ177" i="10" s="1"/>
  <c r="O176" i="10"/>
  <c r="AQ176" i="10" s="1"/>
  <c r="O175" i="10"/>
  <c r="AQ175" i="10" s="1"/>
  <c r="O174" i="10"/>
  <c r="AQ174" i="10" s="1"/>
  <c r="O173" i="10"/>
  <c r="AQ173" i="10" s="1"/>
  <c r="O172" i="10"/>
  <c r="AQ172" i="10" s="1"/>
  <c r="O171" i="10"/>
  <c r="AQ171" i="10" s="1"/>
  <c r="O170" i="10"/>
  <c r="O169" i="10"/>
  <c r="AQ169" i="10" s="1"/>
  <c r="O168" i="10"/>
  <c r="AQ168" i="10" s="1"/>
  <c r="O167" i="10"/>
  <c r="AQ167" i="10" s="1"/>
  <c r="O166" i="10"/>
  <c r="AQ166" i="10" s="1"/>
  <c r="L177" i="10"/>
  <c r="AO177" i="10" s="1"/>
  <c r="L176" i="10"/>
  <c r="AO176" i="10" s="1"/>
  <c r="L175" i="10"/>
  <c r="AO175" i="10" s="1"/>
  <c r="L174" i="10"/>
  <c r="L173" i="10"/>
  <c r="L172" i="10"/>
  <c r="AO172" i="10" s="1"/>
  <c r="L171" i="10"/>
  <c r="AO171" i="10" s="1"/>
  <c r="L170" i="10"/>
  <c r="AO170" i="10" s="1"/>
  <c r="L169" i="10"/>
  <c r="L168" i="10"/>
  <c r="AO168" i="10" s="1"/>
  <c r="L167" i="10"/>
  <c r="AO167" i="10" s="1"/>
  <c r="L166" i="10"/>
  <c r="AO166" i="10" s="1"/>
  <c r="U162" i="10"/>
  <c r="AU162" i="10" s="1"/>
  <c r="U161" i="10"/>
  <c r="AU161" i="10" s="1"/>
  <c r="U160" i="10"/>
  <c r="U159" i="10"/>
  <c r="U158" i="10"/>
  <c r="AU158" i="10" s="1"/>
  <c r="U157" i="10"/>
  <c r="AU157" i="10" s="1"/>
  <c r="U156" i="10"/>
  <c r="AU156" i="10" s="1"/>
  <c r="U155" i="10"/>
  <c r="U154" i="10"/>
  <c r="AU154" i="10" s="1"/>
  <c r="U153" i="10"/>
  <c r="AU153" i="10" s="1"/>
  <c r="U152" i="10"/>
  <c r="AU152" i="10" s="1"/>
  <c r="U151" i="10"/>
  <c r="AU151" i="10" s="1"/>
  <c r="R162" i="10"/>
  <c r="AS162" i="10" s="1"/>
  <c r="R161" i="10"/>
  <c r="R160" i="10"/>
  <c r="R159" i="10"/>
  <c r="R158" i="10"/>
  <c r="AS158" i="10" s="1"/>
  <c r="R157" i="10"/>
  <c r="AS157" i="10" s="1"/>
  <c r="R156" i="10"/>
  <c r="AS156" i="10" s="1"/>
  <c r="R155" i="10"/>
  <c r="AS155" i="10" s="1"/>
  <c r="R154" i="10"/>
  <c r="AS154" i="10" s="1"/>
  <c r="R153" i="10"/>
  <c r="AS153" i="10" s="1"/>
  <c r="R152" i="10"/>
  <c r="AS152" i="10" s="1"/>
  <c r="R151" i="10"/>
  <c r="O162" i="10"/>
  <c r="O161" i="10"/>
  <c r="O160" i="10"/>
  <c r="AQ160" i="10" s="1"/>
  <c r="O159" i="10"/>
  <c r="AQ159" i="10" s="1"/>
  <c r="O158" i="10"/>
  <c r="AQ158" i="10" s="1"/>
  <c r="O157" i="10"/>
  <c r="AQ157" i="10" s="1"/>
  <c r="O156" i="10"/>
  <c r="AQ156" i="10" s="1"/>
  <c r="O155" i="10"/>
  <c r="O154" i="10"/>
  <c r="AQ154" i="10" s="1"/>
  <c r="O153" i="10"/>
  <c r="AQ153" i="10" s="1"/>
  <c r="O152" i="10"/>
  <c r="AQ152" i="10" s="1"/>
  <c r="O151" i="10"/>
  <c r="L162" i="10"/>
  <c r="L161" i="10"/>
  <c r="AO161" i="10" s="1"/>
  <c r="L160" i="10"/>
  <c r="AO160" i="10" s="1"/>
  <c r="L159" i="10"/>
  <c r="L158" i="10"/>
  <c r="AO158" i="10" s="1"/>
  <c r="L157" i="10"/>
  <c r="AO157" i="10" s="1"/>
  <c r="L156" i="10"/>
  <c r="AO156" i="10" s="1"/>
  <c r="L155" i="10"/>
  <c r="AO155" i="10" s="1"/>
  <c r="L154" i="10"/>
  <c r="AO154" i="10" s="1"/>
  <c r="L153" i="10"/>
  <c r="AO153" i="10" s="1"/>
  <c r="L152" i="10"/>
  <c r="L151" i="10"/>
  <c r="U147" i="10"/>
  <c r="AU147" i="10" s="1"/>
  <c r="U146" i="10"/>
  <c r="AU146" i="10" s="1"/>
  <c r="U145" i="10"/>
  <c r="AU145" i="10" s="1"/>
  <c r="U144" i="10"/>
  <c r="U143" i="10"/>
  <c r="AU143" i="10" s="1"/>
  <c r="U142" i="10"/>
  <c r="AU142" i="10" s="1"/>
  <c r="U141" i="10"/>
  <c r="AU141" i="10" s="1"/>
  <c r="U140" i="10"/>
  <c r="U139" i="10"/>
  <c r="AU139" i="10" s="1"/>
  <c r="U138" i="10"/>
  <c r="AU138" i="10" s="1"/>
  <c r="U137" i="10"/>
  <c r="U136" i="10"/>
  <c r="AU136" i="10" s="1"/>
  <c r="R147" i="10"/>
  <c r="AS147" i="10" s="1"/>
  <c r="R146" i="10"/>
  <c r="AS146" i="10" s="1"/>
  <c r="R145" i="10"/>
  <c r="R144" i="10"/>
  <c r="R143" i="10"/>
  <c r="AS143" i="10" s="1"/>
  <c r="R142" i="10"/>
  <c r="AS142" i="10" s="1"/>
  <c r="R141" i="10"/>
  <c r="AS141" i="10" s="1"/>
  <c r="R140" i="10"/>
  <c r="AS140" i="10" s="1"/>
  <c r="R139" i="10"/>
  <c r="R138" i="10"/>
  <c r="R137" i="10"/>
  <c r="AS137" i="10" s="1"/>
  <c r="R136" i="10"/>
  <c r="O147" i="10"/>
  <c r="O146" i="10"/>
  <c r="AQ146" i="10" s="1"/>
  <c r="O145" i="10"/>
  <c r="AQ145" i="10" s="1"/>
  <c r="O144" i="10"/>
  <c r="AQ144" i="10" s="1"/>
  <c r="O143" i="10"/>
  <c r="AQ143" i="10" s="1"/>
  <c r="O142" i="10"/>
  <c r="AQ142" i="10" s="1"/>
  <c r="O141" i="10"/>
  <c r="AQ141" i="10" s="1"/>
  <c r="O140" i="10"/>
  <c r="O139" i="10"/>
  <c r="AQ139" i="10" s="1"/>
  <c r="O138" i="10"/>
  <c r="AQ138" i="10" s="1"/>
  <c r="O137" i="10"/>
  <c r="AQ137" i="10" s="1"/>
  <c r="O136" i="10"/>
  <c r="L147" i="10"/>
  <c r="AO147" i="10" s="1"/>
  <c r="L146" i="10"/>
  <c r="AO146" i="10" s="1"/>
  <c r="L145" i="10"/>
  <c r="AO145" i="10" s="1"/>
  <c r="L144" i="10"/>
  <c r="AO144" i="10" s="1"/>
  <c r="L143" i="10"/>
  <c r="AO143" i="10" s="1"/>
  <c r="L142" i="10"/>
  <c r="AO142" i="10" s="1"/>
  <c r="L141" i="10"/>
  <c r="L140" i="10"/>
  <c r="AO140" i="10" s="1"/>
  <c r="L139" i="10"/>
  <c r="AO139" i="10" s="1"/>
  <c r="L138" i="10"/>
  <c r="AO138" i="10" s="1"/>
  <c r="L137" i="10"/>
  <c r="AO137" i="10" s="1"/>
  <c r="L136" i="10"/>
  <c r="AO136" i="10" s="1"/>
  <c r="U131" i="10"/>
  <c r="AU131" i="10" s="1"/>
  <c r="U130" i="10"/>
  <c r="AU130" i="10" s="1"/>
  <c r="U129" i="10"/>
  <c r="AU129" i="10" s="1"/>
  <c r="U128" i="10"/>
  <c r="AU128" i="10" s="1"/>
  <c r="U127" i="10"/>
  <c r="AU127" i="10" s="1"/>
  <c r="U126" i="10"/>
  <c r="AU126" i="10" s="1"/>
  <c r="U125" i="10"/>
  <c r="AU125" i="10" s="1"/>
  <c r="U124" i="10"/>
  <c r="U123" i="10"/>
  <c r="U122" i="10"/>
  <c r="AU122" i="10" s="1"/>
  <c r="U121" i="10"/>
  <c r="AU121" i="10" s="1"/>
  <c r="U120" i="10"/>
  <c r="AU120" i="10" s="1"/>
  <c r="R131" i="10"/>
  <c r="AS131" i="10" s="1"/>
  <c r="R130" i="10"/>
  <c r="AS130" i="10" s="1"/>
  <c r="R129" i="10"/>
  <c r="AS129" i="10" s="1"/>
  <c r="R128" i="10"/>
  <c r="R127" i="10"/>
  <c r="R126" i="10"/>
  <c r="AS126" i="10" s="1"/>
  <c r="R125" i="10"/>
  <c r="AS125" i="10" s="1"/>
  <c r="R124" i="10"/>
  <c r="AS124" i="10" s="1"/>
  <c r="R123" i="10"/>
  <c r="R122" i="10"/>
  <c r="AS122" i="10" s="1"/>
  <c r="R121" i="10"/>
  <c r="AS121" i="10" s="1"/>
  <c r="R120" i="10"/>
  <c r="O131" i="10"/>
  <c r="AQ131" i="10" s="1"/>
  <c r="O130" i="10"/>
  <c r="AQ130" i="10" s="1"/>
  <c r="O129" i="10"/>
  <c r="O128" i="10"/>
  <c r="O127" i="10"/>
  <c r="AQ127" i="10" s="1"/>
  <c r="O126" i="10"/>
  <c r="AQ126" i="10" s="1"/>
  <c r="O125" i="10"/>
  <c r="AQ125" i="10" s="1"/>
  <c r="O124" i="10"/>
  <c r="O123" i="10"/>
  <c r="AQ123" i="10" s="1"/>
  <c r="O122" i="10"/>
  <c r="AQ122" i="10" s="1"/>
  <c r="O121" i="10"/>
  <c r="AQ121" i="10" s="1"/>
  <c r="O120" i="10"/>
  <c r="AQ120" i="10" s="1"/>
  <c r="L131" i="10"/>
  <c r="AO131" i="10" s="1"/>
  <c r="L130" i="10"/>
  <c r="AO130" i="10" s="1"/>
  <c r="L129" i="10"/>
  <c r="L128" i="10"/>
  <c r="AO128" i="10" s="1"/>
  <c r="L127" i="10"/>
  <c r="AO127" i="10" s="1"/>
  <c r="L126" i="10"/>
  <c r="AO126" i="10" s="1"/>
  <c r="L125" i="10"/>
  <c r="L124" i="10"/>
  <c r="AO124" i="10" s="1"/>
  <c r="L123" i="10"/>
  <c r="AO123" i="10" s="1"/>
  <c r="L122" i="10"/>
  <c r="AO122" i="10" s="1"/>
  <c r="L121" i="10"/>
  <c r="AO121" i="10" s="1"/>
  <c r="L120" i="10"/>
  <c r="AO120" i="10" s="1"/>
  <c r="U115" i="10"/>
  <c r="U114" i="10"/>
  <c r="U113" i="10"/>
  <c r="AU113" i="10" s="1"/>
  <c r="U112" i="10"/>
  <c r="AU112" i="10" s="1"/>
  <c r="U111" i="10"/>
  <c r="AU111" i="10" s="1"/>
  <c r="U110" i="10"/>
  <c r="AU110" i="10" s="1"/>
  <c r="U109" i="10"/>
  <c r="AU109" i="10" s="1"/>
  <c r="U108" i="10"/>
  <c r="U107" i="10"/>
  <c r="AU107" i="10" s="1"/>
  <c r="U106" i="10"/>
  <c r="AU106" i="10" s="1"/>
  <c r="U105" i="10"/>
  <c r="AU105" i="10" s="1"/>
  <c r="U104" i="10"/>
  <c r="AU104" i="10" s="1"/>
  <c r="R115" i="10"/>
  <c r="R114" i="10"/>
  <c r="R113" i="10"/>
  <c r="AS113" i="10" s="1"/>
  <c r="R112" i="10"/>
  <c r="R111" i="10"/>
  <c r="AS111" i="10" s="1"/>
  <c r="R110" i="10"/>
  <c r="AS110" i="10" s="1"/>
  <c r="R109" i="10"/>
  <c r="AS109" i="10" s="1"/>
  <c r="R108" i="10"/>
  <c r="AS108" i="10" s="1"/>
  <c r="R107" i="10"/>
  <c r="AS107" i="10" s="1"/>
  <c r="R106" i="10"/>
  <c r="AS106" i="10" s="1"/>
  <c r="R105" i="10"/>
  <c r="AS105" i="10" s="1"/>
  <c r="R104" i="10"/>
  <c r="O115" i="10"/>
  <c r="AQ115" i="10" s="1"/>
  <c r="O114" i="10"/>
  <c r="AQ114" i="10" s="1"/>
  <c r="O113" i="10"/>
  <c r="AQ113" i="10" s="1"/>
  <c r="O112" i="10"/>
  <c r="O111" i="10"/>
  <c r="AQ111" i="10" s="1"/>
  <c r="O110" i="10"/>
  <c r="AQ110" i="10" s="1"/>
  <c r="O109" i="10"/>
  <c r="AQ109" i="10" s="1"/>
  <c r="O108" i="10"/>
  <c r="O107" i="10"/>
  <c r="AQ107" i="10" s="1"/>
  <c r="O106" i="10"/>
  <c r="AQ106" i="10" s="1"/>
  <c r="O105" i="10"/>
  <c r="AQ105" i="10" s="1"/>
  <c r="O104" i="10"/>
  <c r="L115" i="10"/>
  <c r="AO115" i="10" s="1"/>
  <c r="L114" i="10"/>
  <c r="AO114" i="10" s="1"/>
  <c r="L113" i="10"/>
  <c r="AO113" i="10" s="1"/>
  <c r="L112" i="10"/>
  <c r="AO112" i="10" s="1"/>
  <c r="L111" i="10"/>
  <c r="AO111" i="10" s="1"/>
  <c r="L110" i="10"/>
  <c r="AO110" i="10" s="1"/>
  <c r="L109" i="10"/>
  <c r="AO109" i="10" s="1"/>
  <c r="L108" i="10"/>
  <c r="AO108" i="10" s="1"/>
  <c r="L107" i="10"/>
  <c r="AO107" i="10" s="1"/>
  <c r="L106" i="10"/>
  <c r="AO106" i="10" s="1"/>
  <c r="L105" i="10"/>
  <c r="L104" i="10"/>
  <c r="AO104" i="10" s="1"/>
  <c r="U98" i="10"/>
  <c r="AU98" i="10" s="1"/>
  <c r="U97" i="10"/>
  <c r="U96" i="10"/>
  <c r="AU96" i="10" s="1"/>
  <c r="U95" i="10"/>
  <c r="AU95" i="10" s="1"/>
  <c r="U94" i="10"/>
  <c r="AU94" i="10" s="1"/>
  <c r="U93" i="10"/>
  <c r="AU93" i="10" s="1"/>
  <c r="U92" i="10"/>
  <c r="AU92" i="10" s="1"/>
  <c r="U91" i="10"/>
  <c r="U90" i="10"/>
  <c r="U89" i="10"/>
  <c r="AU89" i="10" s="1"/>
  <c r="U88" i="10"/>
  <c r="AU88" i="10" s="1"/>
  <c r="U87" i="10"/>
  <c r="AU87" i="10" s="1"/>
  <c r="R98" i="10"/>
  <c r="R97" i="10"/>
  <c r="AS97" i="10" s="1"/>
  <c r="R96" i="10"/>
  <c r="AS96" i="10" s="1"/>
  <c r="R95" i="10"/>
  <c r="R94" i="10"/>
  <c r="AS94" i="10" s="1"/>
  <c r="R93" i="10"/>
  <c r="AS93" i="10" s="1"/>
  <c r="R92" i="10"/>
  <c r="R91" i="10"/>
  <c r="R90" i="10"/>
  <c r="AS90" i="10" s="1"/>
  <c r="R89" i="10"/>
  <c r="AS89" i="10" s="1"/>
  <c r="R88" i="10"/>
  <c r="AS88" i="10" s="1"/>
  <c r="R87" i="10"/>
  <c r="O98" i="10"/>
  <c r="AQ98" i="10" s="1"/>
  <c r="O97" i="10"/>
  <c r="AQ97" i="10" s="1"/>
  <c r="O96" i="10"/>
  <c r="AQ96" i="10" s="1"/>
  <c r="O95" i="10"/>
  <c r="AQ95" i="10" s="1"/>
  <c r="O94" i="10"/>
  <c r="AQ94" i="10" s="1"/>
  <c r="O93" i="10"/>
  <c r="AQ93" i="10" s="1"/>
  <c r="O92" i="10"/>
  <c r="O91" i="10"/>
  <c r="O90" i="10"/>
  <c r="AQ90" i="10" s="1"/>
  <c r="O89" i="10"/>
  <c r="AQ89" i="10" s="1"/>
  <c r="O88" i="10"/>
  <c r="AQ88" i="10" s="1"/>
  <c r="O87" i="10"/>
  <c r="AQ87" i="10" s="1"/>
  <c r="L98" i="10"/>
  <c r="AO98" i="10" s="1"/>
  <c r="L97" i="10"/>
  <c r="AO97" i="10" s="1"/>
  <c r="L96" i="10"/>
  <c r="AO96" i="10" s="1"/>
  <c r="L95" i="10"/>
  <c r="AO95" i="10" s="1"/>
  <c r="L94" i="10"/>
  <c r="AO94" i="10" s="1"/>
  <c r="L93" i="10"/>
  <c r="AO93" i="10" s="1"/>
  <c r="L92" i="10"/>
  <c r="AO92" i="10" s="1"/>
  <c r="L91" i="10"/>
  <c r="AO91" i="10" s="1"/>
  <c r="L90" i="10"/>
  <c r="AO90" i="10" s="1"/>
  <c r="L89" i="10"/>
  <c r="AO89" i="10" s="1"/>
  <c r="L88" i="10"/>
  <c r="AO88" i="10" s="1"/>
  <c r="L87" i="10"/>
  <c r="AO87" i="10" s="1"/>
  <c r="U82" i="10"/>
  <c r="AU82" i="10" s="1"/>
  <c r="U81" i="10"/>
  <c r="AU81" i="10" s="1"/>
  <c r="U80" i="10"/>
  <c r="AU80" i="10" s="1"/>
  <c r="U79" i="10"/>
  <c r="AU79" i="10" s="1"/>
  <c r="U78" i="10"/>
  <c r="AU78" i="10" s="1"/>
  <c r="U77" i="10"/>
  <c r="AU77" i="10" s="1"/>
  <c r="U76" i="10"/>
  <c r="AU76" i="10" s="1"/>
  <c r="U75" i="10"/>
  <c r="U74" i="10"/>
  <c r="U73" i="10"/>
  <c r="AU73" i="10" s="1"/>
  <c r="U72" i="10"/>
  <c r="AU72" i="10" s="1"/>
  <c r="U71" i="10"/>
  <c r="AU71" i="10" s="1"/>
  <c r="R82" i="10"/>
  <c r="AS82" i="10" s="1"/>
  <c r="R81" i="10"/>
  <c r="AS81" i="10" s="1"/>
  <c r="R80" i="10"/>
  <c r="AS80" i="10" s="1"/>
  <c r="R79" i="10"/>
  <c r="R78" i="10"/>
  <c r="AS78" i="10" s="1"/>
  <c r="R77" i="10"/>
  <c r="AS77" i="10" s="1"/>
  <c r="R76" i="10"/>
  <c r="AS76" i="10" s="1"/>
  <c r="R75" i="10"/>
  <c r="R74" i="10"/>
  <c r="AS74" i="10" s="1"/>
  <c r="R73" i="10"/>
  <c r="AS73" i="10" s="1"/>
  <c r="R72" i="10"/>
  <c r="AS72" i="10" s="1"/>
  <c r="R71" i="10"/>
  <c r="O82" i="10"/>
  <c r="AQ82" i="10" s="1"/>
  <c r="O81" i="10"/>
  <c r="O80" i="10"/>
  <c r="O79" i="10"/>
  <c r="AQ79" i="10" s="1"/>
  <c r="O78" i="10"/>
  <c r="AQ78" i="10" s="1"/>
  <c r="O77" i="10"/>
  <c r="AQ77" i="10" s="1"/>
  <c r="O76" i="10"/>
  <c r="O75" i="10"/>
  <c r="O74" i="10"/>
  <c r="AQ74" i="10" s="1"/>
  <c r="O73" i="10"/>
  <c r="AQ73" i="10" s="1"/>
  <c r="O72" i="10"/>
  <c r="AQ72" i="10" s="1"/>
  <c r="O71" i="10"/>
  <c r="AQ71" i="10" s="1"/>
  <c r="L82" i="10"/>
  <c r="L81" i="10"/>
  <c r="L80" i="10"/>
  <c r="AO80" i="10" s="1"/>
  <c r="L79" i="10"/>
  <c r="AO79" i="10" s="1"/>
  <c r="L78" i="10"/>
  <c r="AO78" i="10" s="1"/>
  <c r="L77" i="10"/>
  <c r="AO77" i="10" s="1"/>
  <c r="L76" i="10"/>
  <c r="AO76" i="10" s="1"/>
  <c r="L75" i="10"/>
  <c r="AO75" i="10" s="1"/>
  <c r="L74" i="10"/>
  <c r="AO74" i="10" s="1"/>
  <c r="L73" i="10"/>
  <c r="AO73" i="10" s="1"/>
  <c r="L72" i="10"/>
  <c r="AO72" i="10" s="1"/>
  <c r="L71" i="10"/>
  <c r="U67" i="10"/>
  <c r="AU67" i="10" s="1"/>
  <c r="U66" i="10"/>
  <c r="AU66" i="10" s="1"/>
  <c r="U65" i="10"/>
  <c r="AU65" i="10" s="1"/>
  <c r="U64" i="10"/>
  <c r="U63" i="10"/>
  <c r="AU63" i="10" s="1"/>
  <c r="U62" i="10"/>
  <c r="AU62" i="10" s="1"/>
  <c r="U61" i="10"/>
  <c r="AU61" i="10" s="1"/>
  <c r="U60" i="10"/>
  <c r="U59" i="10"/>
  <c r="AU59" i="10" s="1"/>
  <c r="U58" i="10"/>
  <c r="AU58" i="10" s="1"/>
  <c r="U57" i="10"/>
  <c r="U56" i="10"/>
  <c r="AU56" i="10" s="1"/>
  <c r="R67" i="10"/>
  <c r="AS67" i="10" s="1"/>
  <c r="R66" i="10"/>
  <c r="AS66" i="10" s="1"/>
  <c r="R65" i="10"/>
  <c r="R64" i="10"/>
  <c r="R63" i="10"/>
  <c r="AS63" i="10" s="1"/>
  <c r="R62" i="10"/>
  <c r="AS62" i="10" s="1"/>
  <c r="R61" i="10"/>
  <c r="AS61" i="10" s="1"/>
  <c r="R60" i="10"/>
  <c r="AS60" i="10" s="1"/>
  <c r="R59" i="10"/>
  <c r="AS59" i="10" s="1"/>
  <c r="R58" i="10"/>
  <c r="AS58" i="10" s="1"/>
  <c r="R57" i="10"/>
  <c r="R56" i="10"/>
  <c r="O67" i="10"/>
  <c r="AQ67" i="10" s="1"/>
  <c r="O66" i="10"/>
  <c r="O65" i="10"/>
  <c r="AQ65" i="10" s="1"/>
  <c r="O64" i="10"/>
  <c r="AQ64" i="10" s="1"/>
  <c r="O63" i="10"/>
  <c r="AQ63" i="10" s="1"/>
  <c r="O62" i="10"/>
  <c r="AQ62" i="10" s="1"/>
  <c r="O61" i="10"/>
  <c r="AQ61" i="10" s="1"/>
  <c r="O60" i="10"/>
  <c r="O59" i="10"/>
  <c r="O58" i="10"/>
  <c r="AQ58" i="10" s="1"/>
  <c r="O57" i="10"/>
  <c r="AQ57" i="10" s="1"/>
  <c r="O56" i="10"/>
  <c r="AQ56" i="10" s="1"/>
  <c r="L67" i="10"/>
  <c r="L66" i="10"/>
  <c r="L65" i="10"/>
  <c r="AO65" i="10" s="1"/>
  <c r="L64" i="10"/>
  <c r="AO64" i="10" s="1"/>
  <c r="L63" i="10"/>
  <c r="AO63" i="10" s="1"/>
  <c r="L62" i="10"/>
  <c r="AO62" i="10" s="1"/>
  <c r="L61" i="10"/>
  <c r="AO61" i="10" s="1"/>
  <c r="L60" i="10"/>
  <c r="L59" i="10"/>
  <c r="L58" i="10"/>
  <c r="AO58" i="10" s="1"/>
  <c r="L57" i="10"/>
  <c r="AO57" i="10" s="1"/>
  <c r="L56" i="10"/>
  <c r="U52" i="10"/>
  <c r="AU52" i="10" s="1"/>
  <c r="U51" i="10"/>
  <c r="AU51" i="10" s="1"/>
  <c r="U50" i="10"/>
  <c r="AU50" i="10" s="1"/>
  <c r="U49" i="10"/>
  <c r="AU49" i="10" s="1"/>
  <c r="U48" i="10"/>
  <c r="AU48" i="10" s="1"/>
  <c r="U47" i="10"/>
  <c r="AU47" i="10" s="1"/>
  <c r="U46" i="10"/>
  <c r="U45" i="10"/>
  <c r="U44" i="10"/>
  <c r="AU44" i="10" s="1"/>
  <c r="U43" i="10"/>
  <c r="AU43" i="10" s="1"/>
  <c r="U42" i="10"/>
  <c r="AU42" i="10" s="1"/>
  <c r="U41" i="10"/>
  <c r="R52" i="10"/>
  <c r="AS52" i="10" s="1"/>
  <c r="R51" i="10"/>
  <c r="AS51" i="10" s="1"/>
  <c r="R50" i="10"/>
  <c r="AS50" i="10" s="1"/>
  <c r="R49" i="10"/>
  <c r="AS49" i="10" s="1"/>
  <c r="R48" i="10"/>
  <c r="AS48" i="10" s="1"/>
  <c r="R47" i="10"/>
  <c r="AS47" i="10" s="1"/>
  <c r="R46" i="10"/>
  <c r="R45" i="10"/>
  <c r="AS45" i="10" s="1"/>
  <c r="R44" i="10"/>
  <c r="AS44" i="10" s="1"/>
  <c r="R43" i="10"/>
  <c r="AS43" i="10" s="1"/>
  <c r="R42" i="10"/>
  <c r="AS42" i="10" s="1"/>
  <c r="R41" i="10"/>
  <c r="AS41" i="10" s="1"/>
  <c r="O52" i="10"/>
  <c r="AQ52" i="10" s="1"/>
  <c r="O51" i="10"/>
  <c r="AQ51" i="10" s="1"/>
  <c r="O50" i="10"/>
  <c r="O49" i="10"/>
  <c r="AQ49" i="10" s="1"/>
  <c r="O48" i="10"/>
  <c r="AQ48" i="10" s="1"/>
  <c r="O47" i="10"/>
  <c r="AQ47" i="10" s="1"/>
  <c r="O46" i="10"/>
  <c r="AQ46" i="10" s="1"/>
  <c r="O45" i="10"/>
  <c r="AQ45" i="10" s="1"/>
  <c r="O44" i="10"/>
  <c r="AQ44" i="10" s="1"/>
  <c r="O43" i="10"/>
  <c r="AQ43" i="10" s="1"/>
  <c r="O42" i="10"/>
  <c r="AQ42" i="10" s="1"/>
  <c r="O41" i="10"/>
  <c r="AQ41" i="10" s="1"/>
  <c r="L52" i="10"/>
  <c r="AO52" i="10" s="1"/>
  <c r="L51" i="10"/>
  <c r="AO51" i="10" s="1"/>
  <c r="L50" i="10"/>
  <c r="AO50" i="10" s="1"/>
  <c r="L49" i="10"/>
  <c r="L48" i="10"/>
  <c r="L47" i="10"/>
  <c r="AO47" i="10" s="1"/>
  <c r="L46" i="10"/>
  <c r="AO46" i="10" s="1"/>
  <c r="L45" i="10"/>
  <c r="AO45" i="10" s="1"/>
  <c r="L44" i="10"/>
  <c r="L43" i="10"/>
  <c r="AO43" i="10" s="1"/>
  <c r="L42" i="10"/>
  <c r="AO42" i="10" s="1"/>
  <c r="L41" i="10"/>
  <c r="AO41" i="10" s="1"/>
  <c r="U37" i="10"/>
  <c r="AU37" i="10" s="1"/>
  <c r="U36" i="10"/>
  <c r="AU36" i="10" s="1"/>
  <c r="U35" i="10"/>
  <c r="U34" i="10"/>
  <c r="U33" i="10"/>
  <c r="AU33" i="10" s="1"/>
  <c r="U32" i="10"/>
  <c r="AU32" i="10" s="1"/>
  <c r="U31" i="10"/>
  <c r="AU31" i="10" s="1"/>
  <c r="U30" i="10"/>
  <c r="AU30" i="10" s="1"/>
  <c r="U29" i="10"/>
  <c r="AU29" i="10" s="1"/>
  <c r="U28" i="10"/>
  <c r="AU28" i="10" s="1"/>
  <c r="U27" i="10"/>
  <c r="AU27" i="10" s="1"/>
  <c r="U26" i="10"/>
  <c r="AU26" i="10" s="1"/>
  <c r="R37" i="10"/>
  <c r="AS37" i="10" s="1"/>
  <c r="R36" i="10"/>
  <c r="R35" i="10"/>
  <c r="R34" i="10"/>
  <c r="AS34" i="10" s="1"/>
  <c r="R33" i="10"/>
  <c r="AS33" i="10" s="1"/>
  <c r="R32" i="10"/>
  <c r="AS32" i="10" s="1"/>
  <c r="R31" i="10"/>
  <c r="AS31" i="10" s="1"/>
  <c r="R30" i="10"/>
  <c r="AS30" i="10" s="1"/>
  <c r="R29" i="10"/>
  <c r="AS29" i="10" s="1"/>
  <c r="R28" i="10"/>
  <c r="AS28" i="10" s="1"/>
  <c r="R27" i="10"/>
  <c r="AS27" i="10" s="1"/>
  <c r="R26" i="10"/>
  <c r="AS26" i="10" s="1"/>
  <c r="O37" i="10"/>
  <c r="AQ37" i="10" s="1"/>
  <c r="O36" i="10"/>
  <c r="O35" i="10"/>
  <c r="AQ35" i="10" s="1"/>
  <c r="O34" i="10"/>
  <c r="AQ34" i="10" s="1"/>
  <c r="O33" i="10"/>
  <c r="AQ33" i="10" s="1"/>
  <c r="O32" i="10"/>
  <c r="AQ32" i="10" s="1"/>
  <c r="O31" i="10"/>
  <c r="AQ31" i="10" s="1"/>
  <c r="O30" i="10"/>
  <c r="AQ30" i="10" s="1"/>
  <c r="O29" i="10"/>
  <c r="AQ29" i="10" s="1"/>
  <c r="O28" i="10"/>
  <c r="AQ28" i="10" s="1"/>
  <c r="O27" i="10"/>
  <c r="AQ27" i="10" s="1"/>
  <c r="O26" i="10"/>
  <c r="L37" i="10"/>
  <c r="L36" i="10"/>
  <c r="AO36" i="10" s="1"/>
  <c r="L35" i="10"/>
  <c r="AO35" i="10" s="1"/>
  <c r="L34" i="10"/>
  <c r="L33" i="10"/>
  <c r="AO33" i="10" s="1"/>
  <c r="L32" i="10"/>
  <c r="AO32" i="10" s="1"/>
  <c r="L31" i="10"/>
  <c r="AO31" i="10" s="1"/>
  <c r="L30" i="10"/>
  <c r="AO30" i="10" s="1"/>
  <c r="L29" i="10"/>
  <c r="AO29" i="10" s="1"/>
  <c r="L28" i="10"/>
  <c r="AO28" i="10" s="1"/>
  <c r="L27" i="10"/>
  <c r="AO27" i="10" s="1"/>
  <c r="L26" i="10"/>
  <c r="U22" i="10"/>
  <c r="AU22" i="10" s="1"/>
  <c r="U21" i="10"/>
  <c r="AU21" i="10" s="1"/>
  <c r="U20" i="10"/>
  <c r="AU20" i="10" s="1"/>
  <c r="U19" i="10"/>
  <c r="U18" i="10"/>
  <c r="AU18" i="10" s="1"/>
  <c r="U17" i="10"/>
  <c r="AU17" i="10" s="1"/>
  <c r="U16" i="10"/>
  <c r="AU16" i="10" s="1"/>
  <c r="U15" i="10"/>
  <c r="AU15" i="10" s="1"/>
  <c r="U14" i="10"/>
  <c r="AU14" i="10" s="1"/>
  <c r="U13" i="10"/>
  <c r="AU13" i="10" s="1"/>
  <c r="U12" i="10"/>
  <c r="U11" i="10"/>
  <c r="AU11" i="10" s="1"/>
  <c r="R22" i="10"/>
  <c r="AS22" i="10" s="1"/>
  <c r="R21" i="10"/>
  <c r="AS21" i="10" s="1"/>
  <c r="R20" i="10"/>
  <c r="R19" i="10"/>
  <c r="R18" i="10"/>
  <c r="AS18" i="10" s="1"/>
  <c r="R17" i="10"/>
  <c r="AS17" i="10" s="1"/>
  <c r="R16" i="10"/>
  <c r="AS16" i="10" s="1"/>
  <c r="R15" i="10"/>
  <c r="AS15" i="10" s="1"/>
  <c r="R14" i="10"/>
  <c r="R13" i="10"/>
  <c r="R12" i="10"/>
  <c r="AS12" i="10" s="1"/>
  <c r="R11" i="10"/>
  <c r="AS11" i="10" s="1"/>
  <c r="O11" i="10"/>
  <c r="O22" i="10"/>
  <c r="O21" i="10"/>
  <c r="AQ21" i="10" s="1"/>
  <c r="O20" i="10"/>
  <c r="AQ20" i="10" s="1"/>
  <c r="O19" i="10"/>
  <c r="AQ19" i="10" s="1"/>
  <c r="O18" i="10"/>
  <c r="AQ18" i="10" s="1"/>
  <c r="O17" i="10"/>
  <c r="AQ17" i="10" s="1"/>
  <c r="O16" i="10"/>
  <c r="AQ16" i="10" s="1"/>
  <c r="O15" i="10"/>
  <c r="O14" i="10"/>
  <c r="AQ14" i="10" s="1"/>
  <c r="O13" i="10"/>
  <c r="AQ13" i="10" s="1"/>
  <c r="O12" i="10"/>
  <c r="AQ12" i="10" s="1"/>
  <c r="L12" i="10"/>
  <c r="AO12" i="10" s="1"/>
  <c r="L13" i="10"/>
  <c r="AO13" i="10" s="1"/>
  <c r="L14" i="10"/>
  <c r="AO14" i="10" s="1"/>
  <c r="L15" i="10"/>
  <c r="L16" i="10"/>
  <c r="L17" i="10"/>
  <c r="AO17" i="10" s="1"/>
  <c r="L18" i="10"/>
  <c r="AO18" i="10" s="1"/>
  <c r="L19" i="10"/>
  <c r="AO19" i="10" s="1"/>
  <c r="L20" i="10"/>
  <c r="AO20" i="10" s="1"/>
  <c r="L21" i="10"/>
  <c r="AO21" i="10" s="1"/>
  <c r="L22" i="10"/>
  <c r="AO22" i="10" s="1"/>
  <c r="L11" i="10"/>
  <c r="AO11" i="10" s="1"/>
  <c r="C267" i="10"/>
  <c r="D267" i="10" s="1"/>
  <c r="C266" i="10"/>
  <c r="D266" i="10" s="1"/>
  <c r="C265" i="10"/>
  <c r="D265" i="10" s="1"/>
  <c r="C264" i="10"/>
  <c r="D264" i="10" s="1"/>
  <c r="C263" i="10"/>
  <c r="D263" i="10" s="1"/>
  <c r="C262" i="10"/>
  <c r="D262" i="10" s="1"/>
  <c r="C261" i="10"/>
  <c r="D261" i="10" s="1"/>
  <c r="C260" i="10"/>
  <c r="D260" i="10" s="1"/>
  <c r="C259" i="10"/>
  <c r="D259" i="10" s="1"/>
  <c r="C258" i="10"/>
  <c r="D258" i="10" s="1"/>
  <c r="C257" i="10"/>
  <c r="D257" i="10" s="1"/>
  <c r="C256" i="10"/>
  <c r="D256" i="10" s="1"/>
  <c r="C252" i="10"/>
  <c r="D252" i="10" s="1"/>
  <c r="C251" i="10"/>
  <c r="D251" i="10" s="1"/>
  <c r="C250" i="10"/>
  <c r="D250" i="10" s="1"/>
  <c r="C249" i="10"/>
  <c r="D249" i="10" s="1"/>
  <c r="C248" i="10"/>
  <c r="D248" i="10" s="1"/>
  <c r="C247" i="10"/>
  <c r="D247" i="10" s="1"/>
  <c r="C246" i="10"/>
  <c r="D246" i="10" s="1"/>
  <c r="AJ246" i="10" s="1"/>
  <c r="C245" i="10"/>
  <c r="D245" i="10" s="1"/>
  <c r="C244" i="10"/>
  <c r="D244" i="10" s="1"/>
  <c r="C243" i="10"/>
  <c r="D243" i="10" s="1"/>
  <c r="C242" i="10"/>
  <c r="D242" i="10" s="1"/>
  <c r="C241" i="10"/>
  <c r="D241" i="10" s="1"/>
  <c r="C237" i="10"/>
  <c r="D237" i="10" s="1"/>
  <c r="C236" i="10"/>
  <c r="D236" i="10" s="1"/>
  <c r="C235" i="10"/>
  <c r="D235" i="10" s="1"/>
  <c r="AG235" i="10" s="1"/>
  <c r="C234" i="10"/>
  <c r="D234" i="10" s="1"/>
  <c r="C233" i="10"/>
  <c r="D233" i="10" s="1"/>
  <c r="C232" i="10"/>
  <c r="D232" i="10" s="1"/>
  <c r="C231" i="10"/>
  <c r="D231" i="10" s="1"/>
  <c r="C230" i="10"/>
  <c r="D230" i="10" s="1"/>
  <c r="C229" i="10"/>
  <c r="D229" i="10" s="1"/>
  <c r="C228" i="10"/>
  <c r="D228" i="10" s="1"/>
  <c r="C227" i="10"/>
  <c r="D227" i="10" s="1"/>
  <c r="C226" i="10"/>
  <c r="D226" i="10" s="1"/>
  <c r="C222" i="10"/>
  <c r="D222" i="10" s="1"/>
  <c r="C221" i="10"/>
  <c r="D221" i="10" s="1"/>
  <c r="C220" i="10"/>
  <c r="D220" i="10" s="1"/>
  <c r="C219" i="10"/>
  <c r="D219" i="10" s="1"/>
  <c r="C218" i="10"/>
  <c r="D218" i="10" s="1"/>
  <c r="C217" i="10"/>
  <c r="D217" i="10" s="1"/>
  <c r="C216" i="10"/>
  <c r="D216" i="10" s="1"/>
  <c r="C215" i="10"/>
  <c r="D215" i="10" s="1"/>
  <c r="C214" i="10"/>
  <c r="D214" i="10" s="1"/>
  <c r="C213" i="10"/>
  <c r="D213" i="10" s="1"/>
  <c r="C212" i="10"/>
  <c r="D212" i="10" s="1"/>
  <c r="C211" i="10"/>
  <c r="D211" i="10" s="1"/>
  <c r="C207" i="10"/>
  <c r="D207" i="10" s="1"/>
  <c r="C206" i="10"/>
  <c r="D206" i="10" s="1"/>
  <c r="C205" i="10"/>
  <c r="D205" i="10" s="1"/>
  <c r="AA205" i="10" s="1"/>
  <c r="C204" i="10"/>
  <c r="D204" i="10" s="1"/>
  <c r="C203" i="10"/>
  <c r="D203" i="10" s="1"/>
  <c r="C202" i="10"/>
  <c r="D202" i="10" s="1"/>
  <c r="C201" i="10"/>
  <c r="D201" i="10" s="1"/>
  <c r="AJ201" i="10" s="1"/>
  <c r="C200" i="10"/>
  <c r="D200" i="10" s="1"/>
  <c r="C199" i="10"/>
  <c r="D199" i="10" s="1"/>
  <c r="C198" i="10"/>
  <c r="D198" i="10" s="1"/>
  <c r="C197" i="10"/>
  <c r="D197" i="10" s="1"/>
  <c r="C196" i="10"/>
  <c r="D196" i="10" s="1"/>
  <c r="C192" i="10"/>
  <c r="D192" i="10" s="1"/>
  <c r="C191" i="10"/>
  <c r="D191" i="10" s="1"/>
  <c r="C190" i="10"/>
  <c r="D190" i="10" s="1"/>
  <c r="C189" i="10"/>
  <c r="D189" i="10" s="1"/>
  <c r="C188" i="10"/>
  <c r="D188" i="10" s="1"/>
  <c r="C187" i="10"/>
  <c r="D187" i="10" s="1"/>
  <c r="C186" i="10"/>
  <c r="D186" i="10" s="1"/>
  <c r="C185" i="10"/>
  <c r="D185" i="10" s="1"/>
  <c r="C184" i="10"/>
  <c r="D184" i="10" s="1"/>
  <c r="C183" i="10"/>
  <c r="D183" i="10" s="1"/>
  <c r="C182" i="10"/>
  <c r="D182" i="10" s="1"/>
  <c r="AA182" i="10" s="1"/>
  <c r="C181" i="10"/>
  <c r="D181" i="10" s="1"/>
  <c r="C177" i="10"/>
  <c r="D177" i="10" s="1"/>
  <c r="C176" i="10"/>
  <c r="D176" i="10" s="1"/>
  <c r="C175" i="10"/>
  <c r="D175" i="10" s="1"/>
  <c r="AA175" i="10" s="1"/>
  <c r="C174" i="10"/>
  <c r="D174" i="10" s="1"/>
  <c r="C173" i="10"/>
  <c r="D173" i="10" s="1"/>
  <c r="C172" i="10"/>
  <c r="D172" i="10" s="1"/>
  <c r="C171" i="10"/>
  <c r="D171" i="10" s="1"/>
  <c r="C170" i="10"/>
  <c r="D170" i="10" s="1"/>
  <c r="C169" i="10"/>
  <c r="D169" i="10" s="1"/>
  <c r="C168" i="10"/>
  <c r="D168" i="10" s="1"/>
  <c r="C167" i="10"/>
  <c r="D167" i="10" s="1"/>
  <c r="C166" i="10"/>
  <c r="D166" i="10" s="1"/>
  <c r="C162" i="10"/>
  <c r="D162" i="10" s="1"/>
  <c r="C161" i="10"/>
  <c r="D161" i="10" s="1"/>
  <c r="C160" i="10"/>
  <c r="D160" i="10" s="1"/>
  <c r="AG160" i="10" s="1"/>
  <c r="C159" i="10"/>
  <c r="D159" i="10" s="1"/>
  <c r="C158" i="10"/>
  <c r="D158" i="10" s="1"/>
  <c r="C157" i="10"/>
  <c r="D157" i="10" s="1"/>
  <c r="C156" i="10"/>
  <c r="D156" i="10" s="1"/>
  <c r="AJ156" i="10" s="1"/>
  <c r="C155" i="10"/>
  <c r="D155" i="10" s="1"/>
  <c r="C154" i="10"/>
  <c r="D154" i="10" s="1"/>
  <c r="C153" i="10"/>
  <c r="D153" i="10" s="1"/>
  <c r="C152" i="10"/>
  <c r="D152" i="10" s="1"/>
  <c r="C151" i="10"/>
  <c r="D151" i="10" s="1"/>
  <c r="C147" i="10"/>
  <c r="D147" i="10" s="1"/>
  <c r="C146" i="10"/>
  <c r="D146" i="10" s="1"/>
  <c r="C145" i="10"/>
  <c r="D145" i="10" s="1"/>
  <c r="C144" i="10"/>
  <c r="D144" i="10" s="1"/>
  <c r="C143" i="10"/>
  <c r="D143" i="10" s="1"/>
  <c r="C142" i="10"/>
  <c r="D142" i="10" s="1"/>
  <c r="C141" i="10"/>
  <c r="D141" i="10" s="1"/>
  <c r="C140" i="10"/>
  <c r="D140" i="10" s="1"/>
  <c r="C139" i="10"/>
  <c r="D139" i="10" s="1"/>
  <c r="C138" i="10"/>
  <c r="D138" i="10" s="1"/>
  <c r="C137" i="10"/>
  <c r="D137" i="10" s="1"/>
  <c r="AG137" i="10" s="1"/>
  <c r="C136" i="10"/>
  <c r="D136" i="10" s="1"/>
  <c r="C131" i="10"/>
  <c r="D131" i="10" s="1"/>
  <c r="C130" i="10"/>
  <c r="D130" i="10" s="1"/>
  <c r="C129" i="10"/>
  <c r="D129" i="10" s="1"/>
  <c r="C128" i="10"/>
  <c r="D128" i="10" s="1"/>
  <c r="C127" i="10"/>
  <c r="D127" i="10" s="1"/>
  <c r="C126" i="10"/>
  <c r="D126" i="10" s="1"/>
  <c r="C125" i="10"/>
  <c r="D125" i="10" s="1"/>
  <c r="AJ125" i="10" s="1"/>
  <c r="C124" i="10"/>
  <c r="D124" i="10" s="1"/>
  <c r="C123" i="10"/>
  <c r="D123" i="10" s="1"/>
  <c r="C122" i="10"/>
  <c r="D122" i="10" s="1"/>
  <c r="C121" i="10"/>
  <c r="D121" i="10" s="1"/>
  <c r="C120" i="10"/>
  <c r="D120" i="10" s="1"/>
  <c r="C115" i="10"/>
  <c r="D115" i="10" s="1"/>
  <c r="C114" i="10"/>
  <c r="D114" i="10" s="1"/>
  <c r="C113" i="10"/>
  <c r="D113" i="10" s="1"/>
  <c r="AG113" i="10" s="1"/>
  <c r="C112" i="10"/>
  <c r="D112" i="10" s="1"/>
  <c r="C111" i="10"/>
  <c r="D111" i="10" s="1"/>
  <c r="C110" i="10"/>
  <c r="D110" i="10" s="1"/>
  <c r="C109" i="10"/>
  <c r="D109" i="10" s="1"/>
  <c r="C108" i="10"/>
  <c r="D108" i="10" s="1"/>
  <c r="C107" i="10"/>
  <c r="D107" i="10" s="1"/>
  <c r="C106" i="10"/>
  <c r="D106" i="10" s="1"/>
  <c r="C105" i="10"/>
  <c r="D105" i="10" s="1"/>
  <c r="C104" i="10"/>
  <c r="D104" i="10" s="1"/>
  <c r="C98" i="10"/>
  <c r="D98" i="10" s="1"/>
  <c r="C97" i="10"/>
  <c r="D97" i="10" s="1"/>
  <c r="C96" i="10"/>
  <c r="D96" i="10" s="1"/>
  <c r="C95" i="10"/>
  <c r="D95" i="10" s="1"/>
  <c r="C94" i="10"/>
  <c r="D94" i="10" s="1"/>
  <c r="C93" i="10"/>
  <c r="D93" i="10" s="1"/>
  <c r="C92" i="10"/>
  <c r="D92" i="10" s="1"/>
  <c r="C91" i="10"/>
  <c r="D91" i="10" s="1"/>
  <c r="C90" i="10"/>
  <c r="D90" i="10" s="1"/>
  <c r="C89" i="10"/>
  <c r="D89" i="10" s="1"/>
  <c r="C88" i="10"/>
  <c r="D88" i="10" s="1"/>
  <c r="C87" i="10"/>
  <c r="D87" i="10" s="1"/>
  <c r="C82" i="10"/>
  <c r="D82" i="10" s="1"/>
  <c r="C81" i="10"/>
  <c r="D81" i="10" s="1"/>
  <c r="C80" i="10"/>
  <c r="D80" i="10" s="1"/>
  <c r="AA80" i="10" s="1"/>
  <c r="C79" i="10"/>
  <c r="D79" i="10" s="1"/>
  <c r="C78" i="10"/>
  <c r="D78" i="10" s="1"/>
  <c r="C77" i="10"/>
  <c r="D77" i="10" s="1"/>
  <c r="C76" i="10"/>
  <c r="D76" i="10" s="1"/>
  <c r="AJ76" i="10" s="1"/>
  <c r="C75" i="10"/>
  <c r="D75" i="10" s="1"/>
  <c r="C74" i="10"/>
  <c r="D74" i="10" s="1"/>
  <c r="C73" i="10"/>
  <c r="D73" i="10" s="1"/>
  <c r="C72" i="10"/>
  <c r="D72" i="10" s="1"/>
  <c r="C71" i="10"/>
  <c r="D71" i="10" s="1"/>
  <c r="C67" i="10"/>
  <c r="D67" i="10" s="1"/>
  <c r="C66" i="10"/>
  <c r="D66" i="10" s="1"/>
  <c r="C65" i="10"/>
  <c r="D65" i="10" s="1"/>
  <c r="C64" i="10"/>
  <c r="D64" i="10" s="1"/>
  <c r="C63" i="10"/>
  <c r="D63" i="10" s="1"/>
  <c r="C62" i="10"/>
  <c r="D62" i="10" s="1"/>
  <c r="C61" i="10"/>
  <c r="D61" i="10" s="1"/>
  <c r="C60" i="10"/>
  <c r="D60" i="10" s="1"/>
  <c r="C59" i="10"/>
  <c r="D59" i="10" s="1"/>
  <c r="C58" i="10"/>
  <c r="D58" i="10" s="1"/>
  <c r="C57" i="10"/>
  <c r="D57" i="10" s="1"/>
  <c r="C56" i="10"/>
  <c r="D56" i="10" s="1"/>
  <c r="C52" i="10"/>
  <c r="D52" i="10" s="1"/>
  <c r="C51" i="10"/>
  <c r="D51" i="10" s="1"/>
  <c r="C50" i="10"/>
  <c r="D50" i="10" s="1"/>
  <c r="AA50" i="10" s="1"/>
  <c r="C49" i="10"/>
  <c r="D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C37" i="10"/>
  <c r="D37" i="10" s="1"/>
  <c r="C36" i="10"/>
  <c r="D36" i="10" s="1"/>
  <c r="C35" i="10"/>
  <c r="D35" i="10" s="1"/>
  <c r="AG35" i="10" s="1"/>
  <c r="C34" i="10"/>
  <c r="D34" i="10" s="1"/>
  <c r="C33" i="10"/>
  <c r="D33" i="10" s="1"/>
  <c r="C32" i="10"/>
  <c r="D32" i="10" s="1"/>
  <c r="C31" i="10"/>
  <c r="D31" i="10" s="1"/>
  <c r="AJ31" i="10" s="1"/>
  <c r="C30" i="10"/>
  <c r="D30" i="10" s="1"/>
  <c r="C29" i="10"/>
  <c r="D29" i="10" s="1"/>
  <c r="C28" i="10"/>
  <c r="D28" i="10" s="1"/>
  <c r="C27" i="10"/>
  <c r="D27" i="10" s="1"/>
  <c r="C26" i="10"/>
  <c r="D26" i="10" s="1"/>
  <c r="C22" i="10"/>
  <c r="D22" i="10" s="1"/>
  <c r="C21" i="10"/>
  <c r="D21" i="10" s="1"/>
  <c r="C20" i="10"/>
  <c r="D20" i="10" s="1"/>
  <c r="C19" i="10"/>
  <c r="D19" i="10" s="1"/>
  <c r="C18" i="10"/>
  <c r="D18" i="10" s="1"/>
  <c r="C17" i="10"/>
  <c r="D17" i="10" s="1"/>
  <c r="C16" i="10"/>
  <c r="D16" i="10" s="1"/>
  <c r="C15" i="10"/>
  <c r="D15" i="10" s="1"/>
  <c r="C14" i="10"/>
  <c r="D14" i="10" s="1"/>
  <c r="C13" i="10"/>
  <c r="D13" i="10" s="1"/>
  <c r="C12" i="10"/>
  <c r="D12" i="10" s="1"/>
  <c r="C11" i="10"/>
  <c r="D11" i="10" s="1"/>
  <c r="AG17" i="10" l="1"/>
  <c r="BB17" i="10"/>
  <c r="AY17" i="10"/>
  <c r="BE17" i="10"/>
  <c r="BH17" i="10"/>
  <c r="T172" i="10"/>
  <c r="BH172" i="10"/>
  <c r="BE172" i="10"/>
  <c r="BB172" i="10"/>
  <c r="AY172" i="10"/>
  <c r="K58" i="10"/>
  <c r="BH58" i="10"/>
  <c r="AY58" i="10"/>
  <c r="BE58" i="10"/>
  <c r="BB58" i="10"/>
  <c r="AJ122" i="10"/>
  <c r="BH122" i="10"/>
  <c r="BB122" i="10"/>
  <c r="AY122" i="10"/>
  <c r="BE122" i="10"/>
  <c r="AJ153" i="10"/>
  <c r="BH153" i="10"/>
  <c r="BB153" i="10"/>
  <c r="AY153" i="10"/>
  <c r="BE153" i="10"/>
  <c r="AJ198" i="10"/>
  <c r="BH198" i="10"/>
  <c r="BB198" i="10"/>
  <c r="AY198" i="10"/>
  <c r="BE198" i="10"/>
  <c r="AJ258" i="10"/>
  <c r="BH258" i="10"/>
  <c r="BE258" i="10"/>
  <c r="BB258" i="10"/>
  <c r="AY258" i="10"/>
  <c r="AS183" i="10"/>
  <c r="AS258" i="10"/>
  <c r="AU258" i="10"/>
  <c r="AD125" i="10"/>
  <c r="AA235" i="10"/>
  <c r="AD246" i="10"/>
  <c r="K32" i="10"/>
  <c r="BE32" i="10"/>
  <c r="AY32" i="10"/>
  <c r="BH32" i="10"/>
  <c r="BB32" i="10"/>
  <c r="AG157" i="10"/>
  <c r="BH157" i="10"/>
  <c r="BE157" i="10"/>
  <c r="BB157" i="10"/>
  <c r="AY157" i="10"/>
  <c r="AG262" i="10"/>
  <c r="BH262" i="10"/>
  <c r="BE262" i="10"/>
  <c r="BB262" i="10"/>
  <c r="AY262" i="10"/>
  <c r="AJ12" i="10"/>
  <c r="BH12" i="10"/>
  <c r="BE12" i="10"/>
  <c r="AY12" i="10"/>
  <c r="BB12" i="10"/>
  <c r="T57" i="10"/>
  <c r="BB57" i="10"/>
  <c r="BE57" i="10"/>
  <c r="AY57" i="10"/>
  <c r="BH57" i="10"/>
  <c r="AJ105" i="10"/>
  <c r="BB105" i="10"/>
  <c r="BE105" i="10"/>
  <c r="BH105" i="10"/>
  <c r="AY105" i="10"/>
  <c r="AA152" i="10"/>
  <c r="BB152" i="10"/>
  <c r="BH152" i="10"/>
  <c r="BE152" i="10"/>
  <c r="AY152" i="10"/>
  <c r="AJ197" i="10"/>
  <c r="BB197" i="10"/>
  <c r="BH197" i="10"/>
  <c r="BE197" i="10"/>
  <c r="AY197" i="10"/>
  <c r="AJ257" i="10"/>
  <c r="BB257" i="10"/>
  <c r="AY257" i="10"/>
  <c r="BH257" i="10"/>
  <c r="BE257" i="10"/>
  <c r="AS57" i="10"/>
  <c r="AJ28" i="10"/>
  <c r="BH28" i="10"/>
  <c r="AY28" i="10"/>
  <c r="BE28" i="10"/>
  <c r="BB28" i="10"/>
  <c r="T89" i="10"/>
  <c r="BH89" i="10"/>
  <c r="AY89" i="10"/>
  <c r="BE89" i="10"/>
  <c r="BB89" i="10"/>
  <c r="T183" i="10"/>
  <c r="BH183" i="10"/>
  <c r="BB183" i="10"/>
  <c r="AY183" i="10"/>
  <c r="BE183" i="10"/>
  <c r="AJ228" i="10"/>
  <c r="BH228" i="10"/>
  <c r="BB228" i="10"/>
  <c r="AY228" i="10"/>
  <c r="BE228" i="10"/>
  <c r="AS138" i="10"/>
  <c r="T14" i="10"/>
  <c r="BB14" i="10"/>
  <c r="AY14" i="10"/>
  <c r="BE14" i="10"/>
  <c r="BH14" i="10"/>
  <c r="AJ44" i="10"/>
  <c r="BE44" i="10"/>
  <c r="AY44" i="10"/>
  <c r="BH44" i="10"/>
  <c r="BB44" i="10"/>
  <c r="AJ59" i="10"/>
  <c r="BE59" i="10"/>
  <c r="AY59" i="10"/>
  <c r="BH59" i="10"/>
  <c r="BB59" i="10"/>
  <c r="T90" i="10"/>
  <c r="BE90" i="10"/>
  <c r="AY90" i="10"/>
  <c r="BH90" i="10"/>
  <c r="BB90" i="10"/>
  <c r="AJ107" i="10"/>
  <c r="BH107" i="10"/>
  <c r="BE107" i="10"/>
  <c r="AY107" i="10"/>
  <c r="BB107" i="10"/>
  <c r="N123" i="10"/>
  <c r="BH123" i="10"/>
  <c r="BE123" i="10"/>
  <c r="BB123" i="10"/>
  <c r="AY123" i="10"/>
  <c r="AJ139" i="10"/>
  <c r="BH139" i="10"/>
  <c r="BE139" i="10"/>
  <c r="BB139" i="10"/>
  <c r="AY139" i="10"/>
  <c r="AJ154" i="10"/>
  <c r="BH154" i="10"/>
  <c r="BE154" i="10"/>
  <c r="BB154" i="10"/>
  <c r="AY154" i="10"/>
  <c r="AJ169" i="10"/>
  <c r="BH169" i="10"/>
  <c r="BE169" i="10"/>
  <c r="BB169" i="10"/>
  <c r="AY169" i="10"/>
  <c r="T184" i="10"/>
  <c r="BH184" i="10"/>
  <c r="BE184" i="10"/>
  <c r="BB184" i="10"/>
  <c r="AY184" i="10"/>
  <c r="AJ199" i="10"/>
  <c r="BH199" i="10"/>
  <c r="BE199" i="10"/>
  <c r="BB199" i="10"/>
  <c r="AY199" i="10"/>
  <c r="AJ214" i="10"/>
  <c r="BH214" i="10"/>
  <c r="BE214" i="10"/>
  <c r="BB214" i="10"/>
  <c r="AY214" i="10"/>
  <c r="AJ229" i="10"/>
  <c r="BH229" i="10"/>
  <c r="BE229" i="10"/>
  <c r="BB229" i="10"/>
  <c r="AY229" i="10"/>
  <c r="AJ244" i="10"/>
  <c r="BH244" i="10"/>
  <c r="BE244" i="10"/>
  <c r="BB244" i="10"/>
  <c r="AY244" i="10"/>
  <c r="AJ259" i="10"/>
  <c r="BH259" i="10"/>
  <c r="BE259" i="10"/>
  <c r="BB259" i="10"/>
  <c r="AY259" i="10"/>
  <c r="AQ15" i="10"/>
  <c r="AS14" i="10"/>
  <c r="AO44" i="10"/>
  <c r="AO59" i="10"/>
  <c r="AQ59" i="10"/>
  <c r="AU74" i="10"/>
  <c r="AU90" i="10"/>
  <c r="AS123" i="10"/>
  <c r="AU123" i="10"/>
  <c r="AS139" i="10"/>
  <c r="AO169" i="10"/>
  <c r="AO184" i="10"/>
  <c r="AQ184" i="10"/>
  <c r="AU199" i="10"/>
  <c r="AU214" i="10"/>
  <c r="AS244" i="10"/>
  <c r="AU244" i="10"/>
  <c r="AS259" i="10"/>
  <c r="AA35" i="10"/>
  <c r="AA57" i="10"/>
  <c r="AA160" i="10"/>
  <c r="AG93" i="10"/>
  <c r="BE93" i="10"/>
  <c r="AY93" i="10"/>
  <c r="BH93" i="10"/>
  <c r="BB93" i="10"/>
  <c r="AG202" i="10"/>
  <c r="BH202" i="10"/>
  <c r="BE202" i="10"/>
  <c r="BB202" i="10"/>
  <c r="AY202" i="10"/>
  <c r="K27" i="10"/>
  <c r="BB27" i="10"/>
  <c r="BH27" i="10"/>
  <c r="BE27" i="10"/>
  <c r="AY27" i="10"/>
  <c r="T72" i="10"/>
  <c r="BB72" i="10"/>
  <c r="BE72" i="10"/>
  <c r="BH72" i="10"/>
  <c r="AY72" i="10"/>
  <c r="N121" i="10"/>
  <c r="BB121" i="10"/>
  <c r="BH121" i="10"/>
  <c r="BE121" i="10"/>
  <c r="AY121" i="10"/>
  <c r="AJ167" i="10"/>
  <c r="BB167" i="10"/>
  <c r="BH167" i="10"/>
  <c r="BE167" i="10"/>
  <c r="AY167" i="10"/>
  <c r="AA212" i="10"/>
  <c r="BB212" i="10"/>
  <c r="BH212" i="10"/>
  <c r="BE212" i="10"/>
  <c r="AY212" i="10"/>
  <c r="AJ227" i="10"/>
  <c r="BB227" i="10"/>
  <c r="BH227" i="10"/>
  <c r="BE227" i="10"/>
  <c r="AY227" i="10"/>
  <c r="AU12" i="10"/>
  <c r="AJ43" i="10"/>
  <c r="BH43" i="10"/>
  <c r="AY43" i="10"/>
  <c r="BE43" i="10"/>
  <c r="BB43" i="10"/>
  <c r="AJ106" i="10"/>
  <c r="BH106" i="10"/>
  <c r="AY106" i="10"/>
  <c r="BE106" i="10"/>
  <c r="BB106" i="10"/>
  <c r="AJ168" i="10"/>
  <c r="BH168" i="10"/>
  <c r="BB168" i="10"/>
  <c r="AY168" i="10"/>
  <c r="BE168" i="10"/>
  <c r="AJ243" i="10"/>
  <c r="BH243" i="10"/>
  <c r="BE243" i="10"/>
  <c r="BB243" i="10"/>
  <c r="AY243" i="10"/>
  <c r="AS13" i="10"/>
  <c r="AO228" i="10"/>
  <c r="AJ29" i="10"/>
  <c r="BE29" i="10"/>
  <c r="AY29" i="10"/>
  <c r="BH29" i="10"/>
  <c r="BB29" i="10"/>
  <c r="AJ74" i="10"/>
  <c r="BE74" i="10"/>
  <c r="AY74" i="10"/>
  <c r="BH74" i="10"/>
  <c r="BB74" i="10"/>
  <c r="T15" i="10"/>
  <c r="BH15" i="10"/>
  <c r="BE15" i="10"/>
  <c r="BB15" i="10"/>
  <c r="AY15" i="10"/>
  <c r="AG30" i="10"/>
  <c r="BB30" i="10"/>
  <c r="BE30" i="10"/>
  <c r="BH30" i="10"/>
  <c r="AY30" i="10"/>
  <c r="AG45" i="10"/>
  <c r="BB45" i="10"/>
  <c r="BE45" i="10"/>
  <c r="BH45" i="10"/>
  <c r="AY45" i="10"/>
  <c r="AG60" i="10"/>
  <c r="BB60" i="10"/>
  <c r="BE60" i="10"/>
  <c r="BH60" i="10"/>
  <c r="AY60" i="10"/>
  <c r="T75" i="10"/>
  <c r="BB75" i="10"/>
  <c r="BE75" i="10"/>
  <c r="BH75" i="10"/>
  <c r="AY75" i="10"/>
  <c r="AG91" i="10"/>
  <c r="BB91" i="10"/>
  <c r="BE91" i="10"/>
  <c r="BH91" i="10"/>
  <c r="AY91" i="10"/>
  <c r="AG108" i="10"/>
  <c r="BB108" i="10"/>
  <c r="BE108" i="10"/>
  <c r="BH108" i="10"/>
  <c r="AY108" i="10"/>
  <c r="N124" i="10"/>
  <c r="BB124" i="10"/>
  <c r="BH124" i="10"/>
  <c r="BE124" i="10"/>
  <c r="AY124" i="10"/>
  <c r="AG140" i="10"/>
  <c r="BB140" i="10"/>
  <c r="BH140" i="10"/>
  <c r="BE140" i="10"/>
  <c r="AY140" i="10"/>
  <c r="AG155" i="10"/>
  <c r="BB155" i="10"/>
  <c r="BH155" i="10"/>
  <c r="BE155" i="10"/>
  <c r="AY155" i="10"/>
  <c r="AG170" i="10"/>
  <c r="BB170" i="10"/>
  <c r="BH170" i="10"/>
  <c r="BE170" i="10"/>
  <c r="AY170" i="10"/>
  <c r="AG185" i="10"/>
  <c r="BB185" i="10"/>
  <c r="BH185" i="10"/>
  <c r="BE185" i="10"/>
  <c r="AY185" i="10"/>
  <c r="N200" i="10"/>
  <c r="BB200" i="10"/>
  <c r="BH200" i="10"/>
  <c r="BE200" i="10"/>
  <c r="AY200" i="10"/>
  <c r="AG215" i="10"/>
  <c r="BB215" i="10"/>
  <c r="BH215" i="10"/>
  <c r="BE215" i="10"/>
  <c r="AY215" i="10"/>
  <c r="AG230" i="10"/>
  <c r="BB230" i="10"/>
  <c r="BH230" i="10"/>
  <c r="BE230" i="10"/>
  <c r="AY230" i="10"/>
  <c r="AG245" i="10"/>
  <c r="BB245" i="10"/>
  <c r="AY245" i="10"/>
  <c r="BH245" i="10"/>
  <c r="BE245" i="10"/>
  <c r="AG260" i="10"/>
  <c r="BB260" i="10"/>
  <c r="AY260" i="10"/>
  <c r="BH260" i="10"/>
  <c r="BE260" i="10"/>
  <c r="AU45" i="10"/>
  <c r="AO60" i="10"/>
  <c r="AS75" i="10"/>
  <c r="AS91" i="10"/>
  <c r="AO185" i="10"/>
  <c r="AS200" i="10"/>
  <c r="AS215" i="10"/>
  <c r="AG12" i="10"/>
  <c r="AG257" i="10"/>
  <c r="AG142" i="10"/>
  <c r="BH142" i="10"/>
  <c r="BE142" i="10"/>
  <c r="BB142" i="10"/>
  <c r="AY142" i="10"/>
  <c r="AJ42" i="10"/>
  <c r="BB42" i="10"/>
  <c r="BE42" i="10"/>
  <c r="BH42" i="10"/>
  <c r="AY42" i="10"/>
  <c r="AG88" i="10"/>
  <c r="BB88" i="10"/>
  <c r="BE88" i="10"/>
  <c r="BH88" i="10"/>
  <c r="AY88" i="10"/>
  <c r="AJ137" i="10"/>
  <c r="BB137" i="10"/>
  <c r="BH137" i="10"/>
  <c r="BE137" i="10"/>
  <c r="AY137" i="10"/>
  <c r="AJ182" i="10"/>
  <c r="BB182" i="10"/>
  <c r="BH182" i="10"/>
  <c r="BE182" i="10"/>
  <c r="AY182" i="10"/>
  <c r="AJ242" i="10"/>
  <c r="BB242" i="10"/>
  <c r="AY242" i="10"/>
  <c r="BH242" i="10"/>
  <c r="BE242" i="10"/>
  <c r="AU57" i="10"/>
  <c r="AO105" i="10"/>
  <c r="AJ13" i="10"/>
  <c r="BH13" i="10"/>
  <c r="BE13" i="10"/>
  <c r="BB13" i="10"/>
  <c r="AY13" i="10"/>
  <c r="AJ73" i="10"/>
  <c r="BH73" i="10"/>
  <c r="AY73" i="10"/>
  <c r="BE73" i="10"/>
  <c r="BB73" i="10"/>
  <c r="AJ138" i="10"/>
  <c r="BH138" i="10"/>
  <c r="BB138" i="10"/>
  <c r="AY138" i="10"/>
  <c r="BE138" i="10"/>
  <c r="T213" i="10"/>
  <c r="BH213" i="10"/>
  <c r="BB213" i="10"/>
  <c r="AY213" i="10"/>
  <c r="BE213" i="10"/>
  <c r="AU183" i="10"/>
  <c r="AG16" i="10"/>
  <c r="BH16" i="10"/>
  <c r="AY16" i="10"/>
  <c r="BE16" i="10"/>
  <c r="BB16" i="10"/>
  <c r="AG31" i="10"/>
  <c r="BH31" i="10"/>
  <c r="AY31" i="10"/>
  <c r="BE31" i="10"/>
  <c r="BB31" i="10"/>
  <c r="T46" i="10"/>
  <c r="BH46" i="10"/>
  <c r="AY46" i="10"/>
  <c r="BE46" i="10"/>
  <c r="BB46" i="10"/>
  <c r="AG61" i="10"/>
  <c r="BH61" i="10"/>
  <c r="AY61" i="10"/>
  <c r="BE61" i="10"/>
  <c r="BB61" i="10"/>
  <c r="AG76" i="10"/>
  <c r="BH76" i="10"/>
  <c r="AY76" i="10"/>
  <c r="BE76" i="10"/>
  <c r="BB76" i="10"/>
  <c r="AG92" i="10"/>
  <c r="BH92" i="10"/>
  <c r="AY92" i="10"/>
  <c r="BE92" i="10"/>
  <c r="BB92" i="10"/>
  <c r="K109" i="10"/>
  <c r="BH109" i="10"/>
  <c r="BB109" i="10"/>
  <c r="AY109" i="10"/>
  <c r="BE109" i="10"/>
  <c r="N125" i="10"/>
  <c r="BH125" i="10"/>
  <c r="BB125" i="10"/>
  <c r="AY125" i="10"/>
  <c r="BE125" i="10"/>
  <c r="AG141" i="10"/>
  <c r="BH141" i="10"/>
  <c r="BB141" i="10"/>
  <c r="AY141" i="10"/>
  <c r="BE141" i="10"/>
  <c r="AG156" i="10"/>
  <c r="BH156" i="10"/>
  <c r="BB156" i="10"/>
  <c r="AY156" i="10"/>
  <c r="BE156" i="10"/>
  <c r="T171" i="10"/>
  <c r="BH171" i="10"/>
  <c r="BB171" i="10"/>
  <c r="AY171" i="10"/>
  <c r="BE171" i="10"/>
  <c r="AG186" i="10"/>
  <c r="BH186" i="10"/>
  <c r="BB186" i="10"/>
  <c r="AY186" i="10"/>
  <c r="BE186" i="10"/>
  <c r="AG201" i="10"/>
  <c r="BH201" i="10"/>
  <c r="BB201" i="10"/>
  <c r="AY201" i="10"/>
  <c r="BE201" i="10"/>
  <c r="AG216" i="10"/>
  <c r="BH216" i="10"/>
  <c r="BB216" i="10"/>
  <c r="AY216" i="10"/>
  <c r="BE216" i="10"/>
  <c r="AD231" i="10"/>
  <c r="BH231" i="10"/>
  <c r="BE231" i="10"/>
  <c r="BB231" i="10"/>
  <c r="AY231" i="10"/>
  <c r="AG246" i="10"/>
  <c r="BH246" i="10"/>
  <c r="BE246" i="10"/>
  <c r="BB246" i="10"/>
  <c r="AY246" i="10"/>
  <c r="AG261" i="10"/>
  <c r="BH261" i="10"/>
  <c r="BE261" i="10"/>
  <c r="BB261" i="10"/>
  <c r="AY261" i="10"/>
  <c r="AS46" i="10"/>
  <c r="AU46" i="10"/>
  <c r="AQ76" i="10"/>
  <c r="AQ92" i="10"/>
  <c r="AS92" i="10"/>
  <c r="AO125" i="10"/>
  <c r="AO141" i="10"/>
  <c r="AS171" i="10"/>
  <c r="AU171" i="10"/>
  <c r="AQ201" i="10"/>
  <c r="AQ216" i="10"/>
  <c r="AS216" i="10"/>
  <c r="AO246" i="10"/>
  <c r="AO261" i="10"/>
  <c r="AG57" i="10"/>
  <c r="AA105" i="10"/>
  <c r="AG182" i="10"/>
  <c r="AA227" i="10"/>
  <c r="AG62" i="10"/>
  <c r="BE62" i="10"/>
  <c r="AY62" i="10"/>
  <c r="BH62" i="10"/>
  <c r="BB62" i="10"/>
  <c r="AG187" i="10"/>
  <c r="BH187" i="10"/>
  <c r="BE187" i="10"/>
  <c r="BB187" i="10"/>
  <c r="AY187" i="10"/>
  <c r="AG33" i="10"/>
  <c r="BB33" i="10"/>
  <c r="BE33" i="10"/>
  <c r="BH33" i="10"/>
  <c r="AY33" i="10"/>
  <c r="AG94" i="10"/>
  <c r="BB94" i="10"/>
  <c r="BE94" i="10"/>
  <c r="BH94" i="10"/>
  <c r="AY94" i="10"/>
  <c r="N188" i="10"/>
  <c r="BB188" i="10"/>
  <c r="BH188" i="10"/>
  <c r="BE188" i="10"/>
  <c r="AY188" i="10"/>
  <c r="AG263" i="10"/>
  <c r="BB263" i="10"/>
  <c r="AY263" i="10"/>
  <c r="BH263" i="10"/>
  <c r="BE263" i="10"/>
  <c r="AO48" i="10"/>
  <c r="AS127" i="10"/>
  <c r="AJ95" i="10"/>
  <c r="BH95" i="10"/>
  <c r="AY95" i="10"/>
  <c r="BE95" i="10"/>
  <c r="BB95" i="10"/>
  <c r="AJ144" i="10"/>
  <c r="BH144" i="10"/>
  <c r="BB144" i="10"/>
  <c r="AY144" i="10"/>
  <c r="BE144" i="10"/>
  <c r="AJ189" i="10"/>
  <c r="BH189" i="10"/>
  <c r="BB189" i="10"/>
  <c r="AY189" i="10"/>
  <c r="BE189" i="10"/>
  <c r="AJ204" i="10"/>
  <c r="BH204" i="10"/>
  <c r="BB204" i="10"/>
  <c r="AY204" i="10"/>
  <c r="BE204" i="10"/>
  <c r="AJ219" i="10"/>
  <c r="BH219" i="10"/>
  <c r="BB219" i="10"/>
  <c r="AY219" i="10"/>
  <c r="BE219" i="10"/>
  <c r="AJ234" i="10"/>
  <c r="BH234" i="10"/>
  <c r="BE234" i="10"/>
  <c r="BB234" i="10"/>
  <c r="AY234" i="10"/>
  <c r="AJ249" i="10"/>
  <c r="BH249" i="10"/>
  <c r="BE249" i="10"/>
  <c r="BB249" i="10"/>
  <c r="AY249" i="10"/>
  <c r="AJ264" i="10"/>
  <c r="BH264" i="10"/>
  <c r="BE264" i="10"/>
  <c r="BB264" i="10"/>
  <c r="AY264" i="10"/>
  <c r="AO15" i="10"/>
  <c r="AU19" i="10"/>
  <c r="AO34" i="10"/>
  <c r="AU34" i="10"/>
  <c r="AO49" i="10"/>
  <c r="AU64" i="10"/>
  <c r="AQ112" i="10"/>
  <c r="AQ128" i="10"/>
  <c r="AU144" i="10"/>
  <c r="AO159" i="10"/>
  <c r="AU159" i="10"/>
  <c r="AO174" i="10"/>
  <c r="AU189" i="10"/>
  <c r="AQ234" i="10"/>
  <c r="AQ249" i="10"/>
  <c r="AU264" i="10"/>
  <c r="AD61" i="10"/>
  <c r="AJ92" i="10"/>
  <c r="AD186" i="10"/>
  <c r="AJ216" i="10"/>
  <c r="AG126" i="10"/>
  <c r="BH126" i="10"/>
  <c r="BE126" i="10"/>
  <c r="BB126" i="10"/>
  <c r="AY126" i="10"/>
  <c r="AG63" i="10"/>
  <c r="BB63" i="10"/>
  <c r="BE63" i="10"/>
  <c r="BH63" i="10"/>
  <c r="AY63" i="10"/>
  <c r="AG143" i="10"/>
  <c r="BB143" i="10"/>
  <c r="BH143" i="10"/>
  <c r="BE143" i="10"/>
  <c r="AY143" i="10"/>
  <c r="AG218" i="10"/>
  <c r="BB218" i="10"/>
  <c r="BH218" i="10"/>
  <c r="BE218" i="10"/>
  <c r="AY218" i="10"/>
  <c r="AO16" i="10"/>
  <c r="AS248" i="10"/>
  <c r="AG227" i="10"/>
  <c r="K34" i="10"/>
  <c r="BH34" i="10"/>
  <c r="AY34" i="10"/>
  <c r="BE34" i="10"/>
  <c r="BB34" i="10"/>
  <c r="AJ64" i="10"/>
  <c r="BH64" i="10"/>
  <c r="AY64" i="10"/>
  <c r="BE64" i="10"/>
  <c r="BB64" i="10"/>
  <c r="AJ112" i="10"/>
  <c r="BH112" i="10"/>
  <c r="BB112" i="10"/>
  <c r="AY112" i="10"/>
  <c r="BE112" i="10"/>
  <c r="AJ159" i="10"/>
  <c r="BH159" i="10"/>
  <c r="BB159" i="10"/>
  <c r="AY159" i="10"/>
  <c r="BE159" i="10"/>
  <c r="AA20" i="10"/>
  <c r="BE20" i="10"/>
  <c r="BB20" i="10"/>
  <c r="AY20" i="10"/>
  <c r="BH20" i="10"/>
  <c r="AJ35" i="10"/>
  <c r="BE35" i="10"/>
  <c r="AY35" i="10"/>
  <c r="BH35" i="10"/>
  <c r="BB35" i="10"/>
  <c r="AJ50" i="10"/>
  <c r="BE50" i="10"/>
  <c r="AY50" i="10"/>
  <c r="BH50" i="10"/>
  <c r="BB50" i="10"/>
  <c r="T65" i="10"/>
  <c r="BE65" i="10"/>
  <c r="AY65" i="10"/>
  <c r="BH65" i="10"/>
  <c r="BB65" i="10"/>
  <c r="AJ80" i="10"/>
  <c r="BE80" i="10"/>
  <c r="AY80" i="10"/>
  <c r="BH80" i="10"/>
  <c r="BB80" i="10"/>
  <c r="AJ96" i="10"/>
  <c r="BE96" i="10"/>
  <c r="AY96" i="10"/>
  <c r="BH96" i="10"/>
  <c r="BB96" i="10"/>
  <c r="AJ113" i="10"/>
  <c r="BH113" i="10"/>
  <c r="BE113" i="10"/>
  <c r="AY113" i="10"/>
  <c r="BB113" i="10"/>
  <c r="N129" i="10"/>
  <c r="BH129" i="10"/>
  <c r="BE129" i="10"/>
  <c r="BB129" i="10"/>
  <c r="AY129" i="10"/>
  <c r="AJ145" i="10"/>
  <c r="BH145" i="10"/>
  <c r="BE145" i="10"/>
  <c r="BB145" i="10"/>
  <c r="AY145" i="10"/>
  <c r="AJ160" i="10"/>
  <c r="BH160" i="10"/>
  <c r="BE160" i="10"/>
  <c r="BB160" i="10"/>
  <c r="AY160" i="10"/>
  <c r="T175" i="10"/>
  <c r="BH175" i="10"/>
  <c r="BE175" i="10"/>
  <c r="BB175" i="10"/>
  <c r="AY175" i="10"/>
  <c r="AJ190" i="10"/>
  <c r="BH190" i="10"/>
  <c r="BE190" i="10"/>
  <c r="BB190" i="10"/>
  <c r="AY190" i="10"/>
  <c r="AJ205" i="10"/>
  <c r="BH205" i="10"/>
  <c r="BE205" i="10"/>
  <c r="BB205" i="10"/>
  <c r="AY205" i="10"/>
  <c r="AJ220" i="10"/>
  <c r="BH220" i="10"/>
  <c r="BE220" i="10"/>
  <c r="BB220" i="10"/>
  <c r="AY220" i="10"/>
  <c r="AJ235" i="10"/>
  <c r="BH235" i="10"/>
  <c r="BE235" i="10"/>
  <c r="BB235" i="10"/>
  <c r="AY235" i="10"/>
  <c r="AJ250" i="10"/>
  <c r="BH250" i="10"/>
  <c r="BE250" i="10"/>
  <c r="BB250" i="10"/>
  <c r="AY250" i="10"/>
  <c r="AJ265" i="10"/>
  <c r="BH265" i="10"/>
  <c r="BE265" i="10"/>
  <c r="BB265" i="10"/>
  <c r="AY265" i="10"/>
  <c r="AS20" i="10"/>
  <c r="AS35" i="10"/>
  <c r="AU35" i="10"/>
  <c r="AS65" i="10"/>
  <c r="AQ80" i="10"/>
  <c r="AO129" i="10"/>
  <c r="AQ129" i="10"/>
  <c r="AS145" i="10"/>
  <c r="AS160" i="10"/>
  <c r="AU160" i="10"/>
  <c r="AS190" i="10"/>
  <c r="AQ205" i="10"/>
  <c r="AO250" i="10"/>
  <c r="AQ250" i="10"/>
  <c r="AS265" i="10"/>
  <c r="AA96" i="10"/>
  <c r="AA121" i="10"/>
  <c r="AA220" i="10"/>
  <c r="AA242" i="10"/>
  <c r="T77" i="10"/>
  <c r="BE77" i="10"/>
  <c r="AY77" i="10"/>
  <c r="BH77" i="10"/>
  <c r="BB77" i="10"/>
  <c r="AG232" i="10"/>
  <c r="BH232" i="10"/>
  <c r="BE232" i="10"/>
  <c r="BB232" i="10"/>
  <c r="AY232" i="10"/>
  <c r="AG48" i="10"/>
  <c r="BB48" i="10"/>
  <c r="BE48" i="10"/>
  <c r="BH48" i="10"/>
  <c r="AY48" i="10"/>
  <c r="AG111" i="10"/>
  <c r="BB111" i="10"/>
  <c r="BE111" i="10"/>
  <c r="AY111" i="10"/>
  <c r="BH111" i="10"/>
  <c r="T173" i="10"/>
  <c r="BB173" i="10"/>
  <c r="BH173" i="10"/>
  <c r="BE173" i="10"/>
  <c r="AY173" i="10"/>
  <c r="AG248" i="10"/>
  <c r="BB248" i="10"/>
  <c r="AY248" i="10"/>
  <c r="BH248" i="10"/>
  <c r="BE248" i="10"/>
  <c r="AO173" i="10"/>
  <c r="AG105" i="10"/>
  <c r="AA197" i="10"/>
  <c r="AJ19" i="10"/>
  <c r="BE19" i="10"/>
  <c r="BB19" i="10"/>
  <c r="AY19" i="10"/>
  <c r="BH19" i="10"/>
  <c r="AJ49" i="10"/>
  <c r="BH49" i="10"/>
  <c r="AY49" i="10"/>
  <c r="BE49" i="10"/>
  <c r="BB49" i="10"/>
  <c r="AJ79" i="10"/>
  <c r="BH79" i="10"/>
  <c r="AY79" i="10"/>
  <c r="BE79" i="10"/>
  <c r="BB79" i="10"/>
  <c r="AJ128" i="10"/>
  <c r="BH128" i="10"/>
  <c r="BB128" i="10"/>
  <c r="AY128" i="10"/>
  <c r="BE128" i="10"/>
  <c r="AJ174" i="10"/>
  <c r="BH174" i="10"/>
  <c r="BB174" i="10"/>
  <c r="AY174" i="10"/>
  <c r="BE174" i="10"/>
  <c r="AA21" i="10"/>
  <c r="BB21" i="10"/>
  <c r="BE21" i="10"/>
  <c r="BH21" i="10"/>
  <c r="AY21" i="10"/>
  <c r="AJ36" i="10"/>
  <c r="BB36" i="10"/>
  <c r="BE36" i="10"/>
  <c r="BH36" i="10"/>
  <c r="AY36" i="10"/>
  <c r="AJ51" i="10"/>
  <c r="BB51" i="10"/>
  <c r="BE51" i="10"/>
  <c r="BH51" i="10"/>
  <c r="AY51" i="10"/>
  <c r="AJ66" i="10"/>
  <c r="BB66" i="10"/>
  <c r="BE66" i="10"/>
  <c r="BH66" i="10"/>
  <c r="AY66" i="10"/>
  <c r="T81" i="10"/>
  <c r="AT81" i="10" s="1"/>
  <c r="BB81" i="10"/>
  <c r="BE81" i="10"/>
  <c r="BH81" i="10"/>
  <c r="AY81" i="10"/>
  <c r="AJ97" i="10"/>
  <c r="BB97" i="10"/>
  <c r="BE97" i="10"/>
  <c r="BH97" i="10"/>
  <c r="AY97" i="10"/>
  <c r="N114" i="10"/>
  <c r="BB114" i="10"/>
  <c r="BE114" i="10"/>
  <c r="BH114" i="10"/>
  <c r="AY114" i="10"/>
  <c r="AJ130" i="10"/>
  <c r="BB130" i="10"/>
  <c r="BH130" i="10"/>
  <c r="BE130" i="10"/>
  <c r="AY130" i="10"/>
  <c r="AJ146" i="10"/>
  <c r="BB146" i="10"/>
  <c r="BH146" i="10"/>
  <c r="BE146" i="10"/>
  <c r="AY146" i="10"/>
  <c r="AJ161" i="10"/>
  <c r="BB161" i="10"/>
  <c r="BH161" i="10"/>
  <c r="BE161" i="10"/>
  <c r="AY161" i="10"/>
  <c r="AJ176" i="10"/>
  <c r="BB176" i="10"/>
  <c r="BH176" i="10"/>
  <c r="BE176" i="10"/>
  <c r="AY176" i="10"/>
  <c r="AJ191" i="10"/>
  <c r="BB191" i="10"/>
  <c r="BH191" i="10"/>
  <c r="BE191" i="10"/>
  <c r="AY191" i="10"/>
  <c r="AJ206" i="10"/>
  <c r="BB206" i="10"/>
  <c r="BH206" i="10"/>
  <c r="BE206" i="10"/>
  <c r="AY206" i="10"/>
  <c r="T221" i="10"/>
  <c r="BB221" i="10"/>
  <c r="BH221" i="10"/>
  <c r="BE221" i="10"/>
  <c r="AY221" i="10"/>
  <c r="AJ236" i="10"/>
  <c r="BB236" i="10"/>
  <c r="AY236" i="10"/>
  <c r="BH236" i="10"/>
  <c r="BE236" i="10"/>
  <c r="AJ251" i="10"/>
  <c r="BB251" i="10"/>
  <c r="AY251" i="10"/>
  <c r="BH251" i="10"/>
  <c r="BE251" i="10"/>
  <c r="AJ266" i="10"/>
  <c r="BB266" i="10"/>
  <c r="AY266" i="10"/>
  <c r="BH266" i="10"/>
  <c r="BE266" i="10"/>
  <c r="AQ36" i="10"/>
  <c r="AS36" i="10"/>
  <c r="AQ66" i="10"/>
  <c r="AO81" i="10"/>
  <c r="AQ81" i="10"/>
  <c r="AU97" i="10"/>
  <c r="AS114" i="10"/>
  <c r="AU114" i="10"/>
  <c r="AQ161" i="10"/>
  <c r="AS161" i="10"/>
  <c r="AQ191" i="10"/>
  <c r="AO206" i="10"/>
  <c r="AQ206" i="10"/>
  <c r="AU221" i="10"/>
  <c r="AS236" i="10"/>
  <c r="AU236" i="10"/>
  <c r="AJ16" i="10"/>
  <c r="AG50" i="10"/>
  <c r="AJ61" i="10"/>
  <c r="AG72" i="10"/>
  <c r="AA145" i="10"/>
  <c r="AJ141" i="10"/>
  <c r="AG175" i="10"/>
  <c r="AJ186" i="10"/>
  <c r="AG197" i="10"/>
  <c r="AA265" i="10"/>
  <c r="AJ261" i="10"/>
  <c r="AG47" i="10"/>
  <c r="BE47" i="10"/>
  <c r="AY47" i="10"/>
  <c r="BH47" i="10"/>
  <c r="BB47" i="10"/>
  <c r="T217" i="10"/>
  <c r="BH217" i="10"/>
  <c r="BE217" i="10"/>
  <c r="BB217" i="10"/>
  <c r="AY217" i="10"/>
  <c r="T78" i="10"/>
  <c r="BB78" i="10"/>
  <c r="BE78" i="10"/>
  <c r="BH78" i="10"/>
  <c r="AY78" i="10"/>
  <c r="AG158" i="10"/>
  <c r="BB158" i="10"/>
  <c r="BH158" i="10"/>
  <c r="BE158" i="10"/>
  <c r="AY158" i="10"/>
  <c r="AG233" i="10"/>
  <c r="BB233" i="10"/>
  <c r="AY233" i="10"/>
  <c r="BH233" i="10"/>
  <c r="BE233" i="10"/>
  <c r="AA72" i="10"/>
  <c r="N22" i="10"/>
  <c r="BH22" i="10"/>
  <c r="AY22" i="10"/>
  <c r="BE22" i="10"/>
  <c r="BB22" i="10"/>
  <c r="AJ82" i="10"/>
  <c r="BH82" i="10"/>
  <c r="AY82" i="10"/>
  <c r="BE82" i="10"/>
  <c r="BB82" i="10"/>
  <c r="AJ131" i="10"/>
  <c r="BH131" i="10"/>
  <c r="BB131" i="10"/>
  <c r="AY131" i="10"/>
  <c r="BE131" i="10"/>
  <c r="AJ162" i="10"/>
  <c r="BH162" i="10"/>
  <c r="BB162" i="10"/>
  <c r="AY162" i="10"/>
  <c r="BE162" i="10"/>
  <c r="AJ192" i="10"/>
  <c r="BH192" i="10"/>
  <c r="BB192" i="10"/>
  <c r="AY192" i="10"/>
  <c r="BE192" i="10"/>
  <c r="AJ222" i="10"/>
  <c r="BH222" i="10"/>
  <c r="BB222" i="10"/>
  <c r="AY222" i="10"/>
  <c r="BE222" i="10"/>
  <c r="AJ237" i="10"/>
  <c r="BH237" i="10"/>
  <c r="BE237" i="10"/>
  <c r="BB237" i="10"/>
  <c r="AY237" i="10"/>
  <c r="AJ252" i="10"/>
  <c r="BH252" i="10"/>
  <c r="BE252" i="10"/>
  <c r="BB252" i="10"/>
  <c r="AY252" i="10"/>
  <c r="AJ267" i="10"/>
  <c r="BH267" i="10"/>
  <c r="BE267" i="10"/>
  <c r="BB267" i="10"/>
  <c r="AY267" i="10"/>
  <c r="AO37" i="10"/>
  <c r="AO67" i="10"/>
  <c r="AO82" i="10"/>
  <c r="AS98" i="10"/>
  <c r="AS115" i="10"/>
  <c r="AU115" i="10"/>
  <c r="AQ147" i="10"/>
  <c r="AO162" i="10"/>
  <c r="AQ162" i="10"/>
  <c r="AO192" i="10"/>
  <c r="AO207" i="10"/>
  <c r="AS222" i="10"/>
  <c r="AS237" i="10"/>
  <c r="AU237" i="10"/>
  <c r="AQ267" i="10"/>
  <c r="AA42" i="10"/>
  <c r="AG96" i="10"/>
  <c r="AG121" i="10"/>
  <c r="AA167" i="10"/>
  <c r="AG220" i="10"/>
  <c r="AG242" i="10"/>
  <c r="AG110" i="10"/>
  <c r="BH110" i="10"/>
  <c r="BE110" i="10"/>
  <c r="AY110" i="10"/>
  <c r="BB110" i="10"/>
  <c r="AG247" i="10"/>
  <c r="BH247" i="10"/>
  <c r="BE247" i="10"/>
  <c r="BB247" i="10"/>
  <c r="AY247" i="10"/>
  <c r="AG18" i="10"/>
  <c r="BH18" i="10"/>
  <c r="BE18" i="10"/>
  <c r="BB18" i="10"/>
  <c r="AY18" i="10"/>
  <c r="AG127" i="10"/>
  <c r="BB127" i="10"/>
  <c r="BH127" i="10"/>
  <c r="BE127" i="10"/>
  <c r="AY127" i="10"/>
  <c r="AG203" i="10"/>
  <c r="BB203" i="10"/>
  <c r="BH203" i="10"/>
  <c r="BE203" i="10"/>
  <c r="AY203" i="10"/>
  <c r="T37" i="10"/>
  <c r="BH37" i="10"/>
  <c r="AY37" i="10"/>
  <c r="BE37" i="10"/>
  <c r="BB37" i="10"/>
  <c r="AJ52" i="10"/>
  <c r="BH52" i="10"/>
  <c r="AY52" i="10"/>
  <c r="BE52" i="10"/>
  <c r="BB52" i="10"/>
  <c r="AJ67" i="10"/>
  <c r="BH67" i="10"/>
  <c r="AY67" i="10"/>
  <c r="BE67" i="10"/>
  <c r="BB67" i="10"/>
  <c r="AJ98" i="10"/>
  <c r="BH98" i="10"/>
  <c r="AY98" i="10"/>
  <c r="BE98" i="10"/>
  <c r="BB98" i="10"/>
  <c r="AJ115" i="10"/>
  <c r="BH115" i="10"/>
  <c r="BB115" i="10"/>
  <c r="AY115" i="10"/>
  <c r="BE115" i="10"/>
  <c r="AJ147" i="10"/>
  <c r="BH147" i="10"/>
  <c r="BB147" i="10"/>
  <c r="AY147" i="10"/>
  <c r="BE147" i="10"/>
  <c r="AJ177" i="10"/>
  <c r="BH177" i="10"/>
  <c r="BB177" i="10"/>
  <c r="AY177" i="10"/>
  <c r="BE177" i="10"/>
  <c r="AJ207" i="10"/>
  <c r="BH207" i="10"/>
  <c r="BB207" i="10"/>
  <c r="AY207" i="10"/>
  <c r="BE207" i="10"/>
  <c r="Q11" i="10"/>
  <c r="BB11" i="10"/>
  <c r="AY11" i="10"/>
  <c r="BH11" i="10"/>
  <c r="BE11" i="10"/>
  <c r="AJ26" i="10"/>
  <c r="BE26" i="10"/>
  <c r="BH26" i="10"/>
  <c r="BB26" i="10"/>
  <c r="AY26" i="10"/>
  <c r="AJ41" i="10"/>
  <c r="BE41" i="10"/>
  <c r="AY41" i="10"/>
  <c r="BH41" i="10"/>
  <c r="BB41" i="10"/>
  <c r="AJ56" i="10"/>
  <c r="BE56" i="10"/>
  <c r="AY56" i="10"/>
  <c r="BH56" i="10"/>
  <c r="BB56" i="10"/>
  <c r="AJ71" i="10"/>
  <c r="BE71" i="10"/>
  <c r="AY71" i="10"/>
  <c r="BH71" i="10"/>
  <c r="BB71" i="10"/>
  <c r="T87" i="10"/>
  <c r="BE87" i="10"/>
  <c r="AY87" i="10"/>
  <c r="BH87" i="10"/>
  <c r="BB87" i="10"/>
  <c r="AJ104" i="10"/>
  <c r="BH104" i="10"/>
  <c r="BE104" i="10"/>
  <c r="AY104" i="10"/>
  <c r="BB104" i="10"/>
  <c r="AJ120" i="10"/>
  <c r="BH120" i="10"/>
  <c r="BE120" i="10"/>
  <c r="AY120" i="10"/>
  <c r="BB120" i="10"/>
  <c r="AJ136" i="10"/>
  <c r="BH136" i="10"/>
  <c r="BE136" i="10"/>
  <c r="BB136" i="10"/>
  <c r="AY136" i="10"/>
  <c r="AJ151" i="10"/>
  <c r="BH151" i="10"/>
  <c r="BE151" i="10"/>
  <c r="BB151" i="10"/>
  <c r="AY151" i="10"/>
  <c r="AJ166" i="10"/>
  <c r="BH166" i="10"/>
  <c r="BE166" i="10"/>
  <c r="BB166" i="10"/>
  <c r="AY166" i="10"/>
  <c r="AJ181" i="10"/>
  <c r="BH181" i="10"/>
  <c r="BE181" i="10"/>
  <c r="BB181" i="10"/>
  <c r="AY181" i="10"/>
  <c r="AJ196" i="10"/>
  <c r="BH196" i="10"/>
  <c r="BE196" i="10"/>
  <c r="BB196" i="10"/>
  <c r="AY196" i="10"/>
  <c r="T211" i="10"/>
  <c r="BH211" i="10"/>
  <c r="BE211" i="10"/>
  <c r="BB211" i="10"/>
  <c r="AY211" i="10"/>
  <c r="AJ226" i="10"/>
  <c r="BH226" i="10"/>
  <c r="BE226" i="10"/>
  <c r="BB226" i="10"/>
  <c r="AY226" i="10"/>
  <c r="K241" i="10"/>
  <c r="AN241" i="10" s="1"/>
  <c r="BH241" i="10"/>
  <c r="BE241" i="10"/>
  <c r="BB241" i="10"/>
  <c r="AY241" i="10"/>
  <c r="AJ256" i="10"/>
  <c r="BH256" i="10"/>
  <c r="BE256" i="10"/>
  <c r="BB256" i="10"/>
  <c r="AY256" i="10"/>
  <c r="AO26" i="10"/>
  <c r="AQ26" i="10"/>
  <c r="AU41" i="10"/>
  <c r="AO56" i="10"/>
  <c r="AO71" i="10"/>
  <c r="AQ104" i="10"/>
  <c r="AQ136" i="10"/>
  <c r="AO151" i="10"/>
  <c r="AQ151" i="10"/>
  <c r="AU166" i="10"/>
  <c r="AO181" i="10"/>
  <c r="AO196" i="10"/>
  <c r="AQ226" i="10"/>
  <c r="AQ256" i="10"/>
  <c r="AA18" i="10"/>
  <c r="AS19" i="10"/>
  <c r="AD31" i="10"/>
  <c r="AD156" i="10"/>
  <c r="AU137" i="10"/>
  <c r="AO152" i="10"/>
  <c r="AS167" i="10"/>
  <c r="AS182" i="10"/>
  <c r="AU182" i="10"/>
  <c r="AQ212" i="10"/>
  <c r="AO227" i="10"/>
  <c r="AQ227" i="10"/>
  <c r="AO257" i="10"/>
  <c r="AU257" i="10"/>
  <c r="AA17" i="10"/>
  <c r="AG20" i="10"/>
  <c r="AG42" i="10"/>
  <c r="AD76" i="10"/>
  <c r="AA137" i="10"/>
  <c r="AG145" i="10"/>
  <c r="AG167" i="10"/>
  <c r="AD201" i="10"/>
  <c r="AA257" i="10"/>
  <c r="AG265" i="10"/>
  <c r="AD109" i="10"/>
  <c r="AQ60" i="10"/>
  <c r="AS64" i="10"/>
  <c r="AQ75" i="10"/>
  <c r="AS79" i="10"/>
  <c r="AQ91" i="10"/>
  <c r="AS95" i="10"/>
  <c r="AQ108" i="10"/>
  <c r="AS112" i="10"/>
  <c r="AQ124" i="10"/>
  <c r="AS128" i="10"/>
  <c r="AQ140" i="10"/>
  <c r="AS144" i="10"/>
  <c r="AQ155" i="10"/>
  <c r="AS159" i="10"/>
  <c r="AQ170" i="10"/>
  <c r="AS174" i="10"/>
  <c r="AQ185" i="10"/>
  <c r="AS189" i="10"/>
  <c r="AQ200" i="10"/>
  <c r="AS204" i="10"/>
  <c r="AQ215" i="10"/>
  <c r="AS219" i="10"/>
  <c r="AQ230" i="10"/>
  <c r="AS234" i="10"/>
  <c r="AQ245" i="10"/>
  <c r="AS249" i="10"/>
  <c r="AQ260" i="10"/>
  <c r="AS264" i="10"/>
  <c r="AA19" i="10"/>
  <c r="AD15" i="10"/>
  <c r="AG11" i="10"/>
  <c r="AG19" i="10"/>
  <c r="AJ15" i="10"/>
  <c r="AT15" i="10" s="1"/>
  <c r="AA26" i="10"/>
  <c r="AA34" i="10"/>
  <c r="AN34" i="10" s="1"/>
  <c r="AD30" i="10"/>
  <c r="AG26" i="10"/>
  <c r="AG34" i="10"/>
  <c r="AJ30" i="10"/>
  <c r="AA41" i="10"/>
  <c r="AA49" i="10"/>
  <c r="AD45" i="10"/>
  <c r="AG41" i="10"/>
  <c r="AG49" i="10"/>
  <c r="AJ45" i="10"/>
  <c r="AA56" i="10"/>
  <c r="AA64" i="10"/>
  <c r="AD60" i="10"/>
  <c r="AG56" i="10"/>
  <c r="AG64" i="10"/>
  <c r="AJ60" i="10"/>
  <c r="AA71" i="10"/>
  <c r="AA79" i="10"/>
  <c r="AD75" i="10"/>
  <c r="AG71" i="10"/>
  <c r="AG79" i="10"/>
  <c r="AJ75" i="10"/>
  <c r="AA87" i="10"/>
  <c r="AA95" i="10"/>
  <c r="AD91" i="10"/>
  <c r="AG87" i="10"/>
  <c r="AG95" i="10"/>
  <c r="AJ91" i="10"/>
  <c r="AA104" i="10"/>
  <c r="AA112" i="10"/>
  <c r="AD108" i="10"/>
  <c r="AG104" i="10"/>
  <c r="AG112" i="10"/>
  <c r="AJ108" i="10"/>
  <c r="AA120" i="10"/>
  <c r="AA128" i="10"/>
  <c r="AD124" i="10"/>
  <c r="AP124" i="10" s="1"/>
  <c r="AG120" i="10"/>
  <c r="AG128" i="10"/>
  <c r="AJ124" i="10"/>
  <c r="AA136" i="10"/>
  <c r="AA144" i="10"/>
  <c r="AD140" i="10"/>
  <c r="AG136" i="10"/>
  <c r="AG144" i="10"/>
  <c r="AJ140" i="10"/>
  <c r="AA151" i="10"/>
  <c r="AA159" i="10"/>
  <c r="AD155" i="10"/>
  <c r="AG151" i="10"/>
  <c r="AG159" i="10"/>
  <c r="AJ155" i="10"/>
  <c r="AA166" i="10"/>
  <c r="AA174" i="10"/>
  <c r="AD170" i="10"/>
  <c r="AG166" i="10"/>
  <c r="AG174" i="10"/>
  <c r="AJ170" i="10"/>
  <c r="AA181" i="10"/>
  <c r="AA189" i="10"/>
  <c r="AD185" i="10"/>
  <c r="AG181" i="10"/>
  <c r="AG189" i="10"/>
  <c r="AJ185" i="10"/>
  <c r="AA196" i="10"/>
  <c r="AA204" i="10"/>
  <c r="AD200" i="10"/>
  <c r="AP200" i="10" s="1"/>
  <c r="AG196" i="10"/>
  <c r="AG204" i="10"/>
  <c r="AJ200" i="10"/>
  <c r="AA211" i="10"/>
  <c r="AA219" i="10"/>
  <c r="AD215" i="10"/>
  <c r="AG211" i="10"/>
  <c r="AG219" i="10"/>
  <c r="AJ215" i="10"/>
  <c r="AA226" i="10"/>
  <c r="AA234" i="10"/>
  <c r="AD230" i="10"/>
  <c r="AG226" i="10"/>
  <c r="AG234" i="10"/>
  <c r="AJ230" i="10"/>
  <c r="AA241" i="10"/>
  <c r="AA249" i="10"/>
  <c r="AD245" i="10"/>
  <c r="AG241" i="10"/>
  <c r="AG249" i="10"/>
  <c r="AJ245" i="10"/>
  <c r="AA256" i="10"/>
  <c r="AA264" i="10"/>
  <c r="AD260" i="10"/>
  <c r="AG256" i="10"/>
  <c r="AG264" i="10"/>
  <c r="AJ260" i="10"/>
  <c r="AA16" i="10"/>
  <c r="AN16" i="10" s="1"/>
  <c r="AG250" i="10"/>
  <c r="AA15" i="10"/>
  <c r="AD17" i="10"/>
  <c r="AG13" i="10"/>
  <c r="AG21" i="10"/>
  <c r="AJ17" i="10"/>
  <c r="AA28" i="10"/>
  <c r="AA36" i="10"/>
  <c r="AD32" i="10"/>
  <c r="AG28" i="10"/>
  <c r="AG36" i="10"/>
  <c r="AJ32" i="10"/>
  <c r="AA43" i="10"/>
  <c r="AA51" i="10"/>
  <c r="AD47" i="10"/>
  <c r="AG43" i="10"/>
  <c r="AG51" i="10"/>
  <c r="AJ47" i="10"/>
  <c r="AA58" i="10"/>
  <c r="AN58" i="10" s="1"/>
  <c r="AA66" i="10"/>
  <c r="AD62" i="10"/>
  <c r="AG58" i="10"/>
  <c r="AG66" i="10"/>
  <c r="AJ62" i="10"/>
  <c r="AA73" i="10"/>
  <c r="AA81" i="10"/>
  <c r="AD77" i="10"/>
  <c r="AG73" i="10"/>
  <c r="AG81" i="10"/>
  <c r="AJ77" i="10"/>
  <c r="AT77" i="10" s="1"/>
  <c r="AA89" i="10"/>
  <c r="AA97" i="10"/>
  <c r="AD93" i="10"/>
  <c r="AG89" i="10"/>
  <c r="AG97" i="10"/>
  <c r="AJ93" i="10"/>
  <c r="AA106" i="10"/>
  <c r="AA114" i="10"/>
  <c r="AD110" i="10"/>
  <c r="AG106" i="10"/>
  <c r="AG114" i="10"/>
  <c r="AJ110" i="10"/>
  <c r="AA122" i="10"/>
  <c r="AA130" i="10"/>
  <c r="AD126" i="10"/>
  <c r="AG122" i="10"/>
  <c r="AG130" i="10"/>
  <c r="AJ126" i="10"/>
  <c r="AA138" i="10"/>
  <c r="AA146" i="10"/>
  <c r="AD142" i="10"/>
  <c r="AG138" i="10"/>
  <c r="AG146" i="10"/>
  <c r="AJ142" i="10"/>
  <c r="AA153" i="10"/>
  <c r="AA161" i="10"/>
  <c r="AD157" i="10"/>
  <c r="AG153" i="10"/>
  <c r="AG161" i="10"/>
  <c r="AJ157" i="10"/>
  <c r="AA168" i="10"/>
  <c r="AA176" i="10"/>
  <c r="AD172" i="10"/>
  <c r="AG168" i="10"/>
  <c r="AG176" i="10"/>
  <c r="AJ172" i="10"/>
  <c r="AA183" i="10"/>
  <c r="AA191" i="10"/>
  <c r="AD187" i="10"/>
  <c r="AG183" i="10"/>
  <c r="AG191" i="10"/>
  <c r="AJ187" i="10"/>
  <c r="AA198" i="10"/>
  <c r="AA206" i="10"/>
  <c r="AD202" i="10"/>
  <c r="AG198" i="10"/>
  <c r="AG206" i="10"/>
  <c r="AJ202" i="10"/>
  <c r="AA213" i="10"/>
  <c r="AA221" i="10"/>
  <c r="AD217" i="10"/>
  <c r="AG213" i="10"/>
  <c r="AG221" i="10"/>
  <c r="AJ217" i="10"/>
  <c r="AT217" i="10" s="1"/>
  <c r="AA228" i="10"/>
  <c r="AA236" i="10"/>
  <c r="AD232" i="10"/>
  <c r="AG228" i="10"/>
  <c r="AG236" i="10"/>
  <c r="AJ232" i="10"/>
  <c r="AA243" i="10"/>
  <c r="AA251" i="10"/>
  <c r="AD247" i="10"/>
  <c r="AG243" i="10"/>
  <c r="AG251" i="10"/>
  <c r="AJ247" i="10"/>
  <c r="AA258" i="10"/>
  <c r="AA266" i="10"/>
  <c r="AD262" i="10"/>
  <c r="AG258" i="10"/>
  <c r="AG266" i="10"/>
  <c r="AJ262" i="10"/>
  <c r="AA250" i="10"/>
  <c r="AA13" i="10"/>
  <c r="AJ46" i="10"/>
  <c r="AT46" i="10" s="1"/>
  <c r="AA88" i="10"/>
  <c r="AD171" i="10"/>
  <c r="AA12" i="10"/>
  <c r="AD18" i="10"/>
  <c r="AG14" i="10"/>
  <c r="AG22" i="10"/>
  <c r="AJ18" i="10"/>
  <c r="AA29" i="10"/>
  <c r="AA37" i="10"/>
  <c r="AD33" i="10"/>
  <c r="AG29" i="10"/>
  <c r="AG37" i="10"/>
  <c r="AJ33" i="10"/>
  <c r="AA44" i="10"/>
  <c r="AA52" i="10"/>
  <c r="AD48" i="10"/>
  <c r="AG44" i="10"/>
  <c r="AG52" i="10"/>
  <c r="AJ48" i="10"/>
  <c r="AA59" i="10"/>
  <c r="AA67" i="10"/>
  <c r="AD63" i="10"/>
  <c r="AG59" i="10"/>
  <c r="AG67" i="10"/>
  <c r="AJ63" i="10"/>
  <c r="AA74" i="10"/>
  <c r="AA82" i="10"/>
  <c r="AD78" i="10"/>
  <c r="AG74" i="10"/>
  <c r="AG82" i="10"/>
  <c r="AJ78" i="10"/>
  <c r="AT78" i="10" s="1"/>
  <c r="AA90" i="10"/>
  <c r="AA98" i="10"/>
  <c r="AD94" i="10"/>
  <c r="AG90" i="10"/>
  <c r="AG98" i="10"/>
  <c r="AJ94" i="10"/>
  <c r="AA107" i="10"/>
  <c r="AA115" i="10"/>
  <c r="AD111" i="10"/>
  <c r="AG107" i="10"/>
  <c r="AG115" i="10"/>
  <c r="AJ111" i="10"/>
  <c r="AA123" i="10"/>
  <c r="AA131" i="10"/>
  <c r="AD127" i="10"/>
  <c r="AG123" i="10"/>
  <c r="AG131" i="10"/>
  <c r="AJ127" i="10"/>
  <c r="AA139" i="10"/>
  <c r="AA147" i="10"/>
  <c r="AD143" i="10"/>
  <c r="AG139" i="10"/>
  <c r="AG147" i="10"/>
  <c r="AJ143" i="10"/>
  <c r="AA154" i="10"/>
  <c r="AA162" i="10"/>
  <c r="AD158" i="10"/>
  <c r="AG154" i="10"/>
  <c r="AG162" i="10"/>
  <c r="AJ158" i="10"/>
  <c r="AA169" i="10"/>
  <c r="AA177" i="10"/>
  <c r="AD173" i="10"/>
  <c r="AG169" i="10"/>
  <c r="AG177" i="10"/>
  <c r="AJ173" i="10"/>
  <c r="AT173" i="10" s="1"/>
  <c r="AA184" i="10"/>
  <c r="AA192" i="10"/>
  <c r="AD188" i="10"/>
  <c r="AP188" i="10" s="1"/>
  <c r="AG184" i="10"/>
  <c r="AG192" i="10"/>
  <c r="AJ188" i="10"/>
  <c r="AA199" i="10"/>
  <c r="AA207" i="10"/>
  <c r="AD203" i="10"/>
  <c r="AG199" i="10"/>
  <c r="AG207" i="10"/>
  <c r="AJ203" i="10"/>
  <c r="AA214" i="10"/>
  <c r="AA222" i="10"/>
  <c r="AD218" i="10"/>
  <c r="AG214" i="10"/>
  <c r="AG222" i="10"/>
  <c r="AJ218" i="10"/>
  <c r="AA229" i="10"/>
  <c r="AA237" i="10"/>
  <c r="AD233" i="10"/>
  <c r="AG229" i="10"/>
  <c r="AG237" i="10"/>
  <c r="AJ233" i="10"/>
  <c r="AA244" i="10"/>
  <c r="AA252" i="10"/>
  <c r="AD248" i="10"/>
  <c r="AG244" i="10"/>
  <c r="AG252" i="10"/>
  <c r="AJ248" i="10"/>
  <c r="AA259" i="10"/>
  <c r="AA267" i="10"/>
  <c r="AD263" i="10"/>
  <c r="AG259" i="10"/>
  <c r="AG267" i="10"/>
  <c r="AJ263" i="10"/>
  <c r="AT172" i="10"/>
  <c r="AA129" i="10"/>
  <c r="AA14" i="10"/>
  <c r="AG190" i="10"/>
  <c r="AJ231" i="10"/>
  <c r="AT75" i="10"/>
  <c r="AS56" i="10"/>
  <c r="AU60" i="10"/>
  <c r="AS71" i="10"/>
  <c r="AU75" i="10"/>
  <c r="AS87" i="10"/>
  <c r="AU91" i="10"/>
  <c r="AS104" i="10"/>
  <c r="AU108" i="10"/>
  <c r="AS120" i="10"/>
  <c r="AU124" i="10"/>
  <c r="AS136" i="10"/>
  <c r="AU140" i="10"/>
  <c r="AS151" i="10"/>
  <c r="AU155" i="10"/>
  <c r="AS166" i="10"/>
  <c r="AU170" i="10"/>
  <c r="AS181" i="10"/>
  <c r="AU185" i="10"/>
  <c r="AS196" i="10"/>
  <c r="AU200" i="10"/>
  <c r="AS211" i="10"/>
  <c r="AU215" i="10"/>
  <c r="AS226" i="10"/>
  <c r="AU230" i="10"/>
  <c r="AS241" i="10"/>
  <c r="AU245" i="10"/>
  <c r="AS256" i="10"/>
  <c r="AU260" i="10"/>
  <c r="AD11" i="10"/>
  <c r="AD19" i="10"/>
  <c r="AG15" i="10"/>
  <c r="AJ11" i="10"/>
  <c r="AA30" i="10"/>
  <c r="AD26" i="10"/>
  <c r="AD34" i="10"/>
  <c r="AJ34" i="10"/>
  <c r="AA45" i="10"/>
  <c r="AD41" i="10"/>
  <c r="AD49" i="10"/>
  <c r="AA60" i="10"/>
  <c r="AD56" i="10"/>
  <c r="AD64" i="10"/>
  <c r="AA75" i="10"/>
  <c r="AD71" i="10"/>
  <c r="AD79" i="10"/>
  <c r="AG75" i="10"/>
  <c r="AA91" i="10"/>
  <c r="AD87" i="10"/>
  <c r="AD95" i="10"/>
  <c r="AJ87" i="10"/>
  <c r="AT87" i="10" s="1"/>
  <c r="AA108" i="10"/>
  <c r="AD104" i="10"/>
  <c r="AD112" i="10"/>
  <c r="AA124" i="10"/>
  <c r="AD120" i="10"/>
  <c r="AD128" i="10"/>
  <c r="AG124" i="10"/>
  <c r="AA140" i="10"/>
  <c r="AD136" i="10"/>
  <c r="AD144" i="10"/>
  <c r="AA155" i="10"/>
  <c r="AD151" i="10"/>
  <c r="AD159" i="10"/>
  <c r="AA170" i="10"/>
  <c r="AD166" i="10"/>
  <c r="AD174" i="10"/>
  <c r="AA185" i="10"/>
  <c r="AD181" i="10"/>
  <c r="AD189" i="10"/>
  <c r="AA200" i="10"/>
  <c r="AD196" i="10"/>
  <c r="AD204" i="10"/>
  <c r="AG200" i="10"/>
  <c r="AA215" i="10"/>
  <c r="AD211" i="10"/>
  <c r="AD219" i="10"/>
  <c r="AJ211" i="10"/>
  <c r="AA230" i="10"/>
  <c r="AD226" i="10"/>
  <c r="AD234" i="10"/>
  <c r="AA245" i="10"/>
  <c r="AD241" i="10"/>
  <c r="AD249" i="10"/>
  <c r="AJ241" i="10"/>
  <c r="AA260" i="10"/>
  <c r="AD256" i="10"/>
  <c r="AD264" i="10"/>
  <c r="AG212" i="10"/>
  <c r="AG27" i="10"/>
  <c r="AA65" i="10"/>
  <c r="AA190" i="10"/>
  <c r="AD12" i="10"/>
  <c r="AD20" i="10"/>
  <c r="AJ20" i="10"/>
  <c r="AA31" i="10"/>
  <c r="AD27" i="10"/>
  <c r="AD35" i="10"/>
  <c r="AJ27" i="10"/>
  <c r="AA46" i="10"/>
  <c r="AD42" i="10"/>
  <c r="AD50" i="10"/>
  <c r="AG46" i="10"/>
  <c r="AA61" i="10"/>
  <c r="AD57" i="10"/>
  <c r="AD65" i="10"/>
  <c r="AJ57" i="10"/>
  <c r="AT57" i="10" s="1"/>
  <c r="AJ65" i="10"/>
  <c r="AT65" i="10" s="1"/>
  <c r="AA76" i="10"/>
  <c r="AD72" i="10"/>
  <c r="AD80" i="10"/>
  <c r="AJ72" i="10"/>
  <c r="AT72" i="10" s="1"/>
  <c r="AA92" i="10"/>
  <c r="AD88" i="10"/>
  <c r="AD96" i="10"/>
  <c r="AJ88" i="10"/>
  <c r="AA109" i="10"/>
  <c r="AN109" i="10" s="1"/>
  <c r="AD105" i="10"/>
  <c r="AD113" i="10"/>
  <c r="AG109" i="10"/>
  <c r="AA125" i="10"/>
  <c r="AD121" i="10"/>
  <c r="AD129" i="10"/>
  <c r="AG125" i="10"/>
  <c r="AJ121" i="10"/>
  <c r="AJ129" i="10"/>
  <c r="AA141" i="10"/>
  <c r="AD137" i="10"/>
  <c r="AD145" i="10"/>
  <c r="AA156" i="10"/>
  <c r="AD152" i="10"/>
  <c r="AD160" i="10"/>
  <c r="AJ152" i="10"/>
  <c r="AA171" i="10"/>
  <c r="AD167" i="10"/>
  <c r="AD175" i="10"/>
  <c r="AG171" i="10"/>
  <c r="AJ175" i="10"/>
  <c r="AA186" i="10"/>
  <c r="AD182" i="10"/>
  <c r="AD190" i="10"/>
  <c r="AA201" i="10"/>
  <c r="AD197" i="10"/>
  <c r="AD205" i="10"/>
  <c r="AA216" i="10"/>
  <c r="AD212" i="10"/>
  <c r="AD220" i="10"/>
  <c r="AJ212" i="10"/>
  <c r="AA231" i="10"/>
  <c r="AD227" i="10"/>
  <c r="AD235" i="10"/>
  <c r="AG231" i="10"/>
  <c r="AA246" i="10"/>
  <c r="AD242" i="10"/>
  <c r="AD250" i="10"/>
  <c r="AA261" i="10"/>
  <c r="AD257" i="10"/>
  <c r="AD265" i="10"/>
  <c r="AD46" i="10"/>
  <c r="AG152" i="10"/>
  <c r="AG129" i="10"/>
  <c r="AA11" i="10"/>
  <c r="AD13" i="10"/>
  <c r="AD21" i="10"/>
  <c r="AJ21" i="10"/>
  <c r="AA32" i="10"/>
  <c r="AN32" i="10" s="1"/>
  <c r="AD28" i="10"/>
  <c r="AD36" i="10"/>
  <c r="AG32" i="10"/>
  <c r="AA47" i="10"/>
  <c r="AD43" i="10"/>
  <c r="AD51" i="10"/>
  <c r="AA62" i="10"/>
  <c r="AD58" i="10"/>
  <c r="AD66" i="10"/>
  <c r="AJ58" i="10"/>
  <c r="AA77" i="10"/>
  <c r="AD73" i="10"/>
  <c r="AD81" i="10"/>
  <c r="AG77" i="10"/>
  <c r="AJ81" i="10"/>
  <c r="AA93" i="10"/>
  <c r="AD89" i="10"/>
  <c r="AD97" i="10"/>
  <c r="AJ89" i="10"/>
  <c r="AA110" i="10"/>
  <c r="AD106" i="10"/>
  <c r="AD114" i="10"/>
  <c r="AP114" i="10" s="1"/>
  <c r="AJ114" i="10"/>
  <c r="AA126" i="10"/>
  <c r="AD122" i="10"/>
  <c r="AD130" i="10"/>
  <c r="AA142" i="10"/>
  <c r="AD138" i="10"/>
  <c r="AD146" i="10"/>
  <c r="AA157" i="10"/>
  <c r="AD153" i="10"/>
  <c r="AD161" i="10"/>
  <c r="AA172" i="10"/>
  <c r="AD168" i="10"/>
  <c r="AD176" i="10"/>
  <c r="AG172" i="10"/>
  <c r="AA187" i="10"/>
  <c r="AD183" i="10"/>
  <c r="AD191" i="10"/>
  <c r="AJ183" i="10"/>
  <c r="AT183" i="10" s="1"/>
  <c r="AA202" i="10"/>
  <c r="AD198" i="10"/>
  <c r="AD206" i="10"/>
  <c r="AA217" i="10"/>
  <c r="AD213" i="10"/>
  <c r="AD221" i="10"/>
  <c r="AG217" i="10"/>
  <c r="AJ213" i="10"/>
  <c r="AT213" i="10" s="1"/>
  <c r="AJ221" i="10"/>
  <c r="AT221" i="10" s="1"/>
  <c r="AA232" i="10"/>
  <c r="AD228" i="10"/>
  <c r="AD236" i="10"/>
  <c r="AA247" i="10"/>
  <c r="AD243" i="10"/>
  <c r="AD251" i="10"/>
  <c r="AA262" i="10"/>
  <c r="AD258" i="10"/>
  <c r="AD266" i="10"/>
  <c r="AJ109" i="10"/>
  <c r="AJ171" i="10"/>
  <c r="AT171" i="10" s="1"/>
  <c r="AP125" i="10"/>
  <c r="AA22" i="10"/>
  <c r="AP129" i="10"/>
  <c r="AA27" i="10"/>
  <c r="AN27" i="10" s="1"/>
  <c r="AG65" i="10"/>
  <c r="AD14" i="10"/>
  <c r="AD22" i="10"/>
  <c r="AJ14" i="10"/>
  <c r="AJ22" i="10"/>
  <c r="AA33" i="10"/>
  <c r="AD29" i="10"/>
  <c r="AD37" i="10"/>
  <c r="AJ37" i="10"/>
  <c r="AT37" i="10" s="1"/>
  <c r="AA48" i="10"/>
  <c r="AD44" i="10"/>
  <c r="AD52" i="10"/>
  <c r="AA63" i="10"/>
  <c r="AD59" i="10"/>
  <c r="AD67" i="10"/>
  <c r="AA78" i="10"/>
  <c r="AD74" i="10"/>
  <c r="AD82" i="10"/>
  <c r="AG78" i="10"/>
  <c r="AA94" i="10"/>
  <c r="AD90" i="10"/>
  <c r="AD98" i="10"/>
  <c r="AJ90" i="10"/>
  <c r="AT90" i="10" s="1"/>
  <c r="AA111" i="10"/>
  <c r="AD107" i="10"/>
  <c r="AD115" i="10"/>
  <c r="AA127" i="10"/>
  <c r="AD123" i="10"/>
  <c r="AP123" i="10" s="1"/>
  <c r="AD131" i="10"/>
  <c r="AJ123" i="10"/>
  <c r="AA143" i="10"/>
  <c r="AD139" i="10"/>
  <c r="AD147" i="10"/>
  <c r="AA158" i="10"/>
  <c r="AD154" i="10"/>
  <c r="AD162" i="10"/>
  <c r="AA173" i="10"/>
  <c r="AD169" i="10"/>
  <c r="AD177" i="10"/>
  <c r="AG173" i="10"/>
  <c r="AA188" i="10"/>
  <c r="AD184" i="10"/>
  <c r="AD192" i="10"/>
  <c r="AG188" i="10"/>
  <c r="AJ184" i="10"/>
  <c r="AT184" i="10" s="1"/>
  <c r="AA203" i="10"/>
  <c r="AD199" i="10"/>
  <c r="AD207" i="10"/>
  <c r="AA218" i="10"/>
  <c r="AD214" i="10"/>
  <c r="AD222" i="10"/>
  <c r="AA233" i="10"/>
  <c r="AD229" i="10"/>
  <c r="AD237" i="10"/>
  <c r="AA248" i="10"/>
  <c r="AD244" i="10"/>
  <c r="AD252" i="10"/>
  <c r="AA263" i="10"/>
  <c r="AD259" i="10"/>
  <c r="AD267" i="10"/>
  <c r="K14" i="10"/>
  <c r="AN14" i="10" s="1"/>
  <c r="K13" i="10"/>
  <c r="Q12" i="10"/>
  <c r="Q13" i="10"/>
  <c r="T16" i="10"/>
  <c r="T17" i="10"/>
  <c r="AT17" i="10" s="1"/>
  <c r="K12" i="10"/>
  <c r="Q14" i="10"/>
  <c r="T18" i="10"/>
  <c r="N11" i="10"/>
  <c r="Q15" i="10"/>
  <c r="T19" i="10"/>
  <c r="AN20" i="10"/>
  <c r="N12" i="10"/>
  <c r="Q16" i="10"/>
  <c r="AR16" i="10" s="1"/>
  <c r="T20" i="10"/>
  <c r="AT20" i="10" s="1"/>
  <c r="N13" i="10"/>
  <c r="AP13" i="10" s="1"/>
  <c r="Q17" i="10"/>
  <c r="T21" i="10"/>
  <c r="AT21" i="10" s="1"/>
  <c r="N14" i="10"/>
  <c r="Q18" i="10"/>
  <c r="T22" i="10"/>
  <c r="K11" i="10"/>
  <c r="N15" i="10"/>
  <c r="Q19" i="10"/>
  <c r="K22" i="10"/>
  <c r="N16" i="10"/>
  <c r="Q20" i="10"/>
  <c r="K21" i="10"/>
  <c r="N17" i="10"/>
  <c r="Q21" i="10"/>
  <c r="K20" i="10"/>
  <c r="N18" i="10"/>
  <c r="AP18" i="10" s="1"/>
  <c r="Q22" i="10"/>
  <c r="K19" i="10"/>
  <c r="N19" i="10"/>
  <c r="T11" i="10"/>
  <c r="K18" i="10"/>
  <c r="N20" i="10"/>
  <c r="T12" i="10"/>
  <c r="K17" i="10"/>
  <c r="N21" i="10"/>
  <c r="T13" i="10"/>
  <c r="K16" i="10"/>
  <c r="K15" i="10"/>
  <c r="T191" i="10"/>
  <c r="AT191" i="10" s="1"/>
  <c r="K191" i="10"/>
  <c r="AN191" i="10" s="1"/>
  <c r="T202" i="10"/>
  <c r="K202" i="10"/>
  <c r="K185" i="10"/>
  <c r="T185" i="10"/>
  <c r="AT185" i="10" s="1"/>
  <c r="Q185" i="10"/>
  <c r="N185" i="10"/>
  <c r="AP185" i="10" s="1"/>
  <c r="T204" i="10"/>
  <c r="AT204" i="10" s="1"/>
  <c r="K204" i="10"/>
  <c r="AN204" i="10" s="1"/>
  <c r="T228" i="10"/>
  <c r="AT228" i="10" s="1"/>
  <c r="K228" i="10"/>
  <c r="AN228" i="10" s="1"/>
  <c r="T226" i="10"/>
  <c r="K226" i="10"/>
  <c r="T219" i="10"/>
  <c r="AT219" i="10" s="1"/>
  <c r="K219" i="10"/>
  <c r="AN219" i="10" s="1"/>
  <c r="K181" i="10"/>
  <c r="AN181" i="10" s="1"/>
  <c r="T181" i="10"/>
  <c r="Q181" i="10"/>
  <c r="N181" i="10"/>
  <c r="AP181" i="10" s="1"/>
  <c r="T206" i="10"/>
  <c r="K206" i="10"/>
  <c r="AN206" i="10" s="1"/>
  <c r="T215" i="10"/>
  <c r="AT215" i="10" s="1"/>
  <c r="K215" i="10"/>
  <c r="AN215" i="10" s="1"/>
  <c r="Q230" i="10"/>
  <c r="K230" i="10"/>
  <c r="AN230" i="10" s="1"/>
  <c r="K172" i="10"/>
  <c r="AN172" i="10" s="1"/>
  <c r="K211" i="10"/>
  <c r="T32" i="10"/>
  <c r="K213" i="10"/>
  <c r="K217" i="10"/>
  <c r="K221" i="10"/>
  <c r="AN221" i="10" s="1"/>
  <c r="Q26" i="10"/>
  <c r="AR26" i="10" s="1"/>
  <c r="N26" i="10"/>
  <c r="T26" i="10"/>
  <c r="AT26" i="10" s="1"/>
  <c r="K26" i="10"/>
  <c r="Q43" i="10"/>
  <c r="N43" i="10"/>
  <c r="T43" i="10"/>
  <c r="AT43" i="10" s="1"/>
  <c r="K43" i="10"/>
  <c r="Q50" i="10"/>
  <c r="AR50" i="10" s="1"/>
  <c r="N50" i="10"/>
  <c r="AP50" i="10" s="1"/>
  <c r="T50" i="10"/>
  <c r="AT50" i="10" s="1"/>
  <c r="K50" i="10"/>
  <c r="AN50" i="10" s="1"/>
  <c r="Q61" i="10"/>
  <c r="AR61" i="10" s="1"/>
  <c r="N61" i="10"/>
  <c r="AP61" i="10" s="1"/>
  <c r="T61" i="10"/>
  <c r="AT61" i="10" s="1"/>
  <c r="K61" i="10"/>
  <c r="AN61" i="10" s="1"/>
  <c r="Q52" i="10"/>
  <c r="AR52" i="10" s="1"/>
  <c r="N52" i="10"/>
  <c r="AP52" i="10" s="1"/>
  <c r="T52" i="10"/>
  <c r="AT52" i="10" s="1"/>
  <c r="K52" i="10"/>
  <c r="Q28" i="10"/>
  <c r="AR28" i="10" s="1"/>
  <c r="N28" i="10"/>
  <c r="T28" i="10"/>
  <c r="AT28" i="10" s="1"/>
  <c r="K28" i="10"/>
  <c r="AN28" i="10" s="1"/>
  <c r="Q41" i="10"/>
  <c r="N41" i="10"/>
  <c r="AP41" i="10" s="1"/>
  <c r="T41" i="10"/>
  <c r="K41" i="10"/>
  <c r="AN41" i="10" s="1"/>
  <c r="Q45" i="10"/>
  <c r="N45" i="10"/>
  <c r="AP45" i="10" s="1"/>
  <c r="T45" i="10"/>
  <c r="AT45" i="10" s="1"/>
  <c r="K45" i="10"/>
  <c r="Q63" i="10"/>
  <c r="AR63" i="10" s="1"/>
  <c r="N63" i="10"/>
  <c r="AP63" i="10" s="1"/>
  <c r="T63" i="10"/>
  <c r="K63" i="10"/>
  <c r="AN63" i="10" s="1"/>
  <c r="Q33" i="10"/>
  <c r="AR33" i="10" s="1"/>
  <c r="N33" i="10"/>
  <c r="AP33" i="10" s="1"/>
  <c r="K33" i="10"/>
  <c r="T33" i="10"/>
  <c r="AT33" i="10" s="1"/>
  <c r="Q30" i="10"/>
  <c r="AR30" i="10" s="1"/>
  <c r="N30" i="10"/>
  <c r="T30" i="10"/>
  <c r="AT30" i="10" s="1"/>
  <c r="K30" i="10"/>
  <c r="Q49" i="10"/>
  <c r="AR49" i="10" s="1"/>
  <c r="N49" i="10"/>
  <c r="AP49" i="10" s="1"/>
  <c r="T49" i="10"/>
  <c r="AT49" i="10" s="1"/>
  <c r="K49" i="10"/>
  <c r="AN49" i="10" s="1"/>
  <c r="Q56" i="10"/>
  <c r="N56" i="10"/>
  <c r="AP56" i="10" s="1"/>
  <c r="T56" i="10"/>
  <c r="K56" i="10"/>
  <c r="AN56" i="10" s="1"/>
  <c r="Q59" i="10"/>
  <c r="N59" i="10"/>
  <c r="T59" i="10"/>
  <c r="AT59" i="10" s="1"/>
  <c r="K59" i="10"/>
  <c r="Q44" i="10"/>
  <c r="N44" i="10"/>
  <c r="T44" i="10"/>
  <c r="AT44" i="10" s="1"/>
  <c r="K44" i="10"/>
  <c r="Q48" i="10"/>
  <c r="N48" i="10"/>
  <c r="AP48" i="10" s="1"/>
  <c r="K48" i="10"/>
  <c r="AN48" i="10" s="1"/>
  <c r="T48" i="10"/>
  <c r="AT48" i="10" s="1"/>
  <c r="Q29" i="10"/>
  <c r="N29" i="10"/>
  <c r="T29" i="10"/>
  <c r="AT29" i="10" s="1"/>
  <c r="K29" i="10"/>
  <c r="Q31" i="10"/>
  <c r="AR31" i="10" s="1"/>
  <c r="N31" i="10"/>
  <c r="AP31" i="10" s="1"/>
  <c r="T31" i="10"/>
  <c r="AT31" i="10" s="1"/>
  <c r="K31" i="10"/>
  <c r="AN31" i="10" s="1"/>
  <c r="Q36" i="10"/>
  <c r="AR36" i="10" s="1"/>
  <c r="N36" i="10"/>
  <c r="T36" i="10"/>
  <c r="AT36" i="10" s="1"/>
  <c r="K36" i="10"/>
  <c r="AN36" i="10" s="1"/>
  <c r="Q42" i="10"/>
  <c r="N42" i="10"/>
  <c r="AP42" i="10" s="1"/>
  <c r="T42" i="10"/>
  <c r="AT42" i="10" s="1"/>
  <c r="K42" i="10"/>
  <c r="AN42" i="10" s="1"/>
  <c r="Q64" i="10"/>
  <c r="N64" i="10"/>
  <c r="AP64" i="10" s="1"/>
  <c r="T64" i="10"/>
  <c r="K64" i="10"/>
  <c r="AN64" i="10" s="1"/>
  <c r="Q60" i="10"/>
  <c r="N60" i="10"/>
  <c r="T60" i="10"/>
  <c r="AT60" i="10" s="1"/>
  <c r="K60" i="10"/>
  <c r="Q34" i="10"/>
  <c r="AR34" i="10" s="1"/>
  <c r="N34" i="10"/>
  <c r="AP34" i="10" s="1"/>
  <c r="Q81" i="10"/>
  <c r="N81" i="10"/>
  <c r="K81" i="10"/>
  <c r="T96" i="10"/>
  <c r="AT96" i="10" s="1"/>
  <c r="Q96" i="10"/>
  <c r="AR96" i="10" s="1"/>
  <c r="N96" i="10"/>
  <c r="K96" i="10"/>
  <c r="AN96" i="10" s="1"/>
  <c r="T107" i="10"/>
  <c r="AT107" i="10" s="1"/>
  <c r="Q107" i="10"/>
  <c r="N107" i="10"/>
  <c r="AP107" i="10" s="1"/>
  <c r="K107" i="10"/>
  <c r="AN107" i="10" s="1"/>
  <c r="T112" i="10"/>
  <c r="Q112" i="10"/>
  <c r="AR112" i="10" s="1"/>
  <c r="K112" i="10"/>
  <c r="N112" i="10"/>
  <c r="AP112" i="10" s="1"/>
  <c r="T34" i="10"/>
  <c r="AT34" i="10" s="1"/>
  <c r="K37" i="10"/>
  <c r="AN37" i="10" s="1"/>
  <c r="K46" i="10"/>
  <c r="K57" i="10"/>
  <c r="AN57" i="10" s="1"/>
  <c r="K65" i="10"/>
  <c r="AN65" i="10" s="1"/>
  <c r="Q72" i="10"/>
  <c r="N72" i="10"/>
  <c r="K72" i="10"/>
  <c r="AN72" i="10" s="1"/>
  <c r="Q75" i="10"/>
  <c r="N75" i="10"/>
  <c r="AP75" i="10" s="1"/>
  <c r="K75" i="10"/>
  <c r="Q90" i="10"/>
  <c r="N90" i="10"/>
  <c r="AP90" i="10" s="1"/>
  <c r="K90" i="10"/>
  <c r="T207" i="10"/>
  <c r="Q207" i="10"/>
  <c r="N207" i="10"/>
  <c r="K207" i="10"/>
  <c r="Q27" i="10"/>
  <c r="AR27" i="10" s="1"/>
  <c r="N27" i="10"/>
  <c r="AP27" i="10" s="1"/>
  <c r="Q51" i="10"/>
  <c r="AR51" i="10" s="1"/>
  <c r="N51" i="10"/>
  <c r="AP51" i="10" s="1"/>
  <c r="Q62" i="10"/>
  <c r="AR62" i="10" s="1"/>
  <c r="N62" i="10"/>
  <c r="AP62" i="10" s="1"/>
  <c r="T177" i="10"/>
  <c r="AT177" i="10" s="1"/>
  <c r="Q177" i="10"/>
  <c r="AR177" i="10" s="1"/>
  <c r="N177" i="10"/>
  <c r="K177" i="10"/>
  <c r="K51" i="10"/>
  <c r="K62" i="10"/>
  <c r="AN62" i="10" s="1"/>
  <c r="Q67" i="10"/>
  <c r="AR67" i="10" s="1"/>
  <c r="N67" i="10"/>
  <c r="AP67" i="10" s="1"/>
  <c r="K67" i="10"/>
  <c r="AN67" i="10" s="1"/>
  <c r="T97" i="10"/>
  <c r="AT97" i="10" s="1"/>
  <c r="Q97" i="10"/>
  <c r="AR97" i="10" s="1"/>
  <c r="N97" i="10"/>
  <c r="K97" i="10"/>
  <c r="AN97" i="10" s="1"/>
  <c r="T108" i="10"/>
  <c r="AT108" i="10" s="1"/>
  <c r="Q108" i="10"/>
  <c r="AR108" i="10" s="1"/>
  <c r="N108" i="10"/>
  <c r="K108" i="10"/>
  <c r="AN108" i="10" s="1"/>
  <c r="T113" i="10"/>
  <c r="Q113" i="10"/>
  <c r="AR113" i="10" s="1"/>
  <c r="K113" i="10"/>
  <c r="AN113" i="10" s="1"/>
  <c r="N113" i="10"/>
  <c r="AP113" i="10" s="1"/>
  <c r="T51" i="10"/>
  <c r="AT51" i="10" s="1"/>
  <c r="T62" i="10"/>
  <c r="T67" i="10"/>
  <c r="AT67" i="10" s="1"/>
  <c r="Q82" i="10"/>
  <c r="N82" i="10"/>
  <c r="AP82" i="10" s="1"/>
  <c r="K82" i="10"/>
  <c r="AN82" i="10" s="1"/>
  <c r="Q91" i="10"/>
  <c r="AR91" i="10" s="1"/>
  <c r="N91" i="10"/>
  <c r="AP91" i="10" s="1"/>
  <c r="K91" i="10"/>
  <c r="AN91" i="10" s="1"/>
  <c r="Q168" i="10"/>
  <c r="N168" i="10"/>
  <c r="AP168" i="10" s="1"/>
  <c r="K168" i="10"/>
  <c r="T168" i="10"/>
  <c r="AT168" i="10" s="1"/>
  <c r="T27" i="10"/>
  <c r="AT27" i="10" s="1"/>
  <c r="Q79" i="10"/>
  <c r="AR79" i="10" s="1"/>
  <c r="N79" i="10"/>
  <c r="AP79" i="10" s="1"/>
  <c r="K79" i="10"/>
  <c r="AN79" i="10" s="1"/>
  <c r="T82" i="10"/>
  <c r="AT82" i="10" s="1"/>
  <c r="T91" i="10"/>
  <c r="AT91" i="10" s="1"/>
  <c r="Q46" i="10"/>
  <c r="AR46" i="10" s="1"/>
  <c r="N46" i="10"/>
  <c r="AP46" i="10" s="1"/>
  <c r="Q76" i="10"/>
  <c r="AR76" i="10" s="1"/>
  <c r="N76" i="10"/>
  <c r="AP76" i="10" s="1"/>
  <c r="K76" i="10"/>
  <c r="T79" i="10"/>
  <c r="AT79" i="10" s="1"/>
  <c r="Q73" i="10"/>
  <c r="N73" i="10"/>
  <c r="AP73" i="10" s="1"/>
  <c r="K73" i="10"/>
  <c r="AN73" i="10" s="1"/>
  <c r="T76" i="10"/>
  <c r="AT76" i="10" s="1"/>
  <c r="Q92" i="10"/>
  <c r="AR92" i="10" s="1"/>
  <c r="N92" i="10"/>
  <c r="AP92" i="10" s="1"/>
  <c r="K92" i="10"/>
  <c r="AN92" i="10" s="1"/>
  <c r="T92" i="10"/>
  <c r="T73" i="10"/>
  <c r="AT73" i="10" s="1"/>
  <c r="Q87" i="10"/>
  <c r="AR87" i="10" s="1"/>
  <c r="N87" i="10"/>
  <c r="K87" i="10"/>
  <c r="AN87" i="10" s="1"/>
  <c r="T159" i="10"/>
  <c r="AT159" i="10" s="1"/>
  <c r="Q159" i="10"/>
  <c r="AR159" i="10" s="1"/>
  <c r="N159" i="10"/>
  <c r="AP159" i="10" s="1"/>
  <c r="K159" i="10"/>
  <c r="AN159" i="10" s="1"/>
  <c r="Q78" i="10"/>
  <c r="N78" i="10"/>
  <c r="AP78" i="10" s="1"/>
  <c r="K78" i="10"/>
  <c r="AN78" i="10" s="1"/>
  <c r="AP15" i="10"/>
  <c r="Q32" i="10"/>
  <c r="N32" i="10"/>
  <c r="AP32" i="10" s="1"/>
  <c r="Q93" i="10"/>
  <c r="AR93" i="10" s="1"/>
  <c r="N93" i="10"/>
  <c r="AP93" i="10" s="1"/>
  <c r="K93" i="10"/>
  <c r="AN93" i="10" s="1"/>
  <c r="T93" i="10"/>
  <c r="T104" i="10"/>
  <c r="AT104" i="10" s="1"/>
  <c r="Q104" i="10"/>
  <c r="K104" i="10"/>
  <c r="N104" i="10"/>
  <c r="Q35" i="10"/>
  <c r="AR35" i="10" s="1"/>
  <c r="N35" i="10"/>
  <c r="Q47" i="10"/>
  <c r="AR47" i="10" s="1"/>
  <c r="N47" i="10"/>
  <c r="AP47" i="10" s="1"/>
  <c r="Q58" i="10"/>
  <c r="AR58" i="10" s="1"/>
  <c r="N58" i="10"/>
  <c r="Q66" i="10"/>
  <c r="AR66" i="10" s="1"/>
  <c r="N66" i="10"/>
  <c r="AP66" i="10" s="1"/>
  <c r="Q80" i="10"/>
  <c r="AR80" i="10" s="1"/>
  <c r="N80" i="10"/>
  <c r="AP80" i="10" s="1"/>
  <c r="K80" i="10"/>
  <c r="AN80" i="10" s="1"/>
  <c r="Q57" i="10"/>
  <c r="AR57" i="10" s="1"/>
  <c r="N57" i="10"/>
  <c r="AP57" i="10" s="1"/>
  <c r="K35" i="10"/>
  <c r="AN35" i="10" s="1"/>
  <c r="K47" i="10"/>
  <c r="AN47" i="10" s="1"/>
  <c r="K66" i="10"/>
  <c r="AN66" i="10" s="1"/>
  <c r="Q71" i="10"/>
  <c r="N71" i="10"/>
  <c r="AP71" i="10" s="1"/>
  <c r="K71" i="10"/>
  <c r="Q77" i="10"/>
  <c r="N77" i="10"/>
  <c r="AP77" i="10" s="1"/>
  <c r="K77" i="10"/>
  <c r="AN77" i="10" s="1"/>
  <c r="T80" i="10"/>
  <c r="AT80" i="10" s="1"/>
  <c r="Q88" i="10"/>
  <c r="AR88" i="10" s="1"/>
  <c r="N88" i="10"/>
  <c r="AP88" i="10" s="1"/>
  <c r="K88" i="10"/>
  <c r="Q94" i="10"/>
  <c r="AR94" i="10" s="1"/>
  <c r="N94" i="10"/>
  <c r="AP94" i="10" s="1"/>
  <c r="K94" i="10"/>
  <c r="T94" i="10"/>
  <c r="T105" i="10"/>
  <c r="AT105" i="10" s="1"/>
  <c r="Q105" i="10"/>
  <c r="AR105" i="10" s="1"/>
  <c r="N105" i="10"/>
  <c r="AP105" i="10" s="1"/>
  <c r="K105" i="10"/>
  <c r="Q37" i="10"/>
  <c r="AR37" i="10" s="1"/>
  <c r="N37" i="10"/>
  <c r="T35" i="10"/>
  <c r="AT35" i="10" s="1"/>
  <c r="T47" i="10"/>
  <c r="AT47" i="10" s="1"/>
  <c r="T58" i="10"/>
  <c r="T66" i="10"/>
  <c r="AT66" i="10" s="1"/>
  <c r="T71" i="10"/>
  <c r="AT71" i="10" s="1"/>
  <c r="Q74" i="10"/>
  <c r="N74" i="10"/>
  <c r="K74" i="10"/>
  <c r="AN74" i="10" s="1"/>
  <c r="T88" i="10"/>
  <c r="AT88" i="10" s="1"/>
  <c r="Q95" i="10"/>
  <c r="AR95" i="10" s="1"/>
  <c r="N95" i="10"/>
  <c r="K95" i="10"/>
  <c r="AN95" i="10" s="1"/>
  <c r="T95" i="10"/>
  <c r="AT95" i="10" s="1"/>
  <c r="T106" i="10"/>
  <c r="AT106" i="10" s="1"/>
  <c r="Q106" i="10"/>
  <c r="N106" i="10"/>
  <c r="AP106" i="10" s="1"/>
  <c r="K106" i="10"/>
  <c r="AN106" i="10" s="1"/>
  <c r="Q65" i="10"/>
  <c r="N65" i="10"/>
  <c r="AP65" i="10" s="1"/>
  <c r="T74" i="10"/>
  <c r="Q89" i="10"/>
  <c r="AR89" i="10" s="1"/>
  <c r="N89" i="10"/>
  <c r="K89" i="10"/>
  <c r="T111" i="10"/>
  <c r="AT111" i="10" s="1"/>
  <c r="Q111" i="10"/>
  <c r="AR111" i="10" s="1"/>
  <c r="N111" i="10"/>
  <c r="AP111" i="10" s="1"/>
  <c r="K111" i="10"/>
  <c r="AN111" i="10" s="1"/>
  <c r="T109" i="10"/>
  <c r="AT109" i="10" s="1"/>
  <c r="Q109" i="10"/>
  <c r="T125" i="10"/>
  <c r="AT125" i="10" s="1"/>
  <c r="Q125" i="10"/>
  <c r="K125" i="10"/>
  <c r="N173" i="10"/>
  <c r="AP173" i="10" s="1"/>
  <c r="K173" i="10"/>
  <c r="AN173" i="10" s="1"/>
  <c r="Q173" i="10"/>
  <c r="AR173" i="10" s="1"/>
  <c r="T214" i="10"/>
  <c r="AT214" i="10" s="1"/>
  <c r="Q214" i="10"/>
  <c r="AR214" i="10" s="1"/>
  <c r="N214" i="10"/>
  <c r="K214" i="10"/>
  <c r="T218" i="10"/>
  <c r="Q218" i="10"/>
  <c r="AR218" i="10" s="1"/>
  <c r="N218" i="10"/>
  <c r="AP218" i="10" s="1"/>
  <c r="K218" i="10"/>
  <c r="T222" i="10"/>
  <c r="AT222" i="10" s="1"/>
  <c r="Q222" i="10"/>
  <c r="AR222" i="10" s="1"/>
  <c r="N222" i="10"/>
  <c r="AP222" i="10" s="1"/>
  <c r="K222" i="10"/>
  <c r="AN222" i="10" s="1"/>
  <c r="T229" i="10"/>
  <c r="AT229" i="10" s="1"/>
  <c r="Q229" i="10"/>
  <c r="AR229" i="10" s="1"/>
  <c r="N229" i="10"/>
  <c r="K229" i="10"/>
  <c r="AN229" i="10" s="1"/>
  <c r="N109" i="10"/>
  <c r="T123" i="10"/>
  <c r="AT123" i="10" s="1"/>
  <c r="Q123" i="10"/>
  <c r="K123" i="10"/>
  <c r="T138" i="10"/>
  <c r="AT138" i="10" s="1"/>
  <c r="Q138" i="10"/>
  <c r="AR138" i="10" s="1"/>
  <c r="N138" i="10"/>
  <c r="AP138" i="10" s="1"/>
  <c r="K138" i="10"/>
  <c r="AN138" i="10" s="1"/>
  <c r="T142" i="10"/>
  <c r="AT142" i="10" s="1"/>
  <c r="Q142" i="10"/>
  <c r="AR142" i="10" s="1"/>
  <c r="N142" i="10"/>
  <c r="AP142" i="10" s="1"/>
  <c r="K142" i="10"/>
  <c r="T146" i="10"/>
  <c r="AT146" i="10" s="1"/>
  <c r="Q146" i="10"/>
  <c r="AR146" i="10" s="1"/>
  <c r="N146" i="10"/>
  <c r="K146" i="10"/>
  <c r="AN146" i="10" s="1"/>
  <c r="T154" i="10"/>
  <c r="Q154" i="10"/>
  <c r="AR154" i="10" s="1"/>
  <c r="N154" i="10"/>
  <c r="K154" i="10"/>
  <c r="T189" i="10"/>
  <c r="AT189" i="10" s="1"/>
  <c r="Q189" i="10"/>
  <c r="N189" i="10"/>
  <c r="K189" i="10"/>
  <c r="AN189" i="10" s="1"/>
  <c r="T197" i="10"/>
  <c r="AT197" i="10" s="1"/>
  <c r="Q197" i="10"/>
  <c r="AR197" i="10" s="1"/>
  <c r="N197" i="10"/>
  <c r="AP197" i="10" s="1"/>
  <c r="K197" i="10"/>
  <c r="AN197" i="10" s="1"/>
  <c r="T234" i="10"/>
  <c r="Q234" i="10"/>
  <c r="AR234" i="10" s="1"/>
  <c r="N234" i="10"/>
  <c r="AP234" i="10" s="1"/>
  <c r="K234" i="10"/>
  <c r="T242" i="10"/>
  <c r="AT242" i="10" s="1"/>
  <c r="Q242" i="10"/>
  <c r="AR242" i="10" s="1"/>
  <c r="N242" i="10"/>
  <c r="K242" i="10"/>
  <c r="AN242" i="10" s="1"/>
  <c r="T249" i="10"/>
  <c r="AT249" i="10" s="1"/>
  <c r="Q249" i="10"/>
  <c r="AR249" i="10" s="1"/>
  <c r="N249" i="10"/>
  <c r="AP249" i="10" s="1"/>
  <c r="K249" i="10"/>
  <c r="AN249" i="10" s="1"/>
  <c r="T98" i="10"/>
  <c r="AT98" i="10" s="1"/>
  <c r="Q98" i="10"/>
  <c r="AR98" i="10" s="1"/>
  <c r="T128" i="10"/>
  <c r="AT128" i="10" s="1"/>
  <c r="Q128" i="10"/>
  <c r="AR128" i="10" s="1"/>
  <c r="K128" i="10"/>
  <c r="AN128" i="10" s="1"/>
  <c r="T169" i="10"/>
  <c r="AT169" i="10" s="1"/>
  <c r="Q169" i="10"/>
  <c r="N169" i="10"/>
  <c r="K169" i="10"/>
  <c r="T203" i="10"/>
  <c r="Q203" i="10"/>
  <c r="N203" i="10"/>
  <c r="AP203" i="10" s="1"/>
  <c r="K203" i="10"/>
  <c r="AN203" i="10" s="1"/>
  <c r="K98" i="10"/>
  <c r="AN98" i="10" s="1"/>
  <c r="T121" i="10"/>
  <c r="Q121" i="10"/>
  <c r="K121" i="10"/>
  <c r="AN121" i="10" s="1"/>
  <c r="N128" i="10"/>
  <c r="AP128" i="10" s="1"/>
  <c r="T131" i="10"/>
  <c r="AT131" i="10" s="1"/>
  <c r="Q131" i="10"/>
  <c r="AR131" i="10" s="1"/>
  <c r="N131" i="10"/>
  <c r="AP131" i="10" s="1"/>
  <c r="K131" i="10"/>
  <c r="AN131" i="10" s="1"/>
  <c r="T160" i="10"/>
  <c r="AT160" i="10" s="1"/>
  <c r="Q160" i="10"/>
  <c r="AR160" i="10" s="1"/>
  <c r="N160" i="10"/>
  <c r="K160" i="10"/>
  <c r="AN160" i="10" s="1"/>
  <c r="T174" i="10"/>
  <c r="AT174" i="10" s="1"/>
  <c r="Q174" i="10"/>
  <c r="AR174" i="10" s="1"/>
  <c r="N174" i="10"/>
  <c r="K174" i="10"/>
  <c r="AN174" i="10" s="1"/>
  <c r="T243" i="10"/>
  <c r="Q243" i="10"/>
  <c r="N243" i="10"/>
  <c r="AP243" i="10" s="1"/>
  <c r="K243" i="10"/>
  <c r="T250" i="10"/>
  <c r="AT250" i="10" s="1"/>
  <c r="Q250" i="10"/>
  <c r="AR250" i="10" s="1"/>
  <c r="N250" i="10"/>
  <c r="AP250" i="10" s="1"/>
  <c r="K250" i="10"/>
  <c r="AN250" i="10" s="1"/>
  <c r="N98" i="10"/>
  <c r="AP98" i="10" s="1"/>
  <c r="T155" i="10"/>
  <c r="AT155" i="10" s="1"/>
  <c r="Q155" i="10"/>
  <c r="AR155" i="10" s="1"/>
  <c r="N155" i="10"/>
  <c r="AP155" i="10" s="1"/>
  <c r="K155" i="10"/>
  <c r="AN155" i="10" s="1"/>
  <c r="Q198" i="10"/>
  <c r="N198" i="10"/>
  <c r="AP198" i="10" s="1"/>
  <c r="K198" i="10"/>
  <c r="AN198" i="10" s="1"/>
  <c r="T198" i="10"/>
  <c r="AT198" i="10" s="1"/>
  <c r="T235" i="10"/>
  <c r="AT235" i="10" s="1"/>
  <c r="Q235" i="10"/>
  <c r="AR235" i="10" s="1"/>
  <c r="K235" i="10"/>
  <c r="AN235" i="10" s="1"/>
  <c r="T115" i="10"/>
  <c r="AT115" i="10" s="1"/>
  <c r="Q115" i="10"/>
  <c r="AR115" i="10" s="1"/>
  <c r="K115" i="10"/>
  <c r="AN115" i="10" s="1"/>
  <c r="T139" i="10"/>
  <c r="AT139" i="10" s="1"/>
  <c r="Q139" i="10"/>
  <c r="N139" i="10"/>
  <c r="K139" i="10"/>
  <c r="AN139" i="10" s="1"/>
  <c r="T143" i="10"/>
  <c r="AT143" i="10" s="1"/>
  <c r="Q143" i="10"/>
  <c r="AR143" i="10" s="1"/>
  <c r="N143" i="10"/>
  <c r="AP143" i="10" s="1"/>
  <c r="K143" i="10"/>
  <c r="T147" i="10"/>
  <c r="AT147" i="10" s="1"/>
  <c r="Q147" i="10"/>
  <c r="AR147" i="10" s="1"/>
  <c r="N147" i="10"/>
  <c r="K147" i="10"/>
  <c r="AN147" i="10" s="1"/>
  <c r="T170" i="10"/>
  <c r="AT170" i="10" s="1"/>
  <c r="Q170" i="10"/>
  <c r="AR170" i="10" s="1"/>
  <c r="N170" i="10"/>
  <c r="AP170" i="10" s="1"/>
  <c r="K170" i="10"/>
  <c r="T190" i="10"/>
  <c r="AT190" i="10" s="1"/>
  <c r="Q190" i="10"/>
  <c r="AR190" i="10" s="1"/>
  <c r="N190" i="10"/>
  <c r="K190" i="10"/>
  <c r="AN190" i="10" s="1"/>
  <c r="N235" i="10"/>
  <c r="AP235" i="10" s="1"/>
  <c r="T244" i="10"/>
  <c r="AT244" i="10" s="1"/>
  <c r="Q244" i="10"/>
  <c r="N244" i="10"/>
  <c r="K244" i="10"/>
  <c r="AN244" i="10" s="1"/>
  <c r="N115" i="10"/>
  <c r="T126" i="10"/>
  <c r="Q126" i="10"/>
  <c r="AR126" i="10" s="1"/>
  <c r="K126" i="10"/>
  <c r="AN126" i="10" s="1"/>
  <c r="T161" i="10"/>
  <c r="AT161" i="10" s="1"/>
  <c r="Q161" i="10"/>
  <c r="AR161" i="10" s="1"/>
  <c r="N161" i="10"/>
  <c r="K161" i="10"/>
  <c r="AN161" i="10" s="1"/>
  <c r="T199" i="10"/>
  <c r="AT199" i="10" s="1"/>
  <c r="Q199" i="10"/>
  <c r="N199" i="10"/>
  <c r="K199" i="10"/>
  <c r="AN199" i="10" s="1"/>
  <c r="N126" i="10"/>
  <c r="T156" i="10"/>
  <c r="AT156" i="10" s="1"/>
  <c r="Q156" i="10"/>
  <c r="AR156" i="10" s="1"/>
  <c r="N156" i="10"/>
  <c r="AP156" i="10" s="1"/>
  <c r="K156" i="10"/>
  <c r="AN156" i="10" s="1"/>
  <c r="T212" i="10"/>
  <c r="Q212" i="10"/>
  <c r="N212" i="10"/>
  <c r="AP212" i="10" s="1"/>
  <c r="K212" i="10"/>
  <c r="AN212" i="10" s="1"/>
  <c r="T216" i="10"/>
  <c r="AT216" i="10" s="1"/>
  <c r="Q216" i="10"/>
  <c r="AR216" i="10" s="1"/>
  <c r="N216" i="10"/>
  <c r="AP216" i="10" s="1"/>
  <c r="K216" i="10"/>
  <c r="T220" i="10"/>
  <c r="AT220" i="10" s="1"/>
  <c r="Q220" i="10"/>
  <c r="AR220" i="10" s="1"/>
  <c r="N220" i="10"/>
  <c r="AP220" i="10" s="1"/>
  <c r="K220" i="10"/>
  <c r="T227" i="10"/>
  <c r="AT227" i="10" s="1"/>
  <c r="Q227" i="10"/>
  <c r="AR227" i="10" s="1"/>
  <c r="N227" i="10"/>
  <c r="AP227" i="10" s="1"/>
  <c r="K227" i="10"/>
  <c r="AN227" i="10" s="1"/>
  <c r="T124" i="10"/>
  <c r="AT124" i="10" s="1"/>
  <c r="Q124" i="10"/>
  <c r="AR124" i="10" s="1"/>
  <c r="K124" i="10"/>
  <c r="AN124" i="10" s="1"/>
  <c r="T129" i="10"/>
  <c r="Q129" i="10"/>
  <c r="AR129" i="10" s="1"/>
  <c r="K129" i="10"/>
  <c r="AN129" i="10" s="1"/>
  <c r="T136" i="10"/>
  <c r="AT136" i="10" s="1"/>
  <c r="Q136" i="10"/>
  <c r="N136" i="10"/>
  <c r="AP136" i="10" s="1"/>
  <c r="K136" i="10"/>
  <c r="T151" i="10"/>
  <c r="AT151" i="10" s="1"/>
  <c r="Q151" i="10"/>
  <c r="AR151" i="10" s="1"/>
  <c r="N151" i="10"/>
  <c r="AP151" i="10" s="1"/>
  <c r="K151" i="10"/>
  <c r="T200" i="10"/>
  <c r="AT200" i="10" s="1"/>
  <c r="Q200" i="10"/>
  <c r="AR200" i="10" s="1"/>
  <c r="K200" i="10"/>
  <c r="AN200" i="10" s="1"/>
  <c r="T236" i="10"/>
  <c r="AT236" i="10" s="1"/>
  <c r="Q236" i="10"/>
  <c r="AR236" i="10" s="1"/>
  <c r="N236" i="10"/>
  <c r="AP236" i="10" s="1"/>
  <c r="K236" i="10"/>
  <c r="AN236" i="10" s="1"/>
  <c r="T245" i="10"/>
  <c r="AT245" i="10" s="1"/>
  <c r="Q245" i="10"/>
  <c r="AR245" i="10" s="1"/>
  <c r="N245" i="10"/>
  <c r="K245" i="10"/>
  <c r="T110" i="10"/>
  <c r="AT110" i="10" s="1"/>
  <c r="Q110" i="10"/>
  <c r="AR110" i="10" s="1"/>
  <c r="T140" i="10"/>
  <c r="Q140" i="10"/>
  <c r="AR140" i="10" s="1"/>
  <c r="N140" i="10"/>
  <c r="AP140" i="10" s="1"/>
  <c r="K140" i="10"/>
  <c r="AN140" i="10" s="1"/>
  <c r="T144" i="10"/>
  <c r="AT144" i="10" s="1"/>
  <c r="Q144" i="10"/>
  <c r="AR144" i="10" s="1"/>
  <c r="N144" i="10"/>
  <c r="K144" i="10"/>
  <c r="AN144" i="10" s="1"/>
  <c r="T162" i="10"/>
  <c r="AT162" i="10" s="1"/>
  <c r="Q162" i="10"/>
  <c r="AR162" i="10" s="1"/>
  <c r="N162" i="10"/>
  <c r="AP162" i="10" s="1"/>
  <c r="K162" i="10"/>
  <c r="AN162" i="10" s="1"/>
  <c r="T182" i="10"/>
  <c r="AT182" i="10" s="1"/>
  <c r="Q182" i="10"/>
  <c r="AR182" i="10" s="1"/>
  <c r="N182" i="10"/>
  <c r="AP182" i="10" s="1"/>
  <c r="K182" i="10"/>
  <c r="AN182" i="10" s="1"/>
  <c r="T186" i="10"/>
  <c r="Q186" i="10"/>
  <c r="AR186" i="10" s="1"/>
  <c r="N186" i="10"/>
  <c r="AP186" i="10" s="1"/>
  <c r="K186" i="10"/>
  <c r="AN186" i="10" s="1"/>
  <c r="T205" i="10"/>
  <c r="AT205" i="10" s="1"/>
  <c r="Q205" i="10"/>
  <c r="AR205" i="10" s="1"/>
  <c r="N205" i="10"/>
  <c r="K205" i="10"/>
  <c r="AN205" i="10" s="1"/>
  <c r="K110" i="10"/>
  <c r="T122" i="10"/>
  <c r="AT122" i="10" s="1"/>
  <c r="Q122" i="10"/>
  <c r="K122" i="10"/>
  <c r="T157" i="10"/>
  <c r="Q157" i="10"/>
  <c r="AR157" i="10" s="1"/>
  <c r="N157" i="10"/>
  <c r="AP157" i="10" s="1"/>
  <c r="K157" i="10"/>
  <c r="AN157" i="10" s="1"/>
  <c r="T246" i="10"/>
  <c r="AT246" i="10" s="1"/>
  <c r="Q246" i="10"/>
  <c r="AR246" i="10" s="1"/>
  <c r="N246" i="10"/>
  <c r="AP246" i="10" s="1"/>
  <c r="K246" i="10"/>
  <c r="AN246" i="10" s="1"/>
  <c r="N110" i="10"/>
  <c r="AP110" i="10" s="1"/>
  <c r="N122" i="10"/>
  <c r="T152" i="10"/>
  <c r="AT152" i="10" s="1"/>
  <c r="Q152" i="10"/>
  <c r="N152" i="10"/>
  <c r="AP152" i="10" s="1"/>
  <c r="K152" i="10"/>
  <c r="AN152" i="10" s="1"/>
  <c r="T166" i="10"/>
  <c r="AT166" i="10" s="1"/>
  <c r="Q166" i="10"/>
  <c r="AR166" i="10" s="1"/>
  <c r="N166" i="10"/>
  <c r="K166" i="10"/>
  <c r="T176" i="10"/>
  <c r="AT176" i="10" s="1"/>
  <c r="Q176" i="10"/>
  <c r="AR176" i="10" s="1"/>
  <c r="N176" i="10"/>
  <c r="K176" i="10"/>
  <c r="T192" i="10"/>
  <c r="AT192" i="10" s="1"/>
  <c r="Q192" i="10"/>
  <c r="AR192" i="10" s="1"/>
  <c r="N192" i="10"/>
  <c r="K192" i="10"/>
  <c r="AN192" i="10" s="1"/>
  <c r="T201" i="10"/>
  <c r="AT201" i="10" s="1"/>
  <c r="Q201" i="10"/>
  <c r="AR201" i="10" s="1"/>
  <c r="N201" i="10"/>
  <c r="AP201" i="10" s="1"/>
  <c r="K201" i="10"/>
  <c r="T232" i="10"/>
  <c r="AT232" i="10" s="1"/>
  <c r="Q232" i="10"/>
  <c r="AR232" i="10" s="1"/>
  <c r="N232" i="10"/>
  <c r="AP232" i="10" s="1"/>
  <c r="K232" i="10"/>
  <c r="T237" i="10"/>
  <c r="Q237" i="10"/>
  <c r="AR237" i="10" s="1"/>
  <c r="N237" i="10"/>
  <c r="AP237" i="10" s="1"/>
  <c r="K237" i="10"/>
  <c r="AN237" i="10" s="1"/>
  <c r="T120" i="10"/>
  <c r="AT120" i="10" s="1"/>
  <c r="Q120" i="10"/>
  <c r="AR120" i="10" s="1"/>
  <c r="K120" i="10"/>
  <c r="AN120" i="10" s="1"/>
  <c r="T127" i="10"/>
  <c r="Q127" i="10"/>
  <c r="K127" i="10"/>
  <c r="AN127" i="10" s="1"/>
  <c r="T187" i="10"/>
  <c r="Q187" i="10"/>
  <c r="N187" i="10"/>
  <c r="AP187" i="10" s="1"/>
  <c r="K187" i="10"/>
  <c r="T247" i="10"/>
  <c r="Q247" i="10"/>
  <c r="AR247" i="10" s="1"/>
  <c r="N247" i="10"/>
  <c r="K247" i="10"/>
  <c r="AN247" i="10" s="1"/>
  <c r="N120" i="10"/>
  <c r="AP120" i="10" s="1"/>
  <c r="N127" i="10"/>
  <c r="T137" i="10"/>
  <c r="AT137" i="10" s="1"/>
  <c r="Q137" i="10"/>
  <c r="AR137" i="10" s="1"/>
  <c r="N137" i="10"/>
  <c r="AP137" i="10" s="1"/>
  <c r="K137" i="10"/>
  <c r="AN137" i="10" s="1"/>
  <c r="T141" i="10"/>
  <c r="AT141" i="10" s="1"/>
  <c r="Q141" i="10"/>
  <c r="N141" i="10"/>
  <c r="AP141" i="10" s="1"/>
  <c r="K141" i="10"/>
  <c r="T145" i="10"/>
  <c r="AT145" i="10" s="1"/>
  <c r="Q145" i="10"/>
  <c r="AR145" i="10" s="1"/>
  <c r="N145" i="10"/>
  <c r="AP145" i="10" s="1"/>
  <c r="K145" i="10"/>
  <c r="AN145" i="10" s="1"/>
  <c r="T158" i="10"/>
  <c r="Q158" i="10"/>
  <c r="AR158" i="10" s="1"/>
  <c r="N158" i="10"/>
  <c r="AP158" i="10" s="1"/>
  <c r="K158" i="10"/>
  <c r="AN158" i="10" s="1"/>
  <c r="T167" i="10"/>
  <c r="AT167" i="10" s="1"/>
  <c r="Q167" i="10"/>
  <c r="AR167" i="10" s="1"/>
  <c r="K167" i="10"/>
  <c r="AN167" i="10" s="1"/>
  <c r="T114" i="10"/>
  <c r="AT114" i="10" s="1"/>
  <c r="Q114" i="10"/>
  <c r="AR114" i="10" s="1"/>
  <c r="K114" i="10"/>
  <c r="AN114" i="10" s="1"/>
  <c r="T130" i="10"/>
  <c r="AT130" i="10" s="1"/>
  <c r="Q130" i="10"/>
  <c r="AR130" i="10" s="1"/>
  <c r="N130" i="10"/>
  <c r="AP130" i="10" s="1"/>
  <c r="K130" i="10"/>
  <c r="AN130" i="10" s="1"/>
  <c r="T153" i="10"/>
  <c r="Q153" i="10"/>
  <c r="AR153" i="10" s="1"/>
  <c r="N153" i="10"/>
  <c r="AP153" i="10" s="1"/>
  <c r="K153" i="10"/>
  <c r="N167" i="10"/>
  <c r="AP167" i="10" s="1"/>
  <c r="T188" i="10"/>
  <c r="Q188" i="10"/>
  <c r="K188" i="10"/>
  <c r="AN188" i="10" s="1"/>
  <c r="T196" i="10"/>
  <c r="AT196" i="10" s="1"/>
  <c r="Q196" i="10"/>
  <c r="AR196" i="10" s="1"/>
  <c r="N196" i="10"/>
  <c r="AP196" i="10" s="1"/>
  <c r="K196" i="10"/>
  <c r="AN196" i="10" s="1"/>
  <c r="T233" i="10"/>
  <c r="AT233" i="10" s="1"/>
  <c r="Q233" i="10"/>
  <c r="N233" i="10"/>
  <c r="AP233" i="10" s="1"/>
  <c r="K233" i="10"/>
  <c r="T248" i="10"/>
  <c r="Q248" i="10"/>
  <c r="AR248" i="10" s="1"/>
  <c r="N248" i="10"/>
  <c r="K248" i="10"/>
  <c r="AN248" i="10" s="1"/>
  <c r="T241" i="10"/>
  <c r="Q241" i="10"/>
  <c r="AR241" i="10" s="1"/>
  <c r="T257" i="10"/>
  <c r="AT257" i="10" s="1"/>
  <c r="Q257" i="10"/>
  <c r="AR257" i="10" s="1"/>
  <c r="N257" i="10"/>
  <c r="K257" i="10"/>
  <c r="AN257" i="10" s="1"/>
  <c r="N172" i="10"/>
  <c r="AP172" i="10" s="1"/>
  <c r="N191" i="10"/>
  <c r="AP191" i="10" s="1"/>
  <c r="N202" i="10"/>
  <c r="AP202" i="10" s="1"/>
  <c r="N204" i="10"/>
  <c r="N206" i="10"/>
  <c r="AP206" i="10" s="1"/>
  <c r="N211" i="10"/>
  <c r="AP211" i="10" s="1"/>
  <c r="N213" i="10"/>
  <c r="AP213" i="10" s="1"/>
  <c r="N215" i="10"/>
  <c r="N217" i="10"/>
  <c r="AP217" i="10" s="1"/>
  <c r="N219" i="10"/>
  <c r="AP219" i="10" s="1"/>
  <c r="N221" i="10"/>
  <c r="AP221" i="10" s="1"/>
  <c r="N226" i="10"/>
  <c r="N228" i="10"/>
  <c r="N230" i="10"/>
  <c r="N241" i="10"/>
  <c r="T263" i="10"/>
  <c r="AT263" i="10" s="1"/>
  <c r="Q263" i="10"/>
  <c r="AR263" i="10" s="1"/>
  <c r="N263" i="10"/>
  <c r="AP263" i="10" s="1"/>
  <c r="K263" i="10"/>
  <c r="AN263" i="10" s="1"/>
  <c r="Q172" i="10"/>
  <c r="AR172" i="10" s="1"/>
  <c r="Q191" i="10"/>
  <c r="AR191" i="10" s="1"/>
  <c r="Q202" i="10"/>
  <c r="AR202" i="10" s="1"/>
  <c r="Q204" i="10"/>
  <c r="AR204" i="10" s="1"/>
  <c r="Q206" i="10"/>
  <c r="Q211" i="10"/>
  <c r="AR211" i="10" s="1"/>
  <c r="Q213" i="10"/>
  <c r="AR213" i="10" s="1"/>
  <c r="Q215" i="10"/>
  <c r="AR215" i="10" s="1"/>
  <c r="Q217" i="10"/>
  <c r="AR217" i="10" s="1"/>
  <c r="Q219" i="10"/>
  <c r="AR219" i="10" s="1"/>
  <c r="Q221" i="10"/>
  <c r="AR221" i="10" s="1"/>
  <c r="Q226" i="10"/>
  <c r="AR226" i="10" s="1"/>
  <c r="Q228" i="10"/>
  <c r="T230" i="10"/>
  <c r="AT230" i="10" s="1"/>
  <c r="T258" i="10"/>
  <c r="AT258" i="10" s="1"/>
  <c r="Q258" i="10"/>
  <c r="N258" i="10"/>
  <c r="AP258" i="10" s="1"/>
  <c r="K258" i="10"/>
  <c r="AN258" i="10" s="1"/>
  <c r="K171" i="10"/>
  <c r="AN171" i="10" s="1"/>
  <c r="K184" i="10"/>
  <c r="N171" i="10"/>
  <c r="AP171" i="10" s="1"/>
  <c r="N184" i="10"/>
  <c r="AP184" i="10" s="1"/>
  <c r="T264" i="10"/>
  <c r="AT264" i="10" s="1"/>
  <c r="Q264" i="10"/>
  <c r="AR264" i="10" s="1"/>
  <c r="N264" i="10"/>
  <c r="AP264" i="10" s="1"/>
  <c r="K264" i="10"/>
  <c r="AN264" i="10" s="1"/>
  <c r="Q171" i="10"/>
  <c r="AR171" i="10" s="1"/>
  <c r="Q184" i="10"/>
  <c r="AR184" i="10" s="1"/>
  <c r="T259" i="10"/>
  <c r="AT259" i="10" s="1"/>
  <c r="Q259" i="10"/>
  <c r="N259" i="10"/>
  <c r="K259" i="10"/>
  <c r="AN259" i="10" s="1"/>
  <c r="T231" i="10"/>
  <c r="AT231" i="10" s="1"/>
  <c r="Q231" i="10"/>
  <c r="AR231" i="10" s="1"/>
  <c r="T251" i="10"/>
  <c r="AT251" i="10" s="1"/>
  <c r="Q251" i="10"/>
  <c r="AR251" i="10" s="1"/>
  <c r="N251" i="10"/>
  <c r="AP251" i="10" s="1"/>
  <c r="K251" i="10"/>
  <c r="AN251" i="10" s="1"/>
  <c r="K175" i="10"/>
  <c r="AN175" i="10" s="1"/>
  <c r="K183" i="10"/>
  <c r="K231" i="10"/>
  <c r="AN231" i="10" s="1"/>
  <c r="T265" i="10"/>
  <c r="AT265" i="10" s="1"/>
  <c r="Q265" i="10"/>
  <c r="AR265" i="10" s="1"/>
  <c r="N265" i="10"/>
  <c r="K265" i="10"/>
  <c r="AN265" i="10" s="1"/>
  <c r="N175" i="10"/>
  <c r="N183" i="10"/>
  <c r="AP183" i="10" s="1"/>
  <c r="N231" i="10"/>
  <c r="AP231" i="10" s="1"/>
  <c r="T260" i="10"/>
  <c r="Q260" i="10"/>
  <c r="AR260" i="10" s="1"/>
  <c r="N260" i="10"/>
  <c r="AP260" i="10" s="1"/>
  <c r="K260" i="10"/>
  <c r="AN260" i="10" s="1"/>
  <c r="Q175" i="10"/>
  <c r="AR175" i="10" s="1"/>
  <c r="Q183" i="10"/>
  <c r="AR183" i="10" s="1"/>
  <c r="T252" i="10"/>
  <c r="AT252" i="10" s="1"/>
  <c r="Q252" i="10"/>
  <c r="AR252" i="10" s="1"/>
  <c r="N252" i="10"/>
  <c r="AP252" i="10" s="1"/>
  <c r="K252" i="10"/>
  <c r="AN252" i="10" s="1"/>
  <c r="T266" i="10"/>
  <c r="AT266" i="10" s="1"/>
  <c r="Q266" i="10"/>
  <c r="AR266" i="10" s="1"/>
  <c r="N266" i="10"/>
  <c r="AP266" i="10" s="1"/>
  <c r="K266" i="10"/>
  <c r="AN266" i="10" s="1"/>
  <c r="T261" i="10"/>
  <c r="AT261" i="10" s="1"/>
  <c r="Q261" i="10"/>
  <c r="AR261" i="10" s="1"/>
  <c r="N261" i="10"/>
  <c r="AP261" i="10" s="1"/>
  <c r="K261" i="10"/>
  <c r="T256" i="10"/>
  <c r="AT256" i="10" s="1"/>
  <c r="Q256" i="10"/>
  <c r="AR256" i="10" s="1"/>
  <c r="N256" i="10"/>
  <c r="AP256" i="10" s="1"/>
  <c r="K256" i="10"/>
  <c r="T267" i="10"/>
  <c r="AT267" i="10" s="1"/>
  <c r="Q267" i="10"/>
  <c r="AR267" i="10" s="1"/>
  <c r="N267" i="10"/>
  <c r="AP267" i="10" s="1"/>
  <c r="K267" i="10"/>
  <c r="AN267" i="10" s="1"/>
  <c r="T262" i="10"/>
  <c r="AT262" i="10" s="1"/>
  <c r="Q262" i="10"/>
  <c r="AR262" i="10" s="1"/>
  <c r="N262" i="10"/>
  <c r="AP262" i="10" s="1"/>
  <c r="K262" i="10"/>
  <c r="AN262" i="10" s="1"/>
  <c r="AT237" i="10" l="1"/>
  <c r="AP109" i="10"/>
  <c r="AP226" i="10"/>
  <c r="AR233" i="10"/>
  <c r="AR187" i="10"/>
  <c r="AP122" i="10"/>
  <c r="AT126" i="10"/>
  <c r="AR198" i="10"/>
  <c r="AP169" i="10"/>
  <c r="AN142" i="10"/>
  <c r="AN214" i="10"/>
  <c r="AR106" i="10"/>
  <c r="AT58" i="10"/>
  <c r="AR168" i="10"/>
  <c r="AP29" i="10"/>
  <c r="AP59" i="10"/>
  <c r="AP30" i="10"/>
  <c r="AP43" i="10"/>
  <c r="AN226" i="10"/>
  <c r="AT89" i="10"/>
  <c r="AT175" i="10"/>
  <c r="AN261" i="10"/>
  <c r="AR259" i="10"/>
  <c r="AN170" i="10"/>
  <c r="AT218" i="10"/>
  <c r="AN183" i="10"/>
  <c r="AR258" i="10"/>
  <c r="AT153" i="10"/>
  <c r="AT187" i="10"/>
  <c r="AN110" i="10"/>
  <c r="AN216" i="10"/>
  <c r="AP115" i="10"/>
  <c r="AR139" i="10"/>
  <c r="AT243" i="10"/>
  <c r="AR169" i="10"/>
  <c r="AP242" i="10"/>
  <c r="AP189" i="10"/>
  <c r="AP229" i="10"/>
  <c r="AP214" i="10"/>
  <c r="AN88" i="10"/>
  <c r="AP35" i="10"/>
  <c r="AT92" i="10"/>
  <c r="AT113" i="10"/>
  <c r="AN207" i="10"/>
  <c r="AR72" i="10"/>
  <c r="AR107" i="10"/>
  <c r="AN60" i="10"/>
  <c r="AR42" i="10"/>
  <c r="AR29" i="10"/>
  <c r="AR59" i="10"/>
  <c r="AR45" i="10"/>
  <c r="AR43" i="10"/>
  <c r="AR230" i="10"/>
  <c r="AT226" i="10"/>
  <c r="AN11" i="10"/>
  <c r="AR15" i="10"/>
  <c r="AT211" i="10"/>
  <c r="AT158" i="10"/>
  <c r="AR127" i="10"/>
  <c r="AP205" i="10"/>
  <c r="AP199" i="10"/>
  <c r="AP244" i="10"/>
  <c r="AP37" i="10"/>
  <c r="AP104" i="10"/>
  <c r="AP60" i="10"/>
  <c r="AT56" i="10"/>
  <c r="AT41" i="10"/>
  <c r="AR228" i="10"/>
  <c r="AP215" i="10"/>
  <c r="AT127" i="10"/>
  <c r="AN166" i="10"/>
  <c r="AR199" i="10"/>
  <c r="AR121" i="10"/>
  <c r="AN154" i="10"/>
  <c r="AN89" i="10"/>
  <c r="AN104" i="10"/>
  <c r="AR78" i="10"/>
  <c r="AT207" i="10"/>
  <c r="AN46" i="10"/>
  <c r="AP96" i="10"/>
  <c r="AR60" i="10"/>
  <c r="AP14" i="10"/>
  <c r="AR14" i="10"/>
  <c r="AP121" i="10"/>
  <c r="AT241" i="10"/>
  <c r="AP245" i="10"/>
  <c r="AP154" i="10"/>
  <c r="AP89" i="10"/>
  <c r="AN105" i="10"/>
  <c r="AR104" i="10"/>
  <c r="AN90" i="10"/>
  <c r="AR48" i="10"/>
  <c r="AR41" i="10"/>
  <c r="AT206" i="10"/>
  <c r="AN256" i="10"/>
  <c r="AP175" i="10"/>
  <c r="AR188" i="10"/>
  <c r="AP144" i="10"/>
  <c r="AN136" i="10"/>
  <c r="AR212" i="10"/>
  <c r="AP161" i="10"/>
  <c r="AN143" i="10"/>
  <c r="AP160" i="10"/>
  <c r="AT234" i="10"/>
  <c r="AT154" i="10"/>
  <c r="AN125" i="10"/>
  <c r="AT74" i="10"/>
  <c r="AR77" i="10"/>
  <c r="AT93" i="10"/>
  <c r="AR90" i="10"/>
  <c r="AN81" i="10"/>
  <c r="AT64" i="10"/>
  <c r="AT63" i="10"/>
  <c r="AN217" i="10"/>
  <c r="AR185" i="10"/>
  <c r="AP204" i="10"/>
  <c r="AN123" i="10"/>
  <c r="AR125" i="10"/>
  <c r="AN71" i="10"/>
  <c r="AR73" i="10"/>
  <c r="AT62" i="10"/>
  <c r="AN75" i="10"/>
  <c r="AP81" i="10"/>
  <c r="AP44" i="10"/>
  <c r="AP28" i="10"/>
  <c r="AN213" i="10"/>
  <c r="AT181" i="10"/>
  <c r="AT188" i="10"/>
  <c r="AT157" i="10"/>
  <c r="AP146" i="10"/>
  <c r="AT94" i="10"/>
  <c r="AR44" i="10"/>
  <c r="AT32" i="10"/>
  <c r="AN185" i="10"/>
  <c r="AN141" i="10"/>
  <c r="AT212" i="10"/>
  <c r="AN184" i="10"/>
  <c r="AT248" i="10"/>
  <c r="AT247" i="10"/>
  <c r="AP192" i="10"/>
  <c r="AT186" i="10"/>
  <c r="AR136" i="10"/>
  <c r="AN220" i="10"/>
  <c r="AR203" i="10"/>
  <c r="AR74" i="10"/>
  <c r="AP58" i="10"/>
  <c r="AP259" i="10"/>
  <c r="AN233" i="10"/>
  <c r="AN153" i="10"/>
  <c r="AR141" i="10"/>
  <c r="AN187" i="10"/>
  <c r="AR152" i="10"/>
  <c r="AN122" i="10"/>
  <c r="AN243" i="10"/>
  <c r="AR109" i="10"/>
  <c r="AN94" i="10"/>
  <c r="AR71" i="10"/>
  <c r="AP87" i="10"/>
  <c r="AN168" i="10"/>
  <c r="AR75" i="10"/>
  <c r="AT112" i="10"/>
  <c r="AN29" i="10"/>
  <c r="AN59" i="10"/>
  <c r="AN45" i="10"/>
  <c r="AN211" i="10"/>
  <c r="AN202" i="10"/>
  <c r="AP166" i="10"/>
  <c r="AR65" i="10"/>
  <c r="AN26" i="10"/>
  <c r="AN201" i="10"/>
  <c r="AP72" i="10"/>
  <c r="AR181" i="10"/>
  <c r="AT202" i="10"/>
  <c r="AT129" i="10"/>
  <c r="AR64" i="10"/>
  <c r="AP26" i="10"/>
  <c r="AN76" i="10"/>
  <c r="AR56" i="10"/>
  <c r="AP97" i="10"/>
  <c r="AP147" i="10"/>
  <c r="AR243" i="10"/>
  <c r="AN218" i="10"/>
  <c r="AP95" i="10"/>
  <c r="AR81" i="10"/>
  <c r="AP257" i="10"/>
  <c r="AT121" i="10"/>
  <c r="AP230" i="10"/>
  <c r="AR189" i="10"/>
  <c r="AR82" i="10"/>
  <c r="AP207" i="10"/>
  <c r="AT260" i="10"/>
  <c r="AP265" i="10"/>
  <c r="AP241" i="10"/>
  <c r="AP228" i="10"/>
  <c r="AN151" i="10"/>
  <c r="AP174" i="10"/>
  <c r="AR207" i="10"/>
  <c r="AN44" i="10"/>
  <c r="AN30" i="10"/>
  <c r="AP127" i="10"/>
  <c r="AN176" i="10"/>
  <c r="AR244" i="10"/>
  <c r="AP74" i="10"/>
  <c r="AN112" i="10"/>
  <c r="AP36" i="10"/>
  <c r="AR122" i="10"/>
  <c r="AP176" i="10"/>
  <c r="AT140" i="10"/>
  <c r="AP126" i="10"/>
  <c r="AR123" i="10"/>
  <c r="AP20" i="10"/>
  <c r="AT203" i="10"/>
  <c r="AN51" i="10"/>
  <c r="AN52" i="10"/>
  <c r="AP248" i="10"/>
  <c r="AP247" i="10"/>
  <c r="AN169" i="10"/>
  <c r="AN177" i="10"/>
  <c r="AN43" i="10"/>
  <c r="AP108" i="10"/>
  <c r="AR206" i="10"/>
  <c r="AN232" i="10"/>
  <c r="AN245" i="10"/>
  <c r="AP190" i="10"/>
  <c r="AP139" i="10"/>
  <c r="AN234" i="10"/>
  <c r="AR32" i="10"/>
  <c r="AP177" i="10"/>
  <c r="AN33" i="10"/>
  <c r="AR20" i="10"/>
  <c r="AT22" i="10"/>
  <c r="AT14" i="10"/>
  <c r="AP12" i="10"/>
  <c r="AT16" i="10"/>
  <c r="AT12" i="10"/>
  <c r="AP16" i="10"/>
  <c r="AN12" i="10"/>
  <c r="AR12" i="10"/>
  <c r="AN17" i="10"/>
  <c r="AN15" i="10"/>
  <c r="AN22" i="10"/>
  <c r="AR11" i="10"/>
  <c r="AP22" i="10"/>
  <c r="AT11" i="10"/>
  <c r="AP11" i="10"/>
  <c r="AP17" i="10"/>
  <c r="AR17" i="10"/>
  <c r="AT19" i="10"/>
  <c r="AN19" i="10"/>
  <c r="AN13" i="10"/>
  <c r="AR22" i="10"/>
  <c r="AP19" i="10"/>
  <c r="AR19" i="10"/>
  <c r="AT13" i="10"/>
  <c r="AN18" i="10"/>
  <c r="AN21" i="10"/>
  <c r="AR13" i="10"/>
  <c r="AT18" i="10"/>
  <c r="AP21" i="10"/>
  <c r="AR18" i="10"/>
  <c r="AR21" i="10"/>
</calcChain>
</file>

<file path=xl/sharedStrings.xml><?xml version="1.0" encoding="utf-8"?>
<sst xmlns="http://schemas.openxmlformats.org/spreadsheetml/2006/main" count="1732" uniqueCount="71">
  <si>
    <t>Mesiac</t>
  </si>
  <si>
    <t>I</t>
  </si>
  <si>
    <t>II</t>
  </si>
  <si>
    <t>III</t>
  </si>
  <si>
    <t>IV</t>
  </si>
  <si>
    <t>X</t>
  </si>
  <si>
    <t>XI</t>
  </si>
  <si>
    <t>XII</t>
  </si>
  <si>
    <t>Sklon 30°</t>
  </si>
  <si>
    <t>Sklon 60°</t>
  </si>
  <si>
    <t>days</t>
  </si>
  <si>
    <t>hours</t>
  </si>
  <si>
    <t>horizontal</t>
  </si>
  <si>
    <t>kWh/m2</t>
  </si>
  <si>
    <t>W/m2</t>
  </si>
  <si>
    <t>South</t>
  </si>
  <si>
    <t>North</t>
  </si>
  <si>
    <t xml:space="preserve">East </t>
  </si>
  <si>
    <t>West</t>
  </si>
  <si>
    <t>East</t>
  </si>
  <si>
    <t>NITRA</t>
  </si>
  <si>
    <t>oblast 1</t>
  </si>
  <si>
    <t>V</t>
  </si>
  <si>
    <t>VI</t>
  </si>
  <si>
    <t>VII</t>
  </si>
  <si>
    <t>VIII</t>
  </si>
  <si>
    <t>IX</t>
  </si>
  <si>
    <t>SENICA 2</t>
  </si>
  <si>
    <t>Topolcany 2</t>
  </si>
  <si>
    <t>Piestany 1</t>
  </si>
  <si>
    <t>Zilina 2</t>
  </si>
  <si>
    <t>Dolny Kubin</t>
  </si>
  <si>
    <t>Banska Bystrica</t>
  </si>
  <si>
    <t>Trebisov</t>
  </si>
  <si>
    <t>Bardejov</t>
  </si>
  <si>
    <t>Presov</t>
  </si>
  <si>
    <t>Bratislava-letisko</t>
  </si>
  <si>
    <t>Košice-letisko</t>
  </si>
  <si>
    <t>Liptovský Mikuláš</t>
  </si>
  <si>
    <t>Oravská Lesná</t>
  </si>
  <si>
    <t>Poprad</t>
  </si>
  <si>
    <t>Rimavská Sobota</t>
  </si>
  <si>
    <t>Trenčian. Biskupice</t>
  </si>
  <si>
    <t>Horizontálna rovina</t>
  </si>
  <si>
    <t>month</t>
  </si>
  <si>
    <t>Intenzita slnečného žiarenia</t>
  </si>
  <si>
    <t>vypočítané pre vybrané klimatologické stanice na Slovensku za obdobie 1951 – 1980 v kWh/m².</t>
  </si>
  <si>
    <t>STN EN ISO 13790/NA: Tabuľka NA.8 – Priemerné mesačné sumy globálneho žiarenia na horizontálnu plochu (0°)</t>
  </si>
  <si>
    <t>kvoc</t>
  </si>
  <si>
    <t>Pri rozdiele nadmorskej výšky lokality umiestnenia budovy a nadmorskej výšky vybranej najbližšej stanice o viac ako 100 m sa uplatní vertikálny gradient poklesu globálneho žiarenia na vodorovnú plochu v teplom polroku (mesiace IV – IX) v % podľa tabuľky NA.9.</t>
  </si>
  <si>
    <t>Sklon 45° (interpolácia)</t>
  </si>
  <si>
    <t>pre teplotné oblasti I, II, III podľa rajonizácie na obr. NA.1 až NA.12</t>
  </si>
  <si>
    <t>STN EN ISO 13790/NA: Tabuľka NA.1 – Regresné vzťahy pre mesačný priemer vonkajšej teploty</t>
  </si>
  <si>
    <t>Mesačný priemer vonkajšej teploty</t>
  </si>
  <si>
    <t>Mesto</t>
  </si>
  <si>
    <t>Oblasť</t>
  </si>
  <si>
    <t>Topolcany</t>
  </si>
  <si>
    <t>Piestany</t>
  </si>
  <si>
    <t>Zilina</t>
  </si>
  <si>
    <t>Nitra</t>
  </si>
  <si>
    <r>
      <rPr>
        <b/>
        <sz val="11"/>
        <color theme="1"/>
        <rFont val="Calibri"/>
        <family val="2"/>
      </rPr>
      <t>θ</t>
    </r>
    <r>
      <rPr>
        <b/>
        <sz val="11"/>
        <color theme="1"/>
        <rFont val="Calibri"/>
        <family val="2"/>
        <scheme val="minor"/>
      </rPr>
      <t>e (°C)</t>
    </r>
  </si>
  <si>
    <t>Senica</t>
  </si>
  <si>
    <t>Nad. v. (m.n.m.)</t>
  </si>
  <si>
    <t>Trenč. Biskupice</t>
  </si>
  <si>
    <t>Sklon 90°</t>
  </si>
  <si>
    <t>oblast 2</t>
  </si>
  <si>
    <t xml:space="preserve">Topolcany </t>
  </si>
  <si>
    <t xml:space="preserve">Piestany </t>
  </si>
  <si>
    <t xml:space="preserve">Zilina </t>
  </si>
  <si>
    <t>oblasť 1</t>
  </si>
  <si>
    <t>oblast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</si>
</sst>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"/>
      <family val="2"/>
    </font>
    <font>
      <sz val="16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41">
    <xf numFmtId="0" fontId="0" fillId="0" borderId="0" xfId="0"/>
    <xf numFmtId="0" fontId="0" fillId="2" borderId="0" xfId="0" applyFill="1"/>
    <xf numFmtId="0" fontId="2" fillId="0" borderId="0" xfId="0" applyFont="1"/>
    <xf numFmtId="0" fontId="5" fillId="0" borderId="0" xfId="2" applyFont="1"/>
    <xf numFmtId="0" fontId="4" fillId="0" borderId="0" xfId="2"/>
    <xf numFmtId="0" fontId="4" fillId="0" borderId="0" xfId="2" applyAlignment="1">
      <alignment horizontal="center"/>
    </xf>
    <xf numFmtId="0" fontId="6" fillId="0" borderId="0" xfId="2" applyFont="1"/>
    <xf numFmtId="0" fontId="6" fillId="0" borderId="0" xfId="2" applyFont="1" applyAlignment="1">
      <alignment horizontal="center"/>
    </xf>
    <xf numFmtId="0" fontId="0" fillId="0" borderId="8" xfId="0" applyBorder="1" applyAlignment="1">
      <alignment horizontal="center"/>
    </xf>
    <xf numFmtId="165" fontId="4" fillId="0" borderId="0" xfId="2" applyNumberFormat="1" applyAlignment="1">
      <alignment horizontal="center"/>
    </xf>
    <xf numFmtId="165" fontId="4" fillId="0" borderId="0" xfId="2" applyNumberFormat="1"/>
    <xf numFmtId="0" fontId="4" fillId="0" borderId="1" xfId="2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2" applyFont="1" applyAlignment="1">
      <alignment horizontal="center"/>
    </xf>
    <xf numFmtId="0" fontId="10" fillId="0" borderId="0" xfId="2" applyFont="1"/>
    <xf numFmtId="0" fontId="11" fillId="0" borderId="0" xfId="2" applyFont="1"/>
    <xf numFmtId="0" fontId="11" fillId="0" borderId="0" xfId="2" applyFont="1" applyAlignment="1">
      <alignment horizontal="center"/>
    </xf>
    <xf numFmtId="0" fontId="9" fillId="2" borderId="0" xfId="2" applyFont="1" applyFill="1"/>
    <xf numFmtId="0" fontId="8" fillId="2" borderId="0" xfId="2" applyFont="1" applyFill="1"/>
    <xf numFmtId="0" fontId="8" fillId="2" borderId="0" xfId="2" applyFont="1" applyFill="1" applyAlignment="1">
      <alignment horizontal="center"/>
    </xf>
    <xf numFmtId="0" fontId="4" fillId="2" borderId="0" xfId="2" applyFill="1"/>
    <xf numFmtId="0" fontId="5" fillId="2" borderId="0" xfId="2" applyFont="1" applyFill="1"/>
    <xf numFmtId="0" fontId="4" fillId="0" borderId="1" xfId="2" applyBorder="1"/>
    <xf numFmtId="0" fontId="12" fillId="0" borderId="0" xfId="2" applyFont="1" applyAlignment="1">
      <alignment vertical="center" wrapText="1"/>
    </xf>
    <xf numFmtId="165" fontId="7" fillId="0" borderId="1" xfId="2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7" fillId="0" borderId="3" xfId="2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12" fillId="0" borderId="0" xfId="2" applyFont="1" applyAlignment="1">
      <alignment horizontal="left" vertical="center" wrapText="1"/>
    </xf>
    <xf numFmtId="0" fontId="7" fillId="0" borderId="7" xfId="2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6" fillId="0" borderId="0" xfId="2" applyFont="1" applyAlignment="1">
      <alignment horizontal="center"/>
    </xf>
    <xf numFmtId="0" fontId="4" fillId="0" borderId="0" xfId="2" applyAlignment="1">
      <alignment horizontal="left"/>
    </xf>
  </cellXfs>
  <cellStyles count="3">
    <cellStyle name="Čiarka 2" xfId="1" xr:uid="{00000000-0005-0000-0000-000000000000}"/>
    <cellStyle name="Normálna" xfId="0" builtinId="0"/>
    <cellStyle name="Normálne 2" xfId="2" xr:uid="{00000000-0005-0000-0000-000002000000}"/>
  </cellStyles>
  <dxfs count="0"/>
  <tableStyles count="0" defaultTableStyle="TableStyleMedium2" defaultPivotStyle="PivotStyleLight16"/>
  <colors>
    <mruColors>
      <color rgb="FF00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2.PP\EC\2016_02_EC%20RD%20Pat&#225;k_Novo&#357;\vypocet%20Pata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dentifikacia"/>
      <sheetName val="Geometria"/>
      <sheetName val="U"/>
      <sheetName val="Qh"/>
      <sheetName val="Qvyk"/>
      <sheetName val="Qtv"/>
      <sheetName val="Zdroj"/>
      <sheetName val="Bilancia"/>
      <sheetName val="TOB"/>
      <sheetName val="VYK"/>
      <sheetName val="TV"/>
      <sheetName val="Rekapitulácia"/>
      <sheetName val="Energia"/>
      <sheetName val="EPI, CO2"/>
      <sheetName val="Literatura"/>
      <sheetName val="zoznamy"/>
      <sheetName val="Intenz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Kusové drevo-kotol</v>
          </cell>
        </row>
      </sheetData>
      <sheetData sheetId="8">
        <row r="16">
          <cell r="AG1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B2" t="str">
            <v>jednorúrkový</v>
          </cell>
        </row>
        <row r="3">
          <cell r="A3" t="str">
            <v>Obvodová stena 1:</v>
          </cell>
          <cell r="C3" t="str">
            <v>Odpor pri prestupe tepla na vnútornom povrchu (vodorovne)</v>
          </cell>
          <cell r="F3" t="str">
            <v>Debnenie, vnútorné</v>
          </cell>
          <cell r="AB3" t="str">
            <v>dvojrúrkový</v>
          </cell>
        </row>
        <row r="4">
          <cell r="A4" t="str">
            <v>Obvodová stena 2:</v>
          </cell>
          <cell r="C4" t="str">
            <v>Odpor pri prestupe tepla na vnútornom povrchu (hore)</v>
          </cell>
          <cell r="F4" t="str">
            <v>Dlažba, keramická</v>
          </cell>
        </row>
        <row r="5">
          <cell r="A5" t="str">
            <v>Strecha 1:</v>
          </cell>
          <cell r="C5" t="str">
            <v>Odpor pri prestupe tepla na vnútornom povrchu (dolu)</v>
          </cell>
          <cell r="F5" t="str">
            <v>Doska, oceľobetónová</v>
          </cell>
        </row>
        <row r="6">
          <cell r="A6" t="str">
            <v>Strecha 2:</v>
          </cell>
          <cell r="C6" t="str">
            <v>Odpor pri prestupe tepla na vonkajšom povrchu</v>
          </cell>
          <cell r="F6" t="str">
            <v>Doska, drevená, mäkká (kolmo na vlákna)</v>
          </cell>
        </row>
        <row r="7">
          <cell r="A7" t="str">
            <v>Strop do podstrešného priestoru:</v>
          </cell>
          <cell r="F7" t="str">
            <v>Doska, drevovláknitá Hofatex</v>
          </cell>
        </row>
        <row r="8">
          <cell r="A8" t="str">
            <v>Podlaha nad nevykurovaným suterénom 1:</v>
          </cell>
          <cell r="F8" t="str">
            <v>Doska, drevotriesková</v>
          </cell>
        </row>
        <row r="9">
          <cell r="A9" t="str">
            <v>Podlaha nad nevykurovaným suterénom 2:</v>
          </cell>
          <cell r="F9" t="str">
            <v>Doska, laminátová</v>
          </cell>
        </row>
        <row r="10">
          <cell r="A10" t="str">
            <v>Podlaha na teréne podľa STN EN ISO 13370:</v>
          </cell>
          <cell r="F10" t="str">
            <v>Doska, plynosilikátová</v>
          </cell>
        </row>
        <row r="11">
          <cell r="F11" t="str">
            <v>Fólia, polyetylénová</v>
          </cell>
        </row>
        <row r="12">
          <cell r="F12" t="str">
            <v>Hydroizolácia</v>
          </cell>
        </row>
        <row r="13">
          <cell r="F13" t="str">
            <v>Izolácia, tepelná</v>
          </cell>
        </row>
        <row r="14">
          <cell r="F14" t="str">
            <v>Izolácia, tepelná, polystyrén EPS</v>
          </cell>
        </row>
        <row r="15">
          <cell r="F15" t="str">
            <v xml:space="preserve">Izolácia, tepelná kročajová tvrdená </v>
          </cell>
        </row>
        <row r="16">
          <cell r="F16" t="str">
            <v xml:space="preserve">Izolácia, tepelná tvrdená </v>
          </cell>
        </row>
        <row r="17">
          <cell r="F17" t="str">
            <v>Izolácia, tepelná, kamenná vlna</v>
          </cell>
        </row>
        <row r="18">
          <cell r="F18" t="str">
            <v>Izolácia, tepelná, minerálna vlna</v>
          </cell>
        </row>
        <row r="19">
          <cell r="F19" t="str">
            <v>Izolácia, tepelná, polyuretán, tuhý</v>
          </cell>
        </row>
        <row r="20">
          <cell r="F20" t="str">
            <v>Malta, lepiaca</v>
          </cell>
        </row>
        <row r="21">
          <cell r="F21" t="str">
            <v>Medzera, vzduchová odvetraná</v>
          </cell>
        </row>
        <row r="22">
          <cell r="F22" t="str">
            <v>Murivo, tehlové Porotherm Profi</v>
          </cell>
        </row>
        <row r="23">
          <cell r="F23" t="str">
            <v>Násyp, struskový</v>
          </cell>
        </row>
        <row r="24">
          <cell r="F24" t="str">
            <v>Obklad, drevený</v>
          </cell>
        </row>
        <row r="25">
          <cell r="F25" t="str">
            <v>Omietka, akrylátová</v>
          </cell>
        </row>
        <row r="26">
          <cell r="F26" t="str">
            <v>Omietka, silikátová</v>
          </cell>
        </row>
        <row r="27">
          <cell r="F27" t="str">
            <v>Omietka, vápenná</v>
          </cell>
        </row>
        <row r="28">
          <cell r="F28" t="str">
            <v>Omietka, vnútorná</v>
          </cell>
        </row>
        <row r="29">
          <cell r="F29" t="str">
            <v>Panel, obvodový, plynosilikátový</v>
          </cell>
        </row>
        <row r="30">
          <cell r="F30" t="str">
            <v>Panel, stropný, železobetónový</v>
          </cell>
        </row>
        <row r="31">
          <cell r="F31" t="str">
            <v>Parkety, drevené</v>
          </cell>
        </row>
        <row r="32">
          <cell r="F32" t="str">
            <v>Pena, podkladová</v>
          </cell>
        </row>
        <row r="33">
          <cell r="F33" t="str">
            <v>Poter, betónový</v>
          </cell>
        </row>
        <row r="34">
          <cell r="F34" t="str">
            <v>Rošt, drevený (mäkké drevo, tok rovnobežne s vláknami)</v>
          </cell>
        </row>
        <row r="35">
          <cell r="F35" t="str">
            <v>Sadrokartón</v>
          </cell>
        </row>
        <row r="36">
          <cell r="F36" t="str">
            <v>Štrk</v>
          </cell>
        </row>
        <row r="37">
          <cell r="F37" t="str">
            <v>Tvárnice, obvodové Ytong P-500</v>
          </cell>
        </row>
        <row r="38">
          <cell r="F38" t="str">
            <v>Vzduchová medzera 30mm (vodorovne)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0"/>
  <sheetViews>
    <sheetView tabSelected="1" zoomScale="130" zoomScaleNormal="130" workbookViewId="0">
      <selection activeCell="K13" sqref="K13"/>
    </sheetView>
  </sheetViews>
  <sheetFormatPr defaultRowHeight="14.4" x14ac:dyDescent="0.3"/>
  <cols>
    <col min="1" max="1" width="15.33203125" customWidth="1"/>
    <col min="2" max="2" width="16.88671875" style="30" bestFit="1" customWidth="1"/>
    <col min="3" max="3" width="11.109375" customWidth="1"/>
    <col min="4" max="4" width="7" bestFit="1" customWidth="1"/>
    <col min="5" max="5" width="1.88671875" customWidth="1"/>
    <col min="6" max="6" width="15.44140625" bestFit="1" customWidth="1"/>
    <col min="7" max="7" width="16.109375" style="30" bestFit="1" customWidth="1"/>
    <col min="9" max="9" width="7" bestFit="1" customWidth="1"/>
    <col min="10" max="10" width="1.6640625" customWidth="1"/>
    <col min="11" max="11" width="25.88671875" bestFit="1" customWidth="1"/>
    <col min="12" max="12" width="10.44140625" style="30" bestFit="1" customWidth="1"/>
    <col min="14" max="14" width="7" bestFit="1" customWidth="1"/>
    <col min="15" max="15" width="1.6640625" customWidth="1"/>
    <col min="16" max="16" width="15.44140625" bestFit="1" customWidth="1"/>
    <col min="17" max="17" width="17" style="30" bestFit="1" customWidth="1"/>
    <col min="19" max="19" width="7" bestFit="1" customWidth="1"/>
    <col min="20" max="20" width="1.6640625" customWidth="1"/>
    <col min="21" max="21" width="15.44140625" bestFit="1" customWidth="1"/>
    <col min="22" max="22" width="14.44140625" style="30" bestFit="1" customWidth="1"/>
    <col min="24" max="24" width="7" bestFit="1" customWidth="1"/>
  </cols>
  <sheetData>
    <row r="1" spans="1:24" ht="22.8" x14ac:dyDescent="0.4">
      <c r="A1" s="19" t="s">
        <v>53</v>
      </c>
      <c r="B1" s="31"/>
      <c r="C1" s="1"/>
      <c r="D1" s="1"/>
      <c r="E1" s="1"/>
      <c r="F1" s="1"/>
    </row>
    <row r="2" spans="1:24" x14ac:dyDescent="0.3">
      <c r="A2" s="2" t="s">
        <v>52</v>
      </c>
    </row>
    <row r="3" spans="1:24" x14ac:dyDescent="0.3">
      <c r="A3" s="2" t="s">
        <v>51</v>
      </c>
    </row>
    <row r="6" spans="1:24" x14ac:dyDescent="0.3">
      <c r="A6" t="s">
        <v>54</v>
      </c>
      <c r="B6" s="27" t="s">
        <v>59</v>
      </c>
      <c r="C6" s="27" t="s">
        <v>0</v>
      </c>
      <c r="D6" s="27" t="s">
        <v>60</v>
      </c>
      <c r="F6" t="s">
        <v>54</v>
      </c>
      <c r="G6" s="7" t="s">
        <v>61</v>
      </c>
      <c r="H6" s="27" t="s">
        <v>0</v>
      </c>
      <c r="I6" s="27" t="s">
        <v>60</v>
      </c>
      <c r="K6" t="s">
        <v>54</v>
      </c>
      <c r="L6" s="7" t="s">
        <v>56</v>
      </c>
      <c r="M6" s="27" t="s">
        <v>0</v>
      </c>
      <c r="N6" s="27" t="s">
        <v>60</v>
      </c>
      <c r="P6" t="s">
        <v>54</v>
      </c>
      <c r="Q6" s="7" t="s">
        <v>57</v>
      </c>
      <c r="R6" s="27" t="s">
        <v>0</v>
      </c>
      <c r="S6" s="27" t="s">
        <v>60</v>
      </c>
      <c r="U6" t="s">
        <v>54</v>
      </c>
      <c r="V6" s="7" t="s">
        <v>58</v>
      </c>
      <c r="W6" s="27" t="s">
        <v>0</v>
      </c>
      <c r="X6" s="27" t="s">
        <v>60</v>
      </c>
    </row>
    <row r="7" spans="1:24" x14ac:dyDescent="0.3">
      <c r="A7" t="s">
        <v>55</v>
      </c>
      <c r="B7" s="27">
        <v>1</v>
      </c>
      <c r="C7" s="28" t="s">
        <v>1</v>
      </c>
      <c r="D7" s="29">
        <f>-0.004*B$8-1.1</f>
        <v>-1.6400000000000001</v>
      </c>
      <c r="F7" t="s">
        <v>55</v>
      </c>
      <c r="G7" s="30">
        <v>2</v>
      </c>
      <c r="H7" s="28" t="s">
        <v>1</v>
      </c>
      <c r="I7" s="29">
        <f>-0.004*G$8-1.8</f>
        <v>-2.58</v>
      </c>
      <c r="K7" t="s">
        <v>55</v>
      </c>
      <c r="L7" s="30">
        <v>2</v>
      </c>
      <c r="M7" s="28" t="s">
        <v>1</v>
      </c>
      <c r="N7" s="29">
        <f>-0.004*L$8-1.8</f>
        <v>-2.5680000000000001</v>
      </c>
      <c r="P7" t="s">
        <v>55</v>
      </c>
      <c r="Q7" s="30">
        <v>1</v>
      </c>
      <c r="R7" s="28" t="s">
        <v>1</v>
      </c>
      <c r="S7" s="29">
        <f>-0.004*Q$8-1.1</f>
        <v>-1.7520000000000002</v>
      </c>
      <c r="U7" t="s">
        <v>55</v>
      </c>
      <c r="V7" s="30">
        <v>2</v>
      </c>
      <c r="W7" s="28" t="s">
        <v>1</v>
      </c>
      <c r="X7" s="29">
        <f>-0.004*V$8-1.8</f>
        <v>-3.26</v>
      </c>
    </row>
    <row r="8" spans="1:24" x14ac:dyDescent="0.3">
      <c r="A8" t="s">
        <v>62</v>
      </c>
      <c r="B8" s="27">
        <v>135</v>
      </c>
      <c r="C8" s="28" t="s">
        <v>2</v>
      </c>
      <c r="D8" s="29">
        <f>-0.005*B$8+1.3</f>
        <v>0.625</v>
      </c>
      <c r="F8" t="s">
        <v>62</v>
      </c>
      <c r="G8" s="27">
        <v>195</v>
      </c>
      <c r="H8" s="28" t="s">
        <v>2</v>
      </c>
      <c r="I8" s="29">
        <f>-0.005*G$8+0.6</f>
        <v>-0.375</v>
      </c>
      <c r="K8" t="s">
        <v>62</v>
      </c>
      <c r="L8" s="30">
        <v>192</v>
      </c>
      <c r="M8" s="28" t="s">
        <v>2</v>
      </c>
      <c r="N8" s="29">
        <f>-0.005*L$8+0.6</f>
        <v>-0.36</v>
      </c>
      <c r="P8" t="s">
        <v>62</v>
      </c>
      <c r="Q8" s="30">
        <v>163</v>
      </c>
      <c r="R8" s="28" t="s">
        <v>2</v>
      </c>
      <c r="S8" s="29">
        <f>-0.005*Q$8+1.3</f>
        <v>0.48499999999999999</v>
      </c>
      <c r="U8" t="s">
        <v>62</v>
      </c>
      <c r="V8" s="30">
        <v>365</v>
      </c>
      <c r="W8" s="28" t="s">
        <v>2</v>
      </c>
      <c r="X8" s="29">
        <f>-0.005*V$8+0.6</f>
        <v>-1.2250000000000001</v>
      </c>
    </row>
    <row r="9" spans="1:24" x14ac:dyDescent="0.3">
      <c r="C9" s="28" t="s">
        <v>3</v>
      </c>
      <c r="D9" s="29">
        <f>-0.006*B$8+6.2</f>
        <v>5.3900000000000006</v>
      </c>
      <c r="H9" s="28" t="s">
        <v>3</v>
      </c>
      <c r="I9" s="29">
        <f>-0.006*G$8+5.3</f>
        <v>4.13</v>
      </c>
      <c r="M9" s="28" t="s">
        <v>3</v>
      </c>
      <c r="N9" s="29">
        <f>-0.006*L$8+5.3</f>
        <v>4.1479999999999997</v>
      </c>
      <c r="R9" s="28" t="s">
        <v>3</v>
      </c>
      <c r="S9" s="29">
        <f>-0.006*Q$8+6.2</f>
        <v>5.2220000000000004</v>
      </c>
      <c r="W9" s="28" t="s">
        <v>3</v>
      </c>
      <c r="X9" s="29">
        <f>-0.006*V$8+5.3</f>
        <v>3.11</v>
      </c>
    </row>
    <row r="10" spans="1:24" x14ac:dyDescent="0.3">
      <c r="C10" s="28" t="s">
        <v>4</v>
      </c>
      <c r="D10" s="29">
        <f>-0.007*B$8+11.7</f>
        <v>10.754999999999999</v>
      </c>
      <c r="H10" s="28" t="s">
        <v>4</v>
      </c>
      <c r="I10" s="29">
        <f>-0.007*G$8+11.1</f>
        <v>9.7349999999999994</v>
      </c>
      <c r="M10" s="28" t="s">
        <v>4</v>
      </c>
      <c r="N10" s="29">
        <f>-0.007*L$8+11.1</f>
        <v>9.7560000000000002</v>
      </c>
      <c r="R10" s="28" t="s">
        <v>4</v>
      </c>
      <c r="S10" s="29">
        <f>-0.007*Q$8+11.7</f>
        <v>10.558999999999999</v>
      </c>
      <c r="W10" s="28" t="s">
        <v>4</v>
      </c>
      <c r="X10" s="29">
        <f>-0.007*V$8+11.1</f>
        <v>8.5449999999999999</v>
      </c>
    </row>
    <row r="11" spans="1:24" x14ac:dyDescent="0.3">
      <c r="C11" s="28" t="s">
        <v>22</v>
      </c>
      <c r="D11" s="29">
        <f>-0.007*B$8+16.6</f>
        <v>15.655000000000001</v>
      </c>
      <c r="H11" s="28" t="s">
        <v>22</v>
      </c>
      <c r="I11" s="29">
        <f>-0.007*G$8+16</f>
        <v>14.635</v>
      </c>
      <c r="M11" s="28" t="s">
        <v>22</v>
      </c>
      <c r="N11" s="29">
        <f>-0.007*L$8+16</f>
        <v>14.656000000000001</v>
      </c>
      <c r="R11" s="28" t="s">
        <v>22</v>
      </c>
      <c r="S11" s="29">
        <f>-0.007*Q$8+16.6</f>
        <v>15.459000000000001</v>
      </c>
      <c r="W11" s="28" t="s">
        <v>22</v>
      </c>
      <c r="X11" s="29">
        <f>-0.007*V$8+16</f>
        <v>13.445</v>
      </c>
    </row>
    <row r="12" spans="1:24" x14ac:dyDescent="0.3">
      <c r="C12" s="28" t="s">
        <v>23</v>
      </c>
      <c r="D12" s="29">
        <f>-0.0075*B$8+19.7</f>
        <v>18.6875</v>
      </c>
      <c r="H12" s="28" t="s">
        <v>23</v>
      </c>
      <c r="I12" s="29">
        <f>-0.0075*G$8+19.1</f>
        <v>17.637500000000003</v>
      </c>
      <c r="M12" s="28" t="s">
        <v>23</v>
      </c>
      <c r="N12" s="29">
        <f>-0.0075*L$8+19.1</f>
        <v>17.66</v>
      </c>
      <c r="R12" s="28" t="s">
        <v>23</v>
      </c>
      <c r="S12" s="29">
        <f>-0.0075*Q$8+19.7</f>
        <v>18.477499999999999</v>
      </c>
      <c r="W12" s="28" t="s">
        <v>23</v>
      </c>
      <c r="X12" s="29">
        <f>-0.0075*V$8+19.1</f>
        <v>16.362500000000001</v>
      </c>
    </row>
    <row r="13" spans="1:24" x14ac:dyDescent="0.3">
      <c r="C13" s="28" t="s">
        <v>24</v>
      </c>
      <c r="D13" s="29">
        <f>-0.0075*B$8+21.4</f>
        <v>20.387499999999999</v>
      </c>
      <c r="H13" s="28" t="s">
        <v>24</v>
      </c>
      <c r="I13" s="29">
        <f>-0.0075*G$8+20.7</f>
        <v>19.237500000000001</v>
      </c>
      <c r="M13" s="28" t="s">
        <v>24</v>
      </c>
      <c r="N13" s="29">
        <f>-0.0075*L$8+20.7</f>
        <v>19.259999999999998</v>
      </c>
      <c r="R13" s="28" t="s">
        <v>24</v>
      </c>
      <c r="S13" s="29">
        <f>-0.0075*Q$8+21.4</f>
        <v>20.177499999999998</v>
      </c>
      <c r="W13" s="28" t="s">
        <v>24</v>
      </c>
      <c r="X13" s="29">
        <f>-0.0075*V$8+20.7</f>
        <v>17.962499999999999</v>
      </c>
    </row>
    <row r="14" spans="1:24" x14ac:dyDescent="0.3">
      <c r="C14" s="28" t="s">
        <v>25</v>
      </c>
      <c r="D14" s="29">
        <f>-0.0075*B$8+20.8</f>
        <v>19.787500000000001</v>
      </c>
      <c r="H14" s="28" t="s">
        <v>25</v>
      </c>
      <c r="I14" s="29">
        <f>-0.0075*G$8+20.1</f>
        <v>18.637500000000003</v>
      </c>
      <c r="M14" s="28" t="s">
        <v>25</v>
      </c>
      <c r="N14" s="29">
        <f>-0.0075*L$8+20.1</f>
        <v>18.66</v>
      </c>
      <c r="R14" s="28" t="s">
        <v>25</v>
      </c>
      <c r="S14" s="29">
        <f>-0.0075*Q$8+20.8</f>
        <v>19.577500000000001</v>
      </c>
      <c r="W14" s="28" t="s">
        <v>25</v>
      </c>
      <c r="X14" s="29">
        <f>-0.0075*V$8+20.1</f>
        <v>17.362500000000001</v>
      </c>
    </row>
    <row r="15" spans="1:24" x14ac:dyDescent="0.3">
      <c r="C15" s="28" t="s">
        <v>26</v>
      </c>
      <c r="D15" s="29">
        <f>-0.0065*B$8+16.3</f>
        <v>15.422500000000001</v>
      </c>
      <c r="H15" s="28" t="s">
        <v>26</v>
      </c>
      <c r="I15" s="29">
        <f>-0.0065*G$8+15.7</f>
        <v>14.432499999999999</v>
      </c>
      <c r="M15" s="28" t="s">
        <v>26</v>
      </c>
      <c r="N15" s="29">
        <f>-0.0065*L$8+15.7</f>
        <v>14.452</v>
      </c>
      <c r="R15" s="28" t="s">
        <v>26</v>
      </c>
      <c r="S15" s="29">
        <f>-0.0065*Q$8+16.3</f>
        <v>15.240500000000001</v>
      </c>
      <c r="W15" s="28" t="s">
        <v>26</v>
      </c>
      <c r="X15" s="29">
        <f>-0.0065*V$8+15.7</f>
        <v>13.327499999999999</v>
      </c>
    </row>
    <row r="16" spans="1:24" x14ac:dyDescent="0.3">
      <c r="C16" s="28" t="s">
        <v>5</v>
      </c>
      <c r="D16" s="29">
        <f>-0.005*B$8+10.7</f>
        <v>10.024999999999999</v>
      </c>
      <c r="H16" s="28" t="s">
        <v>5</v>
      </c>
      <c r="I16" s="29">
        <f>-0.005*G$8+10.2</f>
        <v>9.2249999999999996</v>
      </c>
      <c r="M16" s="28" t="s">
        <v>5</v>
      </c>
      <c r="N16" s="29">
        <f>-0.005*L$8+10.2</f>
        <v>9.2399999999999984</v>
      </c>
      <c r="R16" s="28" t="s">
        <v>5</v>
      </c>
      <c r="S16" s="29">
        <f>-0.005*Q$8+10.7</f>
        <v>9.8849999999999998</v>
      </c>
      <c r="W16" s="28" t="s">
        <v>5</v>
      </c>
      <c r="X16" s="29">
        <f>-0.005*V$8+10.2</f>
        <v>8.375</v>
      </c>
    </row>
    <row r="17" spans="1:24" x14ac:dyDescent="0.3">
      <c r="C17" s="28" t="s">
        <v>6</v>
      </c>
      <c r="D17" s="29">
        <f>-0.0045*B$8+5.1</f>
        <v>4.4924999999999997</v>
      </c>
      <c r="H17" s="28" t="s">
        <v>6</v>
      </c>
      <c r="I17" s="29">
        <f>-0.0045*G$8+4.7</f>
        <v>3.8225000000000002</v>
      </c>
      <c r="M17" s="28" t="s">
        <v>6</v>
      </c>
      <c r="N17" s="29">
        <f>-0.0045*L$8+4.7</f>
        <v>3.8360000000000003</v>
      </c>
      <c r="R17" s="28" t="s">
        <v>6</v>
      </c>
      <c r="S17" s="29">
        <f>-0.0045*Q$8+5.1</f>
        <v>4.3664999999999994</v>
      </c>
      <c r="W17" s="28" t="s">
        <v>6</v>
      </c>
      <c r="X17" s="29">
        <f>-0.0045*V$8+4.7</f>
        <v>3.0575000000000001</v>
      </c>
    </row>
    <row r="18" spans="1:24" x14ac:dyDescent="0.3">
      <c r="C18" s="28" t="s">
        <v>7</v>
      </c>
      <c r="D18" s="29">
        <f>-0.0045*B$8+0.5</f>
        <v>-0.10749999999999993</v>
      </c>
      <c r="H18" s="28" t="s">
        <v>7</v>
      </c>
      <c r="I18" s="29">
        <f>-0.0045*G$8+0.1</f>
        <v>-0.77749999999999997</v>
      </c>
      <c r="M18" s="28" t="s">
        <v>7</v>
      </c>
      <c r="N18" s="29">
        <f>-0.0045*L$8+0.1</f>
        <v>-0.7639999999999999</v>
      </c>
      <c r="R18" s="28" t="s">
        <v>7</v>
      </c>
      <c r="S18" s="29">
        <f>-0.0045*Q$8+0.5</f>
        <v>-0.23349999999999993</v>
      </c>
      <c r="W18" s="28" t="s">
        <v>7</v>
      </c>
      <c r="X18" s="29">
        <f>-0.0045*V$8+0.1</f>
        <v>-1.5424999999999998</v>
      </c>
    </row>
    <row r="20" spans="1:24" x14ac:dyDescent="0.3">
      <c r="A20" t="s">
        <v>54</v>
      </c>
      <c r="B20" s="7" t="s">
        <v>31</v>
      </c>
      <c r="C20" s="27" t="s">
        <v>0</v>
      </c>
      <c r="D20" s="27" t="s">
        <v>60</v>
      </c>
      <c r="F20" t="s">
        <v>54</v>
      </c>
      <c r="G20" s="7" t="s">
        <v>32</v>
      </c>
      <c r="H20" s="27" t="s">
        <v>0</v>
      </c>
      <c r="I20" s="27" t="s">
        <v>60</v>
      </c>
      <c r="K20" t="s">
        <v>54</v>
      </c>
      <c r="L20" s="7" t="s">
        <v>33</v>
      </c>
      <c r="M20" s="27" t="s">
        <v>0</v>
      </c>
      <c r="N20" s="27" t="s">
        <v>60</v>
      </c>
      <c r="P20" t="s">
        <v>54</v>
      </c>
      <c r="Q20" s="7" t="s">
        <v>34</v>
      </c>
      <c r="R20" s="27" t="s">
        <v>0</v>
      </c>
      <c r="S20" s="27" t="s">
        <v>60</v>
      </c>
      <c r="U20" t="s">
        <v>54</v>
      </c>
      <c r="V20" s="7" t="s">
        <v>35</v>
      </c>
      <c r="W20" s="27" t="s">
        <v>0</v>
      </c>
      <c r="X20" s="27" t="s">
        <v>60</v>
      </c>
    </row>
    <row r="21" spans="1:24" x14ac:dyDescent="0.3">
      <c r="A21" t="s">
        <v>55</v>
      </c>
      <c r="B21" s="7">
        <v>2</v>
      </c>
      <c r="C21" s="28" t="s">
        <v>1</v>
      </c>
      <c r="D21" s="29">
        <f>-0.004*B$22-1.8</f>
        <v>-3.6720000000000002</v>
      </c>
      <c r="F21" t="s">
        <v>55</v>
      </c>
      <c r="G21" s="7">
        <v>2</v>
      </c>
      <c r="H21" s="28" t="s">
        <v>1</v>
      </c>
      <c r="I21" s="29">
        <f>-0.004*G$22-1.8</f>
        <v>-3.516</v>
      </c>
      <c r="K21" t="s">
        <v>55</v>
      </c>
      <c r="L21" s="7">
        <v>2</v>
      </c>
      <c r="M21" s="28" t="s">
        <v>1</v>
      </c>
      <c r="N21" s="29">
        <f>-0.004*L$22-1.8</f>
        <v>-2.2200000000000002</v>
      </c>
      <c r="P21" t="s">
        <v>55</v>
      </c>
      <c r="Q21" s="7">
        <v>2</v>
      </c>
      <c r="R21" s="28" t="s">
        <v>1</v>
      </c>
      <c r="S21" s="29">
        <f>-0.004*Q$22-1.8</f>
        <v>-3.02</v>
      </c>
      <c r="U21" t="s">
        <v>55</v>
      </c>
      <c r="V21" s="7">
        <v>2</v>
      </c>
      <c r="W21" s="28" t="s">
        <v>1</v>
      </c>
      <c r="X21" s="29">
        <f>-0.004*V$22-1.8</f>
        <v>-3.028</v>
      </c>
    </row>
    <row r="22" spans="1:24" x14ac:dyDescent="0.3">
      <c r="A22" t="s">
        <v>62</v>
      </c>
      <c r="B22" s="30">
        <v>468</v>
      </c>
      <c r="C22" s="28" t="s">
        <v>2</v>
      </c>
      <c r="D22" s="29">
        <f>-0.005*B$22+0.6</f>
        <v>-1.7399999999999998</v>
      </c>
      <c r="F22" t="s">
        <v>62</v>
      </c>
      <c r="G22" s="30">
        <v>429</v>
      </c>
      <c r="H22" s="28" t="s">
        <v>2</v>
      </c>
      <c r="I22" s="29">
        <f>-0.005*G$22+0.6</f>
        <v>-1.5449999999999999</v>
      </c>
      <c r="K22" t="s">
        <v>62</v>
      </c>
      <c r="L22" s="30">
        <v>105</v>
      </c>
      <c r="M22" s="28" t="s">
        <v>2</v>
      </c>
      <c r="N22" s="29">
        <f>-0.005*L$22+0.6</f>
        <v>7.4999999999999956E-2</v>
      </c>
      <c r="P22" t="s">
        <v>62</v>
      </c>
      <c r="Q22" s="30">
        <v>305</v>
      </c>
      <c r="R22" s="28" t="s">
        <v>2</v>
      </c>
      <c r="S22" s="29">
        <f>-0.005*Q$22+0.6</f>
        <v>-0.92500000000000016</v>
      </c>
      <c r="U22" t="s">
        <v>62</v>
      </c>
      <c r="V22" s="30">
        <v>307</v>
      </c>
      <c r="W22" s="28" t="s">
        <v>2</v>
      </c>
      <c r="X22" s="29">
        <f>-0.005*V$22+0.6</f>
        <v>-0.93500000000000016</v>
      </c>
    </row>
    <row r="23" spans="1:24" x14ac:dyDescent="0.3">
      <c r="C23" s="28" t="s">
        <v>3</v>
      </c>
      <c r="D23" s="29">
        <f>-0.006*B$22+5.3</f>
        <v>2.4919999999999995</v>
      </c>
      <c r="H23" s="28" t="s">
        <v>3</v>
      </c>
      <c r="I23" s="29">
        <f>-0.006*G$22+5.3</f>
        <v>2.726</v>
      </c>
      <c r="M23" s="28" t="s">
        <v>3</v>
      </c>
      <c r="N23" s="29">
        <f>-0.006*L$22+5.3</f>
        <v>4.67</v>
      </c>
      <c r="R23" s="28" t="s">
        <v>3</v>
      </c>
      <c r="S23" s="29">
        <f>-0.006*Q$22+5.3</f>
        <v>3.4699999999999998</v>
      </c>
      <c r="W23" s="28" t="s">
        <v>3</v>
      </c>
      <c r="X23" s="29">
        <f>-0.006*V$22+5.3</f>
        <v>3.4579999999999997</v>
      </c>
    </row>
    <row r="24" spans="1:24" x14ac:dyDescent="0.3">
      <c r="C24" s="28" t="s">
        <v>4</v>
      </c>
      <c r="D24" s="29">
        <f>-0.007*B$22+11.1</f>
        <v>7.8239999999999998</v>
      </c>
      <c r="H24" s="28" t="s">
        <v>4</v>
      </c>
      <c r="I24" s="29">
        <f>-0.007*G$22+11.1</f>
        <v>8.0969999999999995</v>
      </c>
      <c r="M24" s="28" t="s">
        <v>4</v>
      </c>
      <c r="N24" s="29">
        <f>-0.007*L$22+11.1</f>
        <v>10.365</v>
      </c>
      <c r="R24" s="28" t="s">
        <v>4</v>
      </c>
      <c r="S24" s="29">
        <f>-0.007*Q$22+11.1</f>
        <v>8.9649999999999999</v>
      </c>
      <c r="W24" s="28" t="s">
        <v>4</v>
      </c>
      <c r="X24" s="29">
        <f>-0.007*V$22+11.1</f>
        <v>8.9510000000000005</v>
      </c>
    </row>
    <row r="25" spans="1:24" x14ac:dyDescent="0.3">
      <c r="C25" s="28" t="s">
        <v>22</v>
      </c>
      <c r="D25" s="29">
        <f>-0.007*B$22+16</f>
        <v>12.724</v>
      </c>
      <c r="H25" s="28" t="s">
        <v>22</v>
      </c>
      <c r="I25" s="29">
        <f>-0.007*G$22+16</f>
        <v>12.997</v>
      </c>
      <c r="M25" s="28" t="s">
        <v>22</v>
      </c>
      <c r="N25" s="29">
        <f>-0.007*L$22+16</f>
        <v>15.265000000000001</v>
      </c>
      <c r="R25" s="28" t="s">
        <v>22</v>
      </c>
      <c r="S25" s="29">
        <f>-0.007*Q$22+16</f>
        <v>13.865</v>
      </c>
      <c r="W25" s="28" t="s">
        <v>22</v>
      </c>
      <c r="X25" s="29">
        <f>-0.007*V$22+16</f>
        <v>13.850999999999999</v>
      </c>
    </row>
    <row r="26" spans="1:24" x14ac:dyDescent="0.3">
      <c r="C26" s="28" t="s">
        <v>23</v>
      </c>
      <c r="D26" s="29">
        <f>-0.0075*B$22+19.1</f>
        <v>15.590000000000002</v>
      </c>
      <c r="H26" s="28" t="s">
        <v>23</v>
      </c>
      <c r="I26" s="29">
        <f>-0.0075*G$22+19.1</f>
        <v>15.882500000000002</v>
      </c>
      <c r="M26" s="28" t="s">
        <v>23</v>
      </c>
      <c r="N26" s="29">
        <f>-0.0075*L$22+19.1</f>
        <v>18.3125</v>
      </c>
      <c r="R26" s="28" t="s">
        <v>23</v>
      </c>
      <c r="S26" s="29">
        <f>-0.0075*Q$22+19.1</f>
        <v>16.8125</v>
      </c>
      <c r="W26" s="28" t="s">
        <v>23</v>
      </c>
      <c r="X26" s="29">
        <f>-0.0075*V$22+19.1</f>
        <v>16.797500000000003</v>
      </c>
    </row>
    <row r="27" spans="1:24" x14ac:dyDescent="0.3">
      <c r="C27" s="28" t="s">
        <v>24</v>
      </c>
      <c r="D27" s="29">
        <f>-0.0075*B$22+20.7</f>
        <v>17.189999999999998</v>
      </c>
      <c r="H27" s="28" t="s">
        <v>24</v>
      </c>
      <c r="I27" s="29">
        <f>-0.0075*G$22+20.7</f>
        <v>17.482499999999998</v>
      </c>
      <c r="M27" s="28" t="s">
        <v>24</v>
      </c>
      <c r="N27" s="29">
        <f>-0.0075*L$22+20.7</f>
        <v>19.912499999999998</v>
      </c>
      <c r="R27" s="28" t="s">
        <v>24</v>
      </c>
      <c r="S27" s="29">
        <f>-0.0075*Q$22+20.7</f>
        <v>18.412499999999998</v>
      </c>
      <c r="W27" s="28" t="s">
        <v>24</v>
      </c>
      <c r="X27" s="29">
        <f>-0.0075*V$22+20.7</f>
        <v>18.397500000000001</v>
      </c>
    </row>
    <row r="28" spans="1:24" x14ac:dyDescent="0.3">
      <c r="C28" s="28" t="s">
        <v>25</v>
      </c>
      <c r="D28" s="29">
        <f>-0.0075*B$22+20.1</f>
        <v>16.590000000000003</v>
      </c>
      <c r="H28" s="28" t="s">
        <v>25</v>
      </c>
      <c r="I28" s="29">
        <f>-0.0075*G$22+20.1</f>
        <v>16.8825</v>
      </c>
      <c r="M28" s="28" t="s">
        <v>25</v>
      </c>
      <c r="N28" s="29">
        <f>-0.0075*L$22+20.1</f>
        <v>19.3125</v>
      </c>
      <c r="R28" s="28" t="s">
        <v>25</v>
      </c>
      <c r="S28" s="29">
        <f>-0.0075*Q$22+20.1</f>
        <v>17.8125</v>
      </c>
      <c r="W28" s="28" t="s">
        <v>25</v>
      </c>
      <c r="X28" s="29">
        <f>-0.0075*V$22+20.1</f>
        <v>17.797500000000003</v>
      </c>
    </row>
    <row r="29" spans="1:24" x14ac:dyDescent="0.3">
      <c r="C29" s="28" t="s">
        <v>26</v>
      </c>
      <c r="D29" s="29">
        <f>-0.0065*B$22+15.7</f>
        <v>12.657999999999999</v>
      </c>
      <c r="H29" s="28" t="s">
        <v>26</v>
      </c>
      <c r="I29" s="29">
        <f>-0.0065*G$22+15.7</f>
        <v>12.9115</v>
      </c>
      <c r="M29" s="28" t="s">
        <v>26</v>
      </c>
      <c r="N29" s="29">
        <f>-0.0065*L$22+15.7</f>
        <v>15.0175</v>
      </c>
      <c r="R29" s="28" t="s">
        <v>26</v>
      </c>
      <c r="S29" s="29">
        <f>-0.0065*Q$22+15.7</f>
        <v>13.717499999999999</v>
      </c>
      <c r="W29" s="28" t="s">
        <v>26</v>
      </c>
      <c r="X29" s="29">
        <f>-0.0065*V$22+15.7</f>
        <v>13.704499999999999</v>
      </c>
    </row>
    <row r="30" spans="1:24" x14ac:dyDescent="0.3">
      <c r="C30" s="28" t="s">
        <v>5</v>
      </c>
      <c r="D30" s="29">
        <f>-0.005*B$22+10.2</f>
        <v>7.8599999999999994</v>
      </c>
      <c r="H30" s="28" t="s">
        <v>5</v>
      </c>
      <c r="I30" s="29">
        <f>-0.005*G$22+10.2</f>
        <v>8.0549999999999997</v>
      </c>
      <c r="M30" s="28" t="s">
        <v>5</v>
      </c>
      <c r="N30" s="29">
        <f>-0.005*L$22+10.2</f>
        <v>9.6749999999999989</v>
      </c>
      <c r="R30" s="28" t="s">
        <v>5</v>
      </c>
      <c r="S30" s="29">
        <f>-0.005*Q$22+10.2</f>
        <v>8.6749999999999989</v>
      </c>
      <c r="W30" s="28" t="s">
        <v>5</v>
      </c>
      <c r="X30" s="29">
        <f>-0.005*V$22+10.2</f>
        <v>8.6649999999999991</v>
      </c>
    </row>
    <row r="31" spans="1:24" x14ac:dyDescent="0.3">
      <c r="C31" s="28" t="s">
        <v>6</v>
      </c>
      <c r="D31" s="29">
        <f>-0.0045*B$22+4.7</f>
        <v>2.5940000000000003</v>
      </c>
      <c r="H31" s="28" t="s">
        <v>6</v>
      </c>
      <c r="I31" s="29">
        <f>-0.0045*G$22+4.7</f>
        <v>2.7695000000000003</v>
      </c>
      <c r="M31" s="28" t="s">
        <v>6</v>
      </c>
      <c r="N31" s="29">
        <f>-0.0045*L$22+4.7</f>
        <v>4.2275</v>
      </c>
      <c r="R31" s="28" t="s">
        <v>6</v>
      </c>
      <c r="S31" s="29">
        <f>-0.0045*Q$22+4.7</f>
        <v>3.3275000000000006</v>
      </c>
      <c r="W31" s="28" t="s">
        <v>6</v>
      </c>
      <c r="X31" s="29">
        <f>-0.0045*V$22+4.7</f>
        <v>3.3185000000000002</v>
      </c>
    </row>
    <row r="32" spans="1:24" x14ac:dyDescent="0.3">
      <c r="C32" s="28" t="s">
        <v>7</v>
      </c>
      <c r="D32" s="29">
        <f>-0.0045*B$22+0.1</f>
        <v>-2.0059999999999998</v>
      </c>
      <c r="H32" s="28" t="s">
        <v>7</v>
      </c>
      <c r="I32" s="29">
        <f>-0.0045*G$22+0.1</f>
        <v>-1.8304999999999998</v>
      </c>
      <c r="M32" s="28" t="s">
        <v>7</v>
      </c>
      <c r="N32" s="29">
        <f>-0.0045*L$22+0.1</f>
        <v>-0.37249999999999994</v>
      </c>
      <c r="R32" s="28" t="s">
        <v>7</v>
      </c>
      <c r="S32" s="29">
        <f>-0.0045*Q$22+0.1</f>
        <v>-1.2724999999999997</v>
      </c>
      <c r="W32" s="28" t="s">
        <v>7</v>
      </c>
      <c r="X32" s="29">
        <f>-0.0045*V$22+0.1</f>
        <v>-1.2814999999999999</v>
      </c>
    </row>
    <row r="33" spans="1:24" x14ac:dyDescent="0.3">
      <c r="F33" s="4"/>
    </row>
    <row r="34" spans="1:24" x14ac:dyDescent="0.3">
      <c r="A34" t="s">
        <v>54</v>
      </c>
      <c r="B34" s="7" t="s">
        <v>36</v>
      </c>
      <c r="C34" s="27" t="s">
        <v>0</v>
      </c>
      <c r="D34" s="27" t="s">
        <v>60</v>
      </c>
      <c r="F34" t="s">
        <v>54</v>
      </c>
      <c r="G34" s="7" t="s">
        <v>37</v>
      </c>
      <c r="H34" s="27" t="s">
        <v>0</v>
      </c>
      <c r="I34" s="27" t="s">
        <v>60</v>
      </c>
      <c r="K34" t="s">
        <v>54</v>
      </c>
      <c r="L34" s="7" t="s">
        <v>40</v>
      </c>
      <c r="M34" s="27" t="s">
        <v>0</v>
      </c>
      <c r="N34" s="27" t="s">
        <v>60</v>
      </c>
      <c r="P34" t="s">
        <v>54</v>
      </c>
      <c r="Q34" s="7" t="s">
        <v>38</v>
      </c>
      <c r="R34" s="27" t="s">
        <v>0</v>
      </c>
      <c r="S34" s="27" t="s">
        <v>60</v>
      </c>
      <c r="U34" t="s">
        <v>54</v>
      </c>
      <c r="V34" s="7" t="s">
        <v>39</v>
      </c>
      <c r="W34" s="27" t="s">
        <v>0</v>
      </c>
      <c r="X34" s="27" t="s">
        <v>60</v>
      </c>
    </row>
    <row r="35" spans="1:24" x14ac:dyDescent="0.3">
      <c r="A35" t="s">
        <v>55</v>
      </c>
      <c r="B35" s="7">
        <v>1</v>
      </c>
      <c r="C35" s="28" t="s">
        <v>1</v>
      </c>
      <c r="D35" s="29">
        <f>-0.004*B$36-1.1</f>
        <v>-1.6320000000000001</v>
      </c>
      <c r="F35" t="s">
        <v>55</v>
      </c>
      <c r="G35" s="7">
        <v>2</v>
      </c>
      <c r="H35" s="28" t="s">
        <v>1</v>
      </c>
      <c r="I35" s="29">
        <f>-0.004*G$36-1.8</f>
        <v>-2.72</v>
      </c>
      <c r="K35" t="s">
        <v>55</v>
      </c>
      <c r="L35" s="7">
        <v>3</v>
      </c>
      <c r="M35" s="28" t="s">
        <v>1</v>
      </c>
      <c r="N35" s="29">
        <f>-0.004*L$36-2.5</f>
        <v>-5.2759999999999998</v>
      </c>
      <c r="P35" t="s">
        <v>55</v>
      </c>
      <c r="Q35" s="7">
        <v>2</v>
      </c>
      <c r="R35" s="28" t="s">
        <v>1</v>
      </c>
      <c r="S35" s="29">
        <f>-0.004*Q$36-1.8</f>
        <v>-4.0760000000000005</v>
      </c>
      <c r="U35" t="s">
        <v>55</v>
      </c>
      <c r="V35" s="7">
        <v>3</v>
      </c>
      <c r="W35" s="28" t="s">
        <v>1</v>
      </c>
      <c r="X35" s="29">
        <f>-0.004*V$36-2.5</f>
        <v>-5.62</v>
      </c>
    </row>
    <row r="36" spans="1:24" x14ac:dyDescent="0.3">
      <c r="A36" t="s">
        <v>62</v>
      </c>
      <c r="B36" s="30">
        <v>133</v>
      </c>
      <c r="C36" s="28" t="s">
        <v>2</v>
      </c>
      <c r="D36" s="29">
        <f>-0.005*B$36+1.3</f>
        <v>0.63500000000000001</v>
      </c>
      <c r="F36" t="s">
        <v>62</v>
      </c>
      <c r="G36" s="30">
        <v>230</v>
      </c>
      <c r="H36" s="28" t="s">
        <v>2</v>
      </c>
      <c r="I36" s="29">
        <f>-0.005*G$36+0.6</f>
        <v>-0.55000000000000016</v>
      </c>
      <c r="K36" t="s">
        <v>62</v>
      </c>
      <c r="L36" s="30">
        <v>694</v>
      </c>
      <c r="M36" s="28" t="s">
        <v>2</v>
      </c>
      <c r="N36" s="29">
        <f>-0.005*L$36-0.1</f>
        <v>-3.5700000000000003</v>
      </c>
      <c r="P36" t="s">
        <v>62</v>
      </c>
      <c r="Q36" s="30">
        <v>569</v>
      </c>
      <c r="R36" s="28" t="s">
        <v>2</v>
      </c>
      <c r="S36" s="29">
        <f>-0.005*Q$36+0.6</f>
        <v>-2.2450000000000001</v>
      </c>
      <c r="U36" t="s">
        <v>62</v>
      </c>
      <c r="V36" s="30">
        <v>780</v>
      </c>
      <c r="W36" s="28" t="s">
        <v>2</v>
      </c>
      <c r="X36" s="29">
        <f>-0.005*V$36-0.1</f>
        <v>-4</v>
      </c>
    </row>
    <row r="37" spans="1:24" x14ac:dyDescent="0.3">
      <c r="C37" s="28" t="s">
        <v>3</v>
      </c>
      <c r="D37" s="29">
        <f>-0.006*B$36+6.2</f>
        <v>5.4020000000000001</v>
      </c>
      <c r="H37" s="28" t="s">
        <v>3</v>
      </c>
      <c r="I37" s="29">
        <f>-0.006*G$36+5.3</f>
        <v>3.92</v>
      </c>
      <c r="M37" s="28" t="s">
        <v>3</v>
      </c>
      <c r="N37" s="29">
        <f>-0.006*L$36+4.4</f>
        <v>0.23600000000000065</v>
      </c>
      <c r="R37" s="28" t="s">
        <v>3</v>
      </c>
      <c r="S37" s="29">
        <f>-0.006*Q$36+5.3</f>
        <v>1.8859999999999997</v>
      </c>
      <c r="W37" s="28" t="s">
        <v>3</v>
      </c>
      <c r="X37" s="29">
        <f>-0.006*V$36+4.4</f>
        <v>-0.27999999999999936</v>
      </c>
    </row>
    <row r="38" spans="1:24" x14ac:dyDescent="0.3">
      <c r="C38" s="28" t="s">
        <v>4</v>
      </c>
      <c r="D38" s="29">
        <f>-0.007*B$36+11.7</f>
        <v>10.768999999999998</v>
      </c>
      <c r="H38" s="28" t="s">
        <v>4</v>
      </c>
      <c r="I38" s="29">
        <f>-0.007*G$36+11.1</f>
        <v>9.49</v>
      </c>
      <c r="M38" s="28" t="s">
        <v>4</v>
      </c>
      <c r="N38" s="29">
        <f>-0.007*L$36+10.4</f>
        <v>5.5419999999999998</v>
      </c>
      <c r="R38" s="28" t="s">
        <v>4</v>
      </c>
      <c r="S38" s="29">
        <f>-0.007*Q$36+11.1</f>
        <v>7.1169999999999991</v>
      </c>
      <c r="W38" s="28" t="s">
        <v>4</v>
      </c>
      <c r="X38" s="29">
        <f>-0.007*V$36+10.4</f>
        <v>4.9400000000000004</v>
      </c>
    </row>
    <row r="39" spans="1:24" x14ac:dyDescent="0.3">
      <c r="C39" s="28" t="s">
        <v>22</v>
      </c>
      <c r="D39" s="29">
        <f>-0.007*B$36+16.6</f>
        <v>15.669</v>
      </c>
      <c r="H39" s="28" t="s">
        <v>22</v>
      </c>
      <c r="I39" s="29">
        <f>-0.007*G$36+16</f>
        <v>14.39</v>
      </c>
      <c r="M39" s="28" t="s">
        <v>22</v>
      </c>
      <c r="N39" s="29">
        <f>-0.007*L$36+15.4</f>
        <v>10.542</v>
      </c>
      <c r="R39" s="28" t="s">
        <v>22</v>
      </c>
      <c r="S39" s="29">
        <f>-0.007*Q$36+16</f>
        <v>12.016999999999999</v>
      </c>
      <c r="W39" s="28" t="s">
        <v>22</v>
      </c>
      <c r="X39" s="29">
        <f>-0.007*V$36+15.4</f>
        <v>9.9400000000000013</v>
      </c>
    </row>
    <row r="40" spans="1:24" x14ac:dyDescent="0.3">
      <c r="C40" s="28" t="s">
        <v>23</v>
      </c>
      <c r="D40" s="29">
        <f>-0.0075*B$36+19.7</f>
        <v>18.702500000000001</v>
      </c>
      <c r="H40" s="28" t="s">
        <v>23</v>
      </c>
      <c r="I40" s="29">
        <f>-0.0075*G$36+19.1</f>
        <v>17.375</v>
      </c>
      <c r="M40" s="28" t="s">
        <v>23</v>
      </c>
      <c r="N40" s="29">
        <f>-0.0075*L$36+18.5</f>
        <v>13.295</v>
      </c>
      <c r="R40" s="28" t="s">
        <v>23</v>
      </c>
      <c r="S40" s="29">
        <f>-0.0075*Q$36+19.1</f>
        <v>14.832500000000001</v>
      </c>
      <c r="W40" s="28" t="s">
        <v>23</v>
      </c>
      <c r="X40" s="29">
        <f>-0.0075*V$36+18.5</f>
        <v>12.65</v>
      </c>
    </row>
    <row r="41" spans="1:24" x14ac:dyDescent="0.3">
      <c r="C41" s="28" t="s">
        <v>24</v>
      </c>
      <c r="D41" s="29">
        <f>-0.0075*B$36+21.4</f>
        <v>20.4025</v>
      </c>
      <c r="H41" s="28" t="s">
        <v>24</v>
      </c>
      <c r="I41" s="29">
        <f>-0.0075*G$36+20.7</f>
        <v>18.974999999999998</v>
      </c>
      <c r="M41" s="28" t="s">
        <v>24</v>
      </c>
      <c r="N41" s="29">
        <f>-0.0075*L$36+20</f>
        <v>14.795</v>
      </c>
      <c r="R41" s="28" t="s">
        <v>24</v>
      </c>
      <c r="S41" s="29">
        <f>-0.0075*Q$36+20.7</f>
        <v>16.432499999999997</v>
      </c>
      <c r="W41" s="28" t="s">
        <v>24</v>
      </c>
      <c r="X41" s="29">
        <f>-0.0075*V$36+20</f>
        <v>14.15</v>
      </c>
    </row>
    <row r="42" spans="1:24" x14ac:dyDescent="0.3">
      <c r="C42" s="28" t="s">
        <v>25</v>
      </c>
      <c r="D42" s="29">
        <f>-0.0075*B$36+20.8</f>
        <v>19.802500000000002</v>
      </c>
      <c r="H42" s="28" t="s">
        <v>25</v>
      </c>
      <c r="I42" s="29">
        <f>-0.0075*G$36+20.1</f>
        <v>18.375</v>
      </c>
      <c r="M42" s="28" t="s">
        <v>25</v>
      </c>
      <c r="N42" s="29">
        <f>-0.0075*L$36+19.4</f>
        <v>14.194999999999999</v>
      </c>
      <c r="R42" s="28" t="s">
        <v>25</v>
      </c>
      <c r="S42" s="29">
        <f>-0.0075*Q$36+20.1</f>
        <v>15.832500000000001</v>
      </c>
      <c r="W42" s="28" t="s">
        <v>25</v>
      </c>
      <c r="X42" s="29">
        <f>-0.0075*V$36+19.4</f>
        <v>13.549999999999999</v>
      </c>
    </row>
    <row r="43" spans="1:24" x14ac:dyDescent="0.3">
      <c r="C43" s="28" t="s">
        <v>26</v>
      </c>
      <c r="D43" s="29">
        <f>-0.0065*B$36+16.3</f>
        <v>15.435500000000001</v>
      </c>
      <c r="H43" s="28" t="s">
        <v>26</v>
      </c>
      <c r="I43" s="29">
        <f>-0.0065*G$36+15.7</f>
        <v>14.205</v>
      </c>
      <c r="M43" s="28" t="s">
        <v>26</v>
      </c>
      <c r="N43" s="29">
        <f>-0.0065*L$36+16</f>
        <v>11.489000000000001</v>
      </c>
      <c r="R43" s="28" t="s">
        <v>26</v>
      </c>
      <c r="S43" s="29">
        <f>-0.0065*Q$36+15.7</f>
        <v>12.0015</v>
      </c>
      <c r="W43" s="28" t="s">
        <v>26</v>
      </c>
      <c r="X43" s="29">
        <f>-0.0065*V$36+16</f>
        <v>10.93</v>
      </c>
    </row>
    <row r="44" spans="1:24" x14ac:dyDescent="0.3">
      <c r="C44" s="28" t="s">
        <v>5</v>
      </c>
      <c r="D44" s="29">
        <f>-0.005*B$36+10.7</f>
        <v>10.035</v>
      </c>
      <c r="H44" s="28" t="s">
        <v>5</v>
      </c>
      <c r="I44" s="29">
        <f>-0.005*G$36+10.2</f>
        <v>9.0499999999999989</v>
      </c>
      <c r="M44" s="28" t="s">
        <v>5</v>
      </c>
      <c r="N44" s="29">
        <f>-0.005*L$36+9.6</f>
        <v>6.129999999999999</v>
      </c>
      <c r="R44" s="28" t="s">
        <v>5</v>
      </c>
      <c r="S44" s="29">
        <f>-0.005*Q$36+10.2</f>
        <v>7.3549999999999986</v>
      </c>
      <c r="W44" s="28" t="s">
        <v>5</v>
      </c>
      <c r="X44" s="29">
        <f>-0.005*V$36+9.6</f>
        <v>5.6999999999999993</v>
      </c>
    </row>
    <row r="45" spans="1:24" x14ac:dyDescent="0.3">
      <c r="C45" s="28" t="s">
        <v>6</v>
      </c>
      <c r="D45" s="29">
        <f>-0.0045*B$36+5.1</f>
        <v>4.5015000000000001</v>
      </c>
      <c r="H45" s="28" t="s">
        <v>6</v>
      </c>
      <c r="I45" s="29">
        <f>-0.0045*G$36+4.7</f>
        <v>3.665</v>
      </c>
      <c r="M45" s="28" t="s">
        <v>6</v>
      </c>
      <c r="N45" s="29">
        <f>-0.0045*L$36+4.2</f>
        <v>1.0770000000000004</v>
      </c>
      <c r="R45" s="28" t="s">
        <v>6</v>
      </c>
      <c r="S45" s="29">
        <f>-0.0045*Q$36+4.7</f>
        <v>2.1395000000000004</v>
      </c>
      <c r="W45" s="28" t="s">
        <v>6</v>
      </c>
      <c r="X45" s="29">
        <f>-0.0045*V$36+4.2</f>
        <v>0.69000000000000039</v>
      </c>
    </row>
    <row r="46" spans="1:24" x14ac:dyDescent="0.3">
      <c r="C46" s="28" t="s">
        <v>7</v>
      </c>
      <c r="D46" s="29">
        <f>-0.0045*B$36+0.5</f>
        <v>-9.8499999999999921E-2</v>
      </c>
      <c r="H46" s="28" t="s">
        <v>7</v>
      </c>
      <c r="I46" s="29">
        <f>-0.0045*G$36+0.1</f>
        <v>-0.93499999999999994</v>
      </c>
      <c r="M46" s="28" t="s">
        <v>7</v>
      </c>
      <c r="N46" s="29">
        <f>-0.0045*L$36-0.5</f>
        <v>-3.6229999999999998</v>
      </c>
      <c r="R46" s="28" t="s">
        <v>7</v>
      </c>
      <c r="S46" s="29">
        <f>-0.0045*Q$36+0.1</f>
        <v>-2.4604999999999997</v>
      </c>
      <c r="W46" s="28" t="s">
        <v>7</v>
      </c>
      <c r="X46" s="29">
        <f>-0.0045*V$36-0.5</f>
        <v>-4.01</v>
      </c>
    </row>
    <row r="47" spans="1:24" x14ac:dyDescent="0.3">
      <c r="F47" s="4"/>
    </row>
    <row r="48" spans="1:24" x14ac:dyDescent="0.3">
      <c r="A48" t="s">
        <v>54</v>
      </c>
      <c r="B48" s="7" t="s">
        <v>41</v>
      </c>
      <c r="C48" s="27" t="s">
        <v>0</v>
      </c>
      <c r="D48" s="27" t="s">
        <v>60</v>
      </c>
      <c r="F48" t="s">
        <v>54</v>
      </c>
      <c r="G48" s="7" t="s">
        <v>63</v>
      </c>
      <c r="H48" s="27" t="s">
        <v>0</v>
      </c>
      <c r="I48" s="27" t="s">
        <v>60</v>
      </c>
    </row>
    <row r="49" spans="1:9" x14ac:dyDescent="0.3">
      <c r="A49" t="s">
        <v>55</v>
      </c>
      <c r="B49" s="7">
        <v>2</v>
      </c>
      <c r="C49" s="28" t="s">
        <v>1</v>
      </c>
      <c r="D49" s="29">
        <f>-0.004*B$50-1.8</f>
        <v>-2.66</v>
      </c>
      <c r="F49" t="s">
        <v>55</v>
      </c>
      <c r="G49" s="7">
        <v>2</v>
      </c>
      <c r="H49" s="28" t="s">
        <v>1</v>
      </c>
      <c r="I49" s="29">
        <f>-0.004*G$50-1.8</f>
        <v>-2.6040000000000001</v>
      </c>
    </row>
    <row r="50" spans="1:9" x14ac:dyDescent="0.3">
      <c r="A50" t="s">
        <v>62</v>
      </c>
      <c r="B50" s="30">
        <v>215</v>
      </c>
      <c r="C50" s="28" t="s">
        <v>2</v>
      </c>
      <c r="D50" s="29">
        <f>-0.005*B$50+0.6</f>
        <v>-0.47499999999999998</v>
      </c>
      <c r="F50" t="s">
        <v>62</v>
      </c>
      <c r="G50" s="30">
        <v>201</v>
      </c>
      <c r="H50" s="28" t="s">
        <v>2</v>
      </c>
      <c r="I50" s="29">
        <f>-0.005*G$50+0.6</f>
        <v>-0.40500000000000014</v>
      </c>
    </row>
    <row r="51" spans="1:9" x14ac:dyDescent="0.3">
      <c r="C51" s="28" t="s">
        <v>3</v>
      </c>
      <c r="D51" s="29">
        <f>-0.006*B$50+5.3</f>
        <v>4.01</v>
      </c>
      <c r="H51" s="28" t="s">
        <v>3</v>
      </c>
      <c r="I51" s="29">
        <f>-0.006*G$50+5.3</f>
        <v>4.0939999999999994</v>
      </c>
    </row>
    <row r="52" spans="1:9" x14ac:dyDescent="0.3">
      <c r="C52" s="28" t="s">
        <v>4</v>
      </c>
      <c r="D52" s="29">
        <f>-0.007*B$50+11.1</f>
        <v>9.5949999999999989</v>
      </c>
      <c r="H52" s="28" t="s">
        <v>4</v>
      </c>
      <c r="I52" s="29">
        <f>-0.007*G$50+11.1</f>
        <v>9.6929999999999996</v>
      </c>
    </row>
    <row r="53" spans="1:9" x14ac:dyDescent="0.3">
      <c r="C53" s="28" t="s">
        <v>22</v>
      </c>
      <c r="D53" s="29">
        <f>-0.007*B$50+16</f>
        <v>14.494999999999999</v>
      </c>
      <c r="H53" s="28" t="s">
        <v>22</v>
      </c>
      <c r="I53" s="29">
        <f>-0.007*G$50+16</f>
        <v>14.593</v>
      </c>
    </row>
    <row r="54" spans="1:9" x14ac:dyDescent="0.3">
      <c r="C54" s="28" t="s">
        <v>23</v>
      </c>
      <c r="D54" s="29">
        <f>-0.0075*B$50+19.1</f>
        <v>17.487500000000001</v>
      </c>
      <c r="H54" s="28" t="s">
        <v>23</v>
      </c>
      <c r="I54" s="29">
        <f>-0.0075*G$50+19.1</f>
        <v>17.592500000000001</v>
      </c>
    </row>
    <row r="55" spans="1:9" x14ac:dyDescent="0.3">
      <c r="C55" s="28" t="s">
        <v>24</v>
      </c>
      <c r="D55" s="29">
        <f>-0.0075*B$50+20.7</f>
        <v>19.087499999999999</v>
      </c>
      <c r="H55" s="28" t="s">
        <v>24</v>
      </c>
      <c r="I55" s="29">
        <f>-0.0075*G$50+20.7</f>
        <v>19.192499999999999</v>
      </c>
    </row>
    <row r="56" spans="1:9" x14ac:dyDescent="0.3">
      <c r="C56" s="28" t="s">
        <v>25</v>
      </c>
      <c r="D56" s="29">
        <f>-0.0075*B$50+20.1</f>
        <v>18.487500000000001</v>
      </c>
      <c r="H56" s="28" t="s">
        <v>25</v>
      </c>
      <c r="I56" s="29">
        <f>-0.0075*G$50+20.1</f>
        <v>18.592500000000001</v>
      </c>
    </row>
    <row r="57" spans="1:9" x14ac:dyDescent="0.3">
      <c r="C57" s="28" t="s">
        <v>26</v>
      </c>
      <c r="D57" s="29">
        <f>-0.0065*B$50+15.7</f>
        <v>14.302499999999998</v>
      </c>
      <c r="H57" s="28" t="s">
        <v>26</v>
      </c>
      <c r="I57" s="29">
        <f>-0.0065*G$50+15.7</f>
        <v>14.3935</v>
      </c>
    </row>
    <row r="58" spans="1:9" x14ac:dyDescent="0.3">
      <c r="C58" s="28" t="s">
        <v>5</v>
      </c>
      <c r="D58" s="29">
        <f>-0.005*B$50+10.2</f>
        <v>9.125</v>
      </c>
      <c r="H58" s="28" t="s">
        <v>5</v>
      </c>
      <c r="I58" s="29">
        <f>-0.005*G$50+10.2</f>
        <v>9.1949999999999985</v>
      </c>
    </row>
    <row r="59" spans="1:9" x14ac:dyDescent="0.3">
      <c r="C59" s="28" t="s">
        <v>6</v>
      </c>
      <c r="D59" s="29">
        <f>-0.0045*B$50+4.7</f>
        <v>3.7325000000000004</v>
      </c>
      <c r="H59" s="28" t="s">
        <v>6</v>
      </c>
      <c r="I59" s="29">
        <f>-0.0045*G$50+4.7</f>
        <v>3.7955000000000001</v>
      </c>
    </row>
    <row r="60" spans="1:9" x14ac:dyDescent="0.3">
      <c r="C60" s="28" t="s">
        <v>7</v>
      </c>
      <c r="D60" s="29">
        <f>-0.0045*B$50+0.1</f>
        <v>-0.86749999999999994</v>
      </c>
      <c r="H60" s="28" t="s">
        <v>7</v>
      </c>
      <c r="I60" s="29">
        <f>-0.0045*G$50+0.1</f>
        <v>-0.80449999999999999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árok16"/>
  <dimension ref="A1:BI267"/>
  <sheetViews>
    <sheetView zoomScale="70" zoomScaleNormal="70" workbookViewId="0">
      <selection activeCell="AM18" sqref="AM18"/>
    </sheetView>
  </sheetViews>
  <sheetFormatPr defaultColWidth="9.109375" defaultRowHeight="13.2" x14ac:dyDescent="0.25"/>
  <cols>
    <col min="1" max="1" width="9" style="4" customWidth="1"/>
    <col min="2" max="2" width="7.5546875" style="4" bestFit="1" customWidth="1"/>
    <col min="3" max="3" width="5.6640625" style="4" customWidth="1"/>
    <col min="4" max="4" width="7.88671875" style="5" customWidth="1"/>
    <col min="5" max="5" width="10.109375" style="5" bestFit="1" customWidth="1"/>
    <col min="6" max="7" width="9.109375" style="5" hidden="1" customWidth="1"/>
    <col min="8" max="8" width="1.88671875" style="4" bestFit="1" customWidth="1"/>
    <col min="9" max="9" width="19.6640625" style="4" customWidth="1"/>
    <col min="10" max="10" width="5" style="4" bestFit="1" customWidth="1"/>
    <col min="11" max="11" width="6" style="4" bestFit="1" customWidth="1"/>
    <col min="12" max="12" width="8.33203125" style="4" bestFit="1" customWidth="1"/>
    <col min="13" max="13" width="5.5546875" style="4" bestFit="1" customWidth="1"/>
    <col min="14" max="14" width="6" style="4" bestFit="1" customWidth="1"/>
    <col min="15" max="15" width="8.33203125" style="4" bestFit="1" customWidth="1"/>
    <col min="16" max="16" width="5.5546875" style="4" bestFit="1" customWidth="1"/>
    <col min="17" max="17" width="6" style="4" bestFit="1" customWidth="1"/>
    <col min="18" max="18" width="8.33203125" style="4" bestFit="1" customWidth="1"/>
    <col min="19" max="19" width="5.5546875" style="4" bestFit="1" customWidth="1"/>
    <col min="20" max="20" width="6" style="4" bestFit="1" customWidth="1"/>
    <col min="21" max="21" width="8.33203125" style="4" bestFit="1" customWidth="1"/>
    <col min="22" max="22" width="2" style="4" customWidth="1"/>
    <col min="23" max="23" width="20" style="4" customWidth="1"/>
    <col min="24" max="25" width="9.109375" style="4" hidden="1" customWidth="1"/>
    <col min="26" max="26" width="5.5546875" style="4" bestFit="1" customWidth="1"/>
    <col min="27" max="27" width="6" style="4" bestFit="1" customWidth="1"/>
    <col min="28" max="28" width="8.33203125" style="4" bestFit="1" customWidth="1"/>
    <col min="29" max="29" width="5.5546875" style="4" bestFit="1" customWidth="1"/>
    <col min="30" max="30" width="7" style="4" customWidth="1"/>
    <col min="31" max="31" width="8.33203125" style="4" bestFit="1" customWidth="1"/>
    <col min="32" max="32" width="5.5546875" style="4" bestFit="1" customWidth="1"/>
    <col min="33" max="33" width="6" style="4" bestFit="1" customWidth="1"/>
    <col min="34" max="34" width="8.33203125" style="4" bestFit="1" customWidth="1"/>
    <col min="35" max="35" width="5.5546875" style="4" bestFit="1" customWidth="1"/>
    <col min="36" max="36" width="6" style="4" bestFit="1" customWidth="1"/>
    <col min="37" max="37" width="8.33203125" style="4" bestFit="1" customWidth="1"/>
    <col min="38" max="38" width="2.44140625" style="4" customWidth="1"/>
    <col min="39" max="39" width="19.33203125" style="4" customWidth="1"/>
    <col min="40" max="40" width="6.109375" style="4" bestFit="1" customWidth="1"/>
    <col min="41" max="41" width="8.33203125" style="4" bestFit="1" customWidth="1"/>
    <col min="42" max="42" width="6.109375" style="4" bestFit="1" customWidth="1"/>
    <col min="43" max="43" width="8.33203125" style="4" bestFit="1" customWidth="1"/>
    <col min="44" max="44" width="6.109375" style="4" bestFit="1" customWidth="1"/>
    <col min="45" max="45" width="8.33203125" style="4" bestFit="1" customWidth="1"/>
    <col min="46" max="46" width="6.109375" style="4" bestFit="1" customWidth="1"/>
    <col min="47" max="47" width="8.33203125" style="4" bestFit="1" customWidth="1"/>
    <col min="48" max="48" width="2.6640625" style="4" customWidth="1"/>
    <col min="49" max="49" width="20.88671875" style="4" customWidth="1"/>
    <col min="50" max="16384" width="9.109375" style="4"/>
  </cols>
  <sheetData>
    <row r="1" spans="1:61" ht="22.8" x14ac:dyDescent="0.4">
      <c r="A1" s="19" t="s">
        <v>45</v>
      </c>
      <c r="B1" s="20"/>
      <c r="C1" s="20"/>
      <c r="D1" s="21"/>
      <c r="E1" s="21"/>
      <c r="F1" s="21"/>
      <c r="G1" s="21"/>
      <c r="H1" s="22"/>
      <c r="I1" s="23"/>
      <c r="W1" s="3"/>
      <c r="AM1" s="3"/>
    </row>
    <row r="2" spans="1:61" ht="17.399999999999999" x14ac:dyDescent="0.3">
      <c r="A2" s="16" t="s">
        <v>47</v>
      </c>
      <c r="B2" s="17"/>
      <c r="C2" s="17"/>
      <c r="D2" s="18"/>
      <c r="E2" s="18"/>
      <c r="F2" s="18"/>
      <c r="G2" s="18"/>
      <c r="H2" s="17"/>
      <c r="I2" s="16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6"/>
      <c r="AM2" s="3"/>
    </row>
    <row r="3" spans="1:61" ht="17.399999999999999" x14ac:dyDescent="0.3">
      <c r="A3" s="16" t="s">
        <v>46</v>
      </c>
      <c r="B3" s="17"/>
      <c r="C3" s="17"/>
      <c r="D3" s="18"/>
      <c r="E3" s="18"/>
      <c r="F3" s="18"/>
      <c r="G3" s="18"/>
      <c r="H3" s="17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AM3" s="3"/>
    </row>
    <row r="4" spans="1:61" ht="8.25" customHeight="1" x14ac:dyDescent="0.3">
      <c r="A4" s="16"/>
      <c r="B4" s="17"/>
      <c r="C4" s="17"/>
      <c r="D4" s="18"/>
      <c r="E4" s="18"/>
      <c r="F4" s="18"/>
      <c r="G4" s="18"/>
      <c r="H4" s="17"/>
      <c r="I4" s="16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6"/>
      <c r="AM4" s="3"/>
    </row>
    <row r="5" spans="1:61" ht="31.5" customHeight="1" x14ac:dyDescent="0.3">
      <c r="A5" s="35" t="s">
        <v>49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25"/>
      <c r="T5" s="25"/>
      <c r="U5" s="17"/>
      <c r="V5" s="17"/>
      <c r="W5" s="16"/>
      <c r="AM5" s="3"/>
    </row>
    <row r="6" spans="1:61" ht="9.75" customHeight="1" x14ac:dyDescent="0.3">
      <c r="A6" s="6"/>
      <c r="B6" s="17"/>
      <c r="C6" s="17"/>
      <c r="D6" s="18"/>
      <c r="E6" s="18"/>
      <c r="F6" s="18"/>
      <c r="G6" s="18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6"/>
      <c r="AM6" s="3"/>
    </row>
    <row r="7" spans="1:61" x14ac:dyDescent="0.25">
      <c r="A7" s="6" t="s">
        <v>43</v>
      </c>
      <c r="I7" s="6" t="s">
        <v>8</v>
      </c>
      <c r="W7" s="6" t="s">
        <v>9</v>
      </c>
      <c r="AM7" s="6" t="s">
        <v>50</v>
      </c>
      <c r="AW7" s="6" t="s">
        <v>64</v>
      </c>
    </row>
    <row r="8" spans="1:61" ht="21.75" customHeight="1" x14ac:dyDescent="0.25"/>
    <row r="9" spans="1:61" ht="15" customHeight="1" x14ac:dyDescent="0.25">
      <c r="A9" s="15" t="s">
        <v>44</v>
      </c>
      <c r="B9" s="7" t="s">
        <v>10</v>
      </c>
      <c r="C9" s="7" t="s">
        <v>11</v>
      </c>
      <c r="D9" s="39" t="s">
        <v>12</v>
      </c>
      <c r="E9" s="39"/>
      <c r="F9" s="7"/>
      <c r="G9" s="7"/>
      <c r="J9" s="36" t="s">
        <v>15</v>
      </c>
      <c r="K9" s="37"/>
      <c r="L9" s="38"/>
      <c r="M9" s="36" t="s">
        <v>16</v>
      </c>
      <c r="N9" s="37"/>
      <c r="O9" s="38"/>
      <c r="P9" s="36" t="s">
        <v>17</v>
      </c>
      <c r="Q9" s="37"/>
      <c r="R9" s="37"/>
      <c r="S9" s="34" t="s">
        <v>18</v>
      </c>
      <c r="T9" s="34"/>
      <c r="U9" s="34"/>
      <c r="Z9" s="34" t="s">
        <v>15</v>
      </c>
      <c r="AA9" s="34"/>
      <c r="AB9" s="34"/>
      <c r="AC9" s="34" t="s">
        <v>16</v>
      </c>
      <c r="AD9" s="34"/>
      <c r="AE9" s="34"/>
      <c r="AF9" s="34" t="s">
        <v>17</v>
      </c>
      <c r="AG9" s="34"/>
      <c r="AH9" s="34"/>
      <c r="AI9" s="34" t="s">
        <v>18</v>
      </c>
      <c r="AJ9" s="34"/>
      <c r="AK9" s="34"/>
      <c r="AN9" s="32" t="s">
        <v>15</v>
      </c>
      <c r="AO9" s="33"/>
      <c r="AP9" s="32" t="s">
        <v>16</v>
      </c>
      <c r="AQ9" s="33"/>
      <c r="AR9" s="32" t="s">
        <v>19</v>
      </c>
      <c r="AS9" s="33"/>
      <c r="AT9" s="34" t="s">
        <v>18</v>
      </c>
      <c r="AU9" s="34"/>
      <c r="AX9" s="34" t="s">
        <v>15</v>
      </c>
      <c r="AY9" s="34"/>
      <c r="AZ9" s="34"/>
      <c r="BA9" s="34" t="s">
        <v>16</v>
      </c>
      <c r="BB9" s="34"/>
      <c r="BC9" s="34"/>
      <c r="BD9" s="34" t="s">
        <v>17</v>
      </c>
      <c r="BE9" s="34"/>
      <c r="BF9" s="34"/>
      <c r="BG9" s="34" t="s">
        <v>18</v>
      </c>
      <c r="BH9" s="34"/>
      <c r="BI9" s="34"/>
    </row>
    <row r="10" spans="1:61" ht="13.8" thickBot="1" x14ac:dyDescent="0.3">
      <c r="D10" s="5" t="s">
        <v>14</v>
      </c>
      <c r="E10" s="5" t="s">
        <v>13</v>
      </c>
      <c r="J10" s="24" t="s">
        <v>48</v>
      </c>
      <c r="K10" s="24" t="s">
        <v>14</v>
      </c>
      <c r="L10" s="24" t="s">
        <v>13</v>
      </c>
      <c r="M10" s="24" t="s">
        <v>48</v>
      </c>
      <c r="N10" s="24" t="s">
        <v>14</v>
      </c>
      <c r="O10" s="24" t="s">
        <v>13</v>
      </c>
      <c r="P10" s="24" t="s">
        <v>48</v>
      </c>
      <c r="Q10" s="24" t="s">
        <v>14</v>
      </c>
      <c r="R10" s="24" t="s">
        <v>13</v>
      </c>
      <c r="S10" s="24" t="s">
        <v>48</v>
      </c>
      <c r="T10" s="24" t="s">
        <v>14</v>
      </c>
      <c r="U10" s="24" t="s">
        <v>13</v>
      </c>
      <c r="Z10" s="24" t="s">
        <v>48</v>
      </c>
      <c r="AA10" s="24" t="s">
        <v>14</v>
      </c>
      <c r="AB10" s="24" t="s">
        <v>13</v>
      </c>
      <c r="AC10" s="24" t="s">
        <v>48</v>
      </c>
      <c r="AD10" s="24" t="s">
        <v>14</v>
      </c>
      <c r="AE10" s="24" t="s">
        <v>13</v>
      </c>
      <c r="AF10" s="24" t="s">
        <v>48</v>
      </c>
      <c r="AG10" s="24" t="s">
        <v>14</v>
      </c>
      <c r="AH10" s="24" t="s">
        <v>13</v>
      </c>
      <c r="AI10" s="24" t="s">
        <v>48</v>
      </c>
      <c r="AJ10" s="24" t="s">
        <v>14</v>
      </c>
      <c r="AK10" s="24" t="s">
        <v>13</v>
      </c>
      <c r="AN10" s="24" t="s">
        <v>14</v>
      </c>
      <c r="AO10" s="24" t="s">
        <v>13</v>
      </c>
      <c r="AP10" s="24" t="s">
        <v>14</v>
      </c>
      <c r="AQ10" s="24" t="s">
        <v>13</v>
      </c>
      <c r="AR10" s="24" t="s">
        <v>14</v>
      </c>
      <c r="AS10" s="24" t="s">
        <v>13</v>
      </c>
      <c r="AT10" s="24" t="s">
        <v>14</v>
      </c>
      <c r="AU10" s="24" t="s">
        <v>13</v>
      </c>
      <c r="AX10" s="24" t="s">
        <v>48</v>
      </c>
      <c r="AY10" s="24" t="s">
        <v>14</v>
      </c>
      <c r="AZ10" s="24" t="s">
        <v>13</v>
      </c>
      <c r="BA10" s="24" t="s">
        <v>48</v>
      </c>
      <c r="BB10" s="24" t="s">
        <v>14</v>
      </c>
      <c r="BC10" s="24" t="s">
        <v>13</v>
      </c>
      <c r="BD10" s="24" t="s">
        <v>48</v>
      </c>
      <c r="BE10" s="24" t="s">
        <v>14</v>
      </c>
      <c r="BF10" s="24" t="s">
        <v>13</v>
      </c>
      <c r="BG10" s="24" t="s">
        <v>48</v>
      </c>
      <c r="BH10" s="24" t="s">
        <v>14</v>
      </c>
      <c r="BI10" s="24" t="s">
        <v>13</v>
      </c>
    </row>
    <row r="11" spans="1:61" ht="14.4" x14ac:dyDescent="0.3">
      <c r="A11" s="8" t="s">
        <v>1</v>
      </c>
      <c r="B11" s="5">
        <v>31</v>
      </c>
      <c r="C11" s="5">
        <f>B11*24</f>
        <v>744</v>
      </c>
      <c r="D11" s="9">
        <f t="shared" ref="D11:D22" si="0">E11*1000/C11</f>
        <v>34.946236559139784</v>
      </c>
      <c r="E11" s="5">
        <v>26</v>
      </c>
      <c r="H11" s="10"/>
      <c r="J11" s="11">
        <v>1.62</v>
      </c>
      <c r="K11" s="12">
        <f t="shared" ref="K11:K22" si="1">J11*$D11</f>
        <v>56.612903225806456</v>
      </c>
      <c r="L11" s="12">
        <f>$E11*J11</f>
        <v>42.120000000000005</v>
      </c>
      <c r="M11" s="11">
        <v>0.5</v>
      </c>
      <c r="N11" s="12">
        <f t="shared" ref="N11:N22" si="2">M11*$D11</f>
        <v>17.473118279569892</v>
      </c>
      <c r="O11" s="12">
        <f>$E11*M11</f>
        <v>13</v>
      </c>
      <c r="P11" s="11">
        <v>1</v>
      </c>
      <c r="Q11" s="12">
        <f t="shared" ref="Q11:Q22" si="3">P11*$D11</f>
        <v>34.946236559139784</v>
      </c>
      <c r="R11" s="12">
        <f>$E11*P11</f>
        <v>26</v>
      </c>
      <c r="S11" s="11">
        <v>1</v>
      </c>
      <c r="T11" s="12">
        <f t="shared" ref="T11:T22" si="4">S11*$D11</f>
        <v>34.946236559139784</v>
      </c>
      <c r="U11" s="12">
        <f>$E11*S11</f>
        <v>26</v>
      </c>
      <c r="X11" s="10"/>
      <c r="Y11" s="10"/>
      <c r="Z11" s="11">
        <v>1.96</v>
      </c>
      <c r="AA11" s="12">
        <f>Z11*$D11</f>
        <v>68.494623655913969</v>
      </c>
      <c r="AB11" s="12">
        <f t="shared" ref="AB11:AB22" si="5">$E11*Z11</f>
        <v>50.96</v>
      </c>
      <c r="AC11" s="11">
        <v>0.49</v>
      </c>
      <c r="AD11" s="12">
        <f>AC11*$D11</f>
        <v>17.123655913978492</v>
      </c>
      <c r="AE11" s="12">
        <f t="shared" ref="AE11:AE22" si="6">$E11*AC11</f>
        <v>12.74</v>
      </c>
      <c r="AF11" s="11">
        <v>0.95</v>
      </c>
      <c r="AG11" s="12">
        <f>AF11*$D11</f>
        <v>33.198924731182792</v>
      </c>
      <c r="AH11" s="12">
        <f t="shared" ref="AH11:AH22" si="7">$E11*AF11</f>
        <v>24.7</v>
      </c>
      <c r="AI11" s="11">
        <v>0.95</v>
      </c>
      <c r="AJ11" s="12">
        <f>AI11*$D11</f>
        <v>33.198924731182792</v>
      </c>
      <c r="AK11" s="12">
        <f t="shared" ref="AK11:AK22" si="8">$E11*AI11</f>
        <v>24.7</v>
      </c>
      <c r="AN11" s="26">
        <f>(K11+AA11)/2</f>
        <v>62.553763440860209</v>
      </c>
      <c r="AO11" s="26">
        <f>(L11+AB11)/2</f>
        <v>46.540000000000006</v>
      </c>
      <c r="AP11" s="26">
        <f>(N11+AD11)/2</f>
        <v>17.298387096774192</v>
      </c>
      <c r="AQ11" s="26">
        <f>(O11+AE11)/2</f>
        <v>12.870000000000001</v>
      </c>
      <c r="AR11" s="26">
        <f>(Q11+AG11)/2</f>
        <v>34.072580645161288</v>
      </c>
      <c r="AS11" s="26">
        <f>(R11+AH11)/2</f>
        <v>25.35</v>
      </c>
      <c r="AT11" s="26">
        <f>(T11+AJ11)/2</f>
        <v>34.072580645161288</v>
      </c>
      <c r="AU11" s="26">
        <f>(U11+AK11)/2</f>
        <v>25.35</v>
      </c>
      <c r="AX11" s="11">
        <v>1.94</v>
      </c>
      <c r="AY11" s="12">
        <f>AX11*$D11</f>
        <v>67.795698924731184</v>
      </c>
      <c r="AZ11" s="12">
        <f t="shared" ref="AZ11:AZ22" si="9">$E11*AX11</f>
        <v>50.44</v>
      </c>
      <c r="BA11" s="11">
        <v>0.53</v>
      </c>
      <c r="BB11" s="12">
        <f>BA11*$D11</f>
        <v>18.521505376344088</v>
      </c>
      <c r="BC11" s="12">
        <f t="shared" ref="BC11:BC22" si="10">$E11*BA11</f>
        <v>13.780000000000001</v>
      </c>
      <c r="BD11" s="11">
        <v>0.85</v>
      </c>
      <c r="BE11" s="12">
        <f>BD11*$D11</f>
        <v>29.704301075268816</v>
      </c>
      <c r="BF11" s="12">
        <f t="shared" ref="BF11:BF22" si="11">$E11*BD11</f>
        <v>22.099999999999998</v>
      </c>
      <c r="BG11" s="11">
        <v>0.85</v>
      </c>
      <c r="BH11" s="12">
        <f>BG11*$D11</f>
        <v>29.704301075268816</v>
      </c>
      <c r="BI11" s="12">
        <f t="shared" ref="BI11:BI22" si="12">$E11*BG11</f>
        <v>22.099999999999998</v>
      </c>
    </row>
    <row r="12" spans="1:61" ht="14.4" x14ac:dyDescent="0.3">
      <c r="A12" s="13" t="s">
        <v>2</v>
      </c>
      <c r="B12" s="5">
        <v>28</v>
      </c>
      <c r="C12" s="5">
        <f t="shared" ref="C12:C22" si="13">B12*24</f>
        <v>672</v>
      </c>
      <c r="D12" s="9">
        <f t="shared" si="0"/>
        <v>72.916666666666671</v>
      </c>
      <c r="E12" s="5">
        <v>49</v>
      </c>
      <c r="H12" s="10"/>
      <c r="J12" s="11">
        <v>1.46</v>
      </c>
      <c r="K12" s="12">
        <f t="shared" si="1"/>
        <v>106.45833333333334</v>
      </c>
      <c r="L12" s="12">
        <f t="shared" ref="L12:L22" si="14">$E12*J12</f>
        <v>71.539999999999992</v>
      </c>
      <c r="M12" s="11">
        <v>0.43</v>
      </c>
      <c r="N12" s="12">
        <f t="shared" si="2"/>
        <v>31.354166666666668</v>
      </c>
      <c r="O12" s="12">
        <f t="shared" ref="O12:O22" si="15">$E12*M12</f>
        <v>21.07</v>
      </c>
      <c r="P12" s="11">
        <v>0.99</v>
      </c>
      <c r="Q12" s="12">
        <f t="shared" si="3"/>
        <v>72.1875</v>
      </c>
      <c r="R12" s="12">
        <f t="shared" ref="R12:R22" si="16">$E12*P12</f>
        <v>48.51</v>
      </c>
      <c r="S12" s="11">
        <v>0.99</v>
      </c>
      <c r="T12" s="12">
        <f t="shared" si="4"/>
        <v>72.1875</v>
      </c>
      <c r="U12" s="12">
        <f t="shared" ref="U12:U22" si="17">$E12*S12</f>
        <v>48.51</v>
      </c>
      <c r="X12" s="10"/>
      <c r="Y12" s="10"/>
      <c r="Z12" s="11">
        <v>1.65</v>
      </c>
      <c r="AA12" s="12">
        <f t="shared" ref="AA12:AA22" si="18">Z12*$D12</f>
        <v>120.3125</v>
      </c>
      <c r="AB12" s="12">
        <f t="shared" si="5"/>
        <v>80.849999999999994</v>
      </c>
      <c r="AC12" s="11">
        <v>0.41</v>
      </c>
      <c r="AD12" s="12">
        <f t="shared" ref="AD12:AD22" si="19">AC12*$D12</f>
        <v>29.895833333333332</v>
      </c>
      <c r="AE12" s="12">
        <f t="shared" si="6"/>
        <v>20.09</v>
      </c>
      <c r="AF12" s="11">
        <v>0.91</v>
      </c>
      <c r="AG12" s="12">
        <f t="shared" ref="AG12:AG22" si="20">AF12*$D12</f>
        <v>66.354166666666671</v>
      </c>
      <c r="AH12" s="12">
        <f t="shared" si="7"/>
        <v>44.59</v>
      </c>
      <c r="AI12" s="11">
        <v>0.91</v>
      </c>
      <c r="AJ12" s="12">
        <f t="shared" ref="AJ12:AJ22" si="21">AI12*$D12</f>
        <v>66.354166666666671</v>
      </c>
      <c r="AK12" s="12">
        <f t="shared" si="8"/>
        <v>44.59</v>
      </c>
      <c r="AN12" s="26">
        <f t="shared" ref="AN12:AN22" si="22">(K12+AA12)/2</f>
        <v>113.38541666666667</v>
      </c>
      <c r="AO12" s="26">
        <f t="shared" ref="AO12:AO22" si="23">(L12+AB12)/2</f>
        <v>76.194999999999993</v>
      </c>
      <c r="AP12" s="26">
        <f t="shared" ref="AP12:AP22" si="24">(N12+AD12)/2</f>
        <v>30.625</v>
      </c>
      <c r="AQ12" s="26">
        <f t="shared" ref="AQ12:AQ22" si="25">(O12+AE12)/2</f>
        <v>20.58</v>
      </c>
      <c r="AR12" s="26">
        <f t="shared" ref="AR12:AR22" si="26">(Q12+AG12)/2</f>
        <v>69.270833333333343</v>
      </c>
      <c r="AS12" s="26">
        <f t="shared" ref="AS12:AS22" si="27">(R12+AH12)/2</f>
        <v>46.55</v>
      </c>
      <c r="AT12" s="26">
        <f t="shared" ref="AT12:AT22" si="28">(T12+AJ12)/2</f>
        <v>69.270833333333343</v>
      </c>
      <c r="AU12" s="26">
        <f t="shared" ref="AU12:AU22" si="29">(U12+AK12)/2</f>
        <v>46.55</v>
      </c>
      <c r="AX12" s="11">
        <v>1.53</v>
      </c>
      <c r="AY12" s="12">
        <f t="shared" ref="AY12:AY22" si="30">AX12*$D12</f>
        <v>111.56250000000001</v>
      </c>
      <c r="AZ12" s="12">
        <f t="shared" si="9"/>
        <v>74.97</v>
      </c>
      <c r="BA12" s="11">
        <v>0.44</v>
      </c>
      <c r="BB12" s="12">
        <f t="shared" ref="BB12:BB22" si="31">BA12*$D12</f>
        <v>32.083333333333336</v>
      </c>
      <c r="BC12" s="12">
        <f t="shared" si="10"/>
        <v>21.56</v>
      </c>
      <c r="BD12" s="11">
        <v>0.78</v>
      </c>
      <c r="BE12" s="12">
        <f t="shared" ref="BE12:BE22" si="32">BD12*$D12</f>
        <v>56.875000000000007</v>
      </c>
      <c r="BF12" s="12">
        <f t="shared" si="11"/>
        <v>38.22</v>
      </c>
      <c r="BG12" s="11">
        <v>0.78</v>
      </c>
      <c r="BH12" s="12">
        <f t="shared" ref="BH12:BH22" si="33">BG12*$D12</f>
        <v>56.875000000000007</v>
      </c>
      <c r="BI12" s="12">
        <f t="shared" si="12"/>
        <v>38.22</v>
      </c>
    </row>
    <row r="13" spans="1:61" ht="14.4" x14ac:dyDescent="0.3">
      <c r="A13" s="13" t="s">
        <v>3</v>
      </c>
      <c r="B13" s="5">
        <v>31</v>
      </c>
      <c r="C13" s="5">
        <f t="shared" si="13"/>
        <v>744</v>
      </c>
      <c r="D13" s="9">
        <f t="shared" si="0"/>
        <v>118.27956989247312</v>
      </c>
      <c r="E13" s="5">
        <v>88</v>
      </c>
      <c r="H13" s="10"/>
      <c r="J13" s="11">
        <v>1.26</v>
      </c>
      <c r="K13" s="12">
        <f t="shared" si="1"/>
        <v>149.03225806451613</v>
      </c>
      <c r="L13" s="12">
        <f t="shared" si="14"/>
        <v>110.88</v>
      </c>
      <c r="M13" s="11">
        <v>0.51</v>
      </c>
      <c r="N13" s="12">
        <f t="shared" si="2"/>
        <v>60.322580645161295</v>
      </c>
      <c r="O13" s="12">
        <f t="shared" si="15"/>
        <v>44.88</v>
      </c>
      <c r="P13" s="11">
        <v>0.96</v>
      </c>
      <c r="Q13" s="12">
        <f t="shared" si="3"/>
        <v>113.54838709677419</v>
      </c>
      <c r="R13" s="12">
        <f t="shared" si="16"/>
        <v>84.47999999999999</v>
      </c>
      <c r="S13" s="11">
        <v>0.96</v>
      </c>
      <c r="T13" s="12">
        <f t="shared" si="4"/>
        <v>113.54838709677419</v>
      </c>
      <c r="U13" s="12">
        <f t="shared" si="17"/>
        <v>84.47999999999999</v>
      </c>
      <c r="X13" s="10"/>
      <c r="Y13" s="10"/>
      <c r="Z13" s="11">
        <v>1.28</v>
      </c>
      <c r="AA13" s="12">
        <f t="shared" si="18"/>
        <v>151.3978494623656</v>
      </c>
      <c r="AB13" s="12">
        <f t="shared" si="5"/>
        <v>112.64</v>
      </c>
      <c r="AC13" s="11">
        <v>0.33</v>
      </c>
      <c r="AD13" s="12">
        <f t="shared" si="19"/>
        <v>39.032258064516128</v>
      </c>
      <c r="AE13" s="12">
        <f t="shared" si="6"/>
        <v>29.040000000000003</v>
      </c>
      <c r="AF13" s="11">
        <v>0.84</v>
      </c>
      <c r="AG13" s="12">
        <f t="shared" si="20"/>
        <v>99.354838709677423</v>
      </c>
      <c r="AH13" s="12">
        <f t="shared" si="7"/>
        <v>73.92</v>
      </c>
      <c r="AI13" s="11">
        <v>0.84</v>
      </c>
      <c r="AJ13" s="12">
        <f t="shared" si="21"/>
        <v>99.354838709677423</v>
      </c>
      <c r="AK13" s="12">
        <f t="shared" si="8"/>
        <v>73.92</v>
      </c>
      <c r="AN13" s="26">
        <f t="shared" si="22"/>
        <v>150.21505376344086</v>
      </c>
      <c r="AO13" s="26">
        <f t="shared" si="23"/>
        <v>111.75999999999999</v>
      </c>
      <c r="AP13" s="26">
        <f t="shared" si="24"/>
        <v>49.677419354838712</v>
      </c>
      <c r="AQ13" s="26">
        <f t="shared" si="25"/>
        <v>36.96</v>
      </c>
      <c r="AR13" s="26">
        <f t="shared" si="26"/>
        <v>106.45161290322581</v>
      </c>
      <c r="AS13" s="26">
        <f t="shared" si="27"/>
        <v>79.199999999999989</v>
      </c>
      <c r="AT13" s="26">
        <f t="shared" si="28"/>
        <v>106.45161290322581</v>
      </c>
      <c r="AU13" s="26">
        <f t="shared" si="29"/>
        <v>79.199999999999989</v>
      </c>
      <c r="AX13" s="11">
        <v>1.05</v>
      </c>
      <c r="AY13" s="12">
        <f t="shared" si="30"/>
        <v>124.19354838709678</v>
      </c>
      <c r="AZ13" s="12">
        <f t="shared" si="9"/>
        <v>92.4</v>
      </c>
      <c r="BA13" s="11">
        <v>0.32</v>
      </c>
      <c r="BB13" s="12">
        <f t="shared" si="31"/>
        <v>37.8494623655914</v>
      </c>
      <c r="BC13" s="12">
        <f t="shared" si="10"/>
        <v>28.16</v>
      </c>
      <c r="BD13" s="11">
        <v>0.67</v>
      </c>
      <c r="BE13" s="12">
        <f t="shared" si="32"/>
        <v>79.247311827956992</v>
      </c>
      <c r="BF13" s="12">
        <f t="shared" si="11"/>
        <v>58.96</v>
      </c>
      <c r="BG13" s="11">
        <v>0.67</v>
      </c>
      <c r="BH13" s="12">
        <f t="shared" si="33"/>
        <v>79.247311827956992</v>
      </c>
      <c r="BI13" s="12">
        <f t="shared" si="12"/>
        <v>58.96</v>
      </c>
    </row>
    <row r="14" spans="1:61" ht="14.4" x14ac:dyDescent="0.3">
      <c r="A14" s="13" t="s">
        <v>4</v>
      </c>
      <c r="B14" s="5">
        <v>30</v>
      </c>
      <c r="C14" s="5">
        <f t="shared" si="13"/>
        <v>720</v>
      </c>
      <c r="D14" s="9">
        <f t="shared" si="0"/>
        <v>186.11111111111111</v>
      </c>
      <c r="E14" s="5">
        <v>134</v>
      </c>
      <c r="H14" s="10"/>
      <c r="I14" s="4" t="s">
        <v>20</v>
      </c>
      <c r="J14" s="11">
        <v>1.1000000000000001</v>
      </c>
      <c r="K14" s="12">
        <f t="shared" si="1"/>
        <v>204.72222222222223</v>
      </c>
      <c r="L14" s="12">
        <f t="shared" si="14"/>
        <v>147.4</v>
      </c>
      <c r="M14" s="11">
        <v>0.68</v>
      </c>
      <c r="N14" s="12">
        <f t="shared" si="2"/>
        <v>126.55555555555557</v>
      </c>
      <c r="O14" s="12">
        <f t="shared" si="15"/>
        <v>91.12</v>
      </c>
      <c r="P14" s="11">
        <v>0.94</v>
      </c>
      <c r="Q14" s="12">
        <f t="shared" si="3"/>
        <v>174.94444444444443</v>
      </c>
      <c r="R14" s="12">
        <f t="shared" si="16"/>
        <v>125.96</v>
      </c>
      <c r="S14" s="11">
        <v>0.94</v>
      </c>
      <c r="T14" s="12">
        <f t="shared" si="4"/>
        <v>174.94444444444443</v>
      </c>
      <c r="U14" s="12">
        <f t="shared" si="17"/>
        <v>125.96</v>
      </c>
      <c r="W14" s="4" t="s">
        <v>20</v>
      </c>
      <c r="X14" s="10"/>
      <c r="Y14" s="10"/>
      <c r="Z14" s="11">
        <v>0.99</v>
      </c>
      <c r="AA14" s="12">
        <f>Z14*$D14</f>
        <v>184.25</v>
      </c>
      <c r="AB14" s="12">
        <f t="shared" si="5"/>
        <v>132.66</v>
      </c>
      <c r="AC14" s="11">
        <v>0.33</v>
      </c>
      <c r="AD14" s="12">
        <f>AC14*$D14</f>
        <v>61.416666666666671</v>
      </c>
      <c r="AE14" s="12">
        <f t="shared" si="6"/>
        <v>44.22</v>
      </c>
      <c r="AF14" s="11">
        <v>0.8</v>
      </c>
      <c r="AG14" s="12">
        <f>AF14*$D14</f>
        <v>148.88888888888889</v>
      </c>
      <c r="AH14" s="12">
        <f t="shared" si="7"/>
        <v>107.2</v>
      </c>
      <c r="AI14" s="11">
        <v>0.8</v>
      </c>
      <c r="AJ14" s="12">
        <f>AI14*$D14</f>
        <v>148.88888888888889</v>
      </c>
      <c r="AK14" s="12">
        <f t="shared" si="8"/>
        <v>107.2</v>
      </c>
      <c r="AM14" s="4" t="s">
        <v>20</v>
      </c>
      <c r="AN14" s="26">
        <f t="shared" si="22"/>
        <v>194.48611111111111</v>
      </c>
      <c r="AO14" s="26">
        <f t="shared" si="23"/>
        <v>140.03</v>
      </c>
      <c r="AP14" s="26">
        <f t="shared" si="24"/>
        <v>93.986111111111114</v>
      </c>
      <c r="AQ14" s="26">
        <f t="shared" si="25"/>
        <v>67.67</v>
      </c>
      <c r="AR14" s="26">
        <f t="shared" si="26"/>
        <v>161.91666666666666</v>
      </c>
      <c r="AS14" s="26">
        <f t="shared" si="27"/>
        <v>116.58</v>
      </c>
      <c r="AT14" s="26">
        <f t="shared" si="28"/>
        <v>161.91666666666666</v>
      </c>
      <c r="AU14" s="26">
        <f t="shared" si="29"/>
        <v>116.58</v>
      </c>
      <c r="AW14" s="4" t="s">
        <v>59</v>
      </c>
      <c r="AX14" s="11">
        <v>0.71</v>
      </c>
      <c r="AY14" s="12">
        <f>AX14*$D14</f>
        <v>132.13888888888889</v>
      </c>
      <c r="AZ14" s="12">
        <f>$E14*AX14</f>
        <v>95.14</v>
      </c>
      <c r="BA14" s="11">
        <v>0.28000000000000003</v>
      </c>
      <c r="BB14" s="12">
        <f>BA14*$D14</f>
        <v>52.111111111111114</v>
      </c>
      <c r="BC14" s="12">
        <f t="shared" si="10"/>
        <v>37.520000000000003</v>
      </c>
      <c r="BD14" s="11">
        <v>0.59</v>
      </c>
      <c r="BE14" s="12">
        <f>BD14*$D14</f>
        <v>109.80555555555556</v>
      </c>
      <c r="BF14" s="12">
        <f t="shared" si="11"/>
        <v>79.06</v>
      </c>
      <c r="BG14" s="11">
        <v>0.59</v>
      </c>
      <c r="BH14" s="12">
        <f>BG14*$D14</f>
        <v>109.80555555555556</v>
      </c>
      <c r="BI14" s="12">
        <f t="shared" si="12"/>
        <v>79.06</v>
      </c>
    </row>
    <row r="15" spans="1:61" ht="14.4" x14ac:dyDescent="0.3">
      <c r="A15" s="13" t="s">
        <v>22</v>
      </c>
      <c r="B15" s="5">
        <v>31</v>
      </c>
      <c r="C15" s="5">
        <f t="shared" si="13"/>
        <v>744</v>
      </c>
      <c r="D15" s="9">
        <f t="shared" si="0"/>
        <v>223.11827956989248</v>
      </c>
      <c r="E15" s="5">
        <v>166</v>
      </c>
      <c r="H15" s="10"/>
      <c r="I15" s="4" t="s">
        <v>21</v>
      </c>
      <c r="J15" s="11">
        <v>1.01</v>
      </c>
      <c r="K15" s="12">
        <f t="shared" si="1"/>
        <v>225.34946236559139</v>
      </c>
      <c r="L15" s="12">
        <f t="shared" si="14"/>
        <v>167.66</v>
      </c>
      <c r="M15" s="11">
        <v>0.79</v>
      </c>
      <c r="N15" s="12">
        <f t="shared" si="2"/>
        <v>176.26344086021507</v>
      </c>
      <c r="O15" s="12">
        <f t="shared" si="15"/>
        <v>131.14000000000001</v>
      </c>
      <c r="P15" s="11">
        <v>0.94</v>
      </c>
      <c r="Q15" s="12">
        <f t="shared" si="3"/>
        <v>209.73118279569891</v>
      </c>
      <c r="R15" s="12">
        <f t="shared" si="16"/>
        <v>156.04</v>
      </c>
      <c r="S15" s="11">
        <v>0.94</v>
      </c>
      <c r="T15" s="12">
        <f t="shared" si="4"/>
        <v>209.73118279569891</v>
      </c>
      <c r="U15" s="12">
        <f t="shared" si="17"/>
        <v>156.04</v>
      </c>
      <c r="W15" s="4" t="s">
        <v>21</v>
      </c>
      <c r="X15" s="10"/>
      <c r="Y15" s="10"/>
      <c r="Z15" s="11">
        <v>0.84</v>
      </c>
      <c r="AA15" s="12">
        <f t="shared" si="18"/>
        <v>187.41935483870967</v>
      </c>
      <c r="AB15" s="12">
        <f t="shared" si="5"/>
        <v>139.44</v>
      </c>
      <c r="AC15" s="11">
        <v>0.39</v>
      </c>
      <c r="AD15" s="12">
        <f t="shared" si="19"/>
        <v>87.016129032258064</v>
      </c>
      <c r="AE15" s="12">
        <f t="shared" si="6"/>
        <v>64.740000000000009</v>
      </c>
      <c r="AF15" s="11">
        <v>0.79</v>
      </c>
      <c r="AG15" s="12">
        <f t="shared" si="20"/>
        <v>176.26344086021507</v>
      </c>
      <c r="AH15" s="12">
        <f t="shared" si="7"/>
        <v>131.14000000000001</v>
      </c>
      <c r="AI15" s="11">
        <v>0.79</v>
      </c>
      <c r="AJ15" s="12">
        <f t="shared" si="21"/>
        <v>176.26344086021507</v>
      </c>
      <c r="AK15" s="12">
        <f t="shared" si="8"/>
        <v>131.14000000000001</v>
      </c>
      <c r="AM15" s="4" t="s">
        <v>21</v>
      </c>
      <c r="AN15" s="26">
        <f t="shared" si="22"/>
        <v>206.38440860215053</v>
      </c>
      <c r="AO15" s="26">
        <f t="shared" si="23"/>
        <v>153.55000000000001</v>
      </c>
      <c r="AP15" s="26">
        <f t="shared" si="24"/>
        <v>131.63978494623657</v>
      </c>
      <c r="AQ15" s="26">
        <f t="shared" si="25"/>
        <v>97.940000000000012</v>
      </c>
      <c r="AR15" s="26">
        <f t="shared" si="26"/>
        <v>192.99731182795699</v>
      </c>
      <c r="AS15" s="26">
        <f t="shared" si="27"/>
        <v>143.59</v>
      </c>
      <c r="AT15" s="26">
        <f t="shared" si="28"/>
        <v>192.99731182795699</v>
      </c>
      <c r="AU15" s="26">
        <f t="shared" si="29"/>
        <v>143.59</v>
      </c>
      <c r="AW15" s="4" t="s">
        <v>21</v>
      </c>
      <c r="AX15" s="11">
        <v>0.55000000000000004</v>
      </c>
      <c r="AY15" s="12">
        <f t="shared" si="30"/>
        <v>122.71505376344088</v>
      </c>
      <c r="AZ15" s="12">
        <f t="shared" si="9"/>
        <v>91.300000000000011</v>
      </c>
      <c r="BA15" s="11">
        <v>0.3</v>
      </c>
      <c r="BB15" s="12">
        <f t="shared" si="31"/>
        <v>66.935483870967744</v>
      </c>
      <c r="BC15" s="12">
        <f t="shared" si="10"/>
        <v>49.8</v>
      </c>
      <c r="BD15" s="11">
        <v>0.56999999999999995</v>
      </c>
      <c r="BE15" s="12">
        <f t="shared" si="32"/>
        <v>127.1774193548387</v>
      </c>
      <c r="BF15" s="12">
        <f t="shared" si="11"/>
        <v>94.61999999999999</v>
      </c>
      <c r="BG15" s="11">
        <v>0.56999999999999995</v>
      </c>
      <c r="BH15" s="12">
        <f t="shared" si="33"/>
        <v>127.1774193548387</v>
      </c>
      <c r="BI15" s="12">
        <f t="shared" si="12"/>
        <v>94.61999999999999</v>
      </c>
    </row>
    <row r="16" spans="1:61" ht="14.4" x14ac:dyDescent="0.3">
      <c r="A16" s="13" t="s">
        <v>23</v>
      </c>
      <c r="B16" s="5">
        <v>30</v>
      </c>
      <c r="C16" s="5">
        <f t="shared" si="13"/>
        <v>720</v>
      </c>
      <c r="D16" s="9">
        <f t="shared" si="0"/>
        <v>247.22222222222223</v>
      </c>
      <c r="E16" s="5">
        <v>178</v>
      </c>
      <c r="H16" s="10"/>
      <c r="J16" s="11">
        <v>0.97</v>
      </c>
      <c r="K16" s="12">
        <f t="shared" si="1"/>
        <v>239.80555555555554</v>
      </c>
      <c r="L16" s="12">
        <f t="shared" si="14"/>
        <v>172.66</v>
      </c>
      <c r="M16" s="11">
        <v>0.82</v>
      </c>
      <c r="N16" s="12">
        <f t="shared" si="2"/>
        <v>202.72222222222223</v>
      </c>
      <c r="O16" s="12">
        <f t="shared" si="15"/>
        <v>145.95999999999998</v>
      </c>
      <c r="P16" s="11">
        <v>0.93</v>
      </c>
      <c r="Q16" s="12">
        <f t="shared" si="3"/>
        <v>229.91666666666669</v>
      </c>
      <c r="R16" s="12">
        <f t="shared" si="16"/>
        <v>165.54000000000002</v>
      </c>
      <c r="S16" s="11">
        <v>0.93</v>
      </c>
      <c r="T16" s="12">
        <f t="shared" si="4"/>
        <v>229.91666666666669</v>
      </c>
      <c r="U16" s="12">
        <f t="shared" si="17"/>
        <v>165.54000000000002</v>
      </c>
      <c r="X16" s="10"/>
      <c r="Y16" s="10"/>
      <c r="Z16" s="11">
        <v>0.78</v>
      </c>
      <c r="AA16" s="12">
        <f t="shared" si="18"/>
        <v>192.83333333333334</v>
      </c>
      <c r="AB16" s="12">
        <f t="shared" si="5"/>
        <v>138.84</v>
      </c>
      <c r="AC16" s="11">
        <v>0.45</v>
      </c>
      <c r="AD16" s="12">
        <f t="shared" si="19"/>
        <v>111.25</v>
      </c>
      <c r="AE16" s="12">
        <f t="shared" si="6"/>
        <v>80.100000000000009</v>
      </c>
      <c r="AF16" s="11">
        <v>0.78</v>
      </c>
      <c r="AG16" s="12">
        <f t="shared" si="20"/>
        <v>192.83333333333334</v>
      </c>
      <c r="AH16" s="12">
        <f t="shared" si="7"/>
        <v>138.84</v>
      </c>
      <c r="AI16" s="11">
        <v>0.78</v>
      </c>
      <c r="AJ16" s="12">
        <f t="shared" si="21"/>
        <v>192.83333333333334</v>
      </c>
      <c r="AK16" s="12">
        <f t="shared" si="8"/>
        <v>138.84</v>
      </c>
      <c r="AN16" s="26">
        <f t="shared" si="22"/>
        <v>216.31944444444446</v>
      </c>
      <c r="AO16" s="26">
        <f t="shared" si="23"/>
        <v>155.75</v>
      </c>
      <c r="AP16" s="26">
        <f t="shared" si="24"/>
        <v>156.98611111111111</v>
      </c>
      <c r="AQ16" s="26">
        <f t="shared" si="25"/>
        <v>113.03</v>
      </c>
      <c r="AR16" s="26">
        <f t="shared" si="26"/>
        <v>211.375</v>
      </c>
      <c r="AS16" s="26">
        <f t="shared" si="27"/>
        <v>152.19</v>
      </c>
      <c r="AT16" s="26">
        <f t="shared" si="28"/>
        <v>211.375</v>
      </c>
      <c r="AU16" s="26">
        <f>(U16+AK16)/2</f>
        <v>152.19</v>
      </c>
      <c r="AX16" s="11">
        <v>0.49</v>
      </c>
      <c r="AY16" s="12">
        <f t="shared" si="30"/>
        <v>121.13888888888889</v>
      </c>
      <c r="AZ16" s="12">
        <f t="shared" si="9"/>
        <v>87.22</v>
      </c>
      <c r="BA16" s="11">
        <v>0.31</v>
      </c>
      <c r="BB16" s="12">
        <f t="shared" si="31"/>
        <v>76.638888888888886</v>
      </c>
      <c r="BC16" s="12">
        <f t="shared" si="10"/>
        <v>55.18</v>
      </c>
      <c r="BD16" s="11">
        <v>0.55000000000000004</v>
      </c>
      <c r="BE16" s="12">
        <f t="shared" si="32"/>
        <v>135.97222222222223</v>
      </c>
      <c r="BF16" s="12">
        <f t="shared" si="11"/>
        <v>97.9</v>
      </c>
      <c r="BG16" s="11">
        <v>0.55000000000000004</v>
      </c>
      <c r="BH16" s="12">
        <f t="shared" si="33"/>
        <v>135.97222222222223</v>
      </c>
      <c r="BI16" s="12">
        <f t="shared" si="12"/>
        <v>97.9</v>
      </c>
    </row>
    <row r="17" spans="1:61" ht="14.4" x14ac:dyDescent="0.3">
      <c r="A17" s="13" t="s">
        <v>24</v>
      </c>
      <c r="B17" s="5">
        <v>31</v>
      </c>
      <c r="C17" s="5">
        <f t="shared" si="13"/>
        <v>744</v>
      </c>
      <c r="D17" s="9">
        <f t="shared" si="0"/>
        <v>229.83870967741936</v>
      </c>
      <c r="E17" s="5">
        <v>171</v>
      </c>
      <c r="H17" s="10"/>
      <c r="J17" s="11">
        <v>0.98</v>
      </c>
      <c r="K17" s="12">
        <f t="shared" si="1"/>
        <v>225.24193548387098</v>
      </c>
      <c r="L17" s="12">
        <f t="shared" si="14"/>
        <v>167.57999999999998</v>
      </c>
      <c r="M17" s="11">
        <v>0.81</v>
      </c>
      <c r="N17" s="12">
        <f t="shared" si="2"/>
        <v>186.16935483870969</v>
      </c>
      <c r="O17" s="12">
        <f t="shared" si="15"/>
        <v>138.51000000000002</v>
      </c>
      <c r="P17" s="11">
        <v>0.93</v>
      </c>
      <c r="Q17" s="12">
        <f t="shared" si="3"/>
        <v>213.75000000000003</v>
      </c>
      <c r="R17" s="12">
        <f t="shared" si="16"/>
        <v>159.03</v>
      </c>
      <c r="S17" s="11">
        <v>0.93</v>
      </c>
      <c r="T17" s="12">
        <f t="shared" si="4"/>
        <v>213.75000000000003</v>
      </c>
      <c r="U17" s="12">
        <f t="shared" si="17"/>
        <v>159.03</v>
      </c>
      <c r="X17" s="10"/>
      <c r="Y17" s="10"/>
      <c r="Z17" s="11">
        <v>0.81</v>
      </c>
      <c r="AA17" s="12">
        <f t="shared" si="18"/>
        <v>186.16935483870969</v>
      </c>
      <c r="AB17" s="12">
        <f t="shared" si="5"/>
        <v>138.51000000000002</v>
      </c>
      <c r="AC17" s="11">
        <v>0.42</v>
      </c>
      <c r="AD17" s="12">
        <f t="shared" si="19"/>
        <v>96.532258064516128</v>
      </c>
      <c r="AE17" s="12">
        <f t="shared" si="6"/>
        <v>71.819999999999993</v>
      </c>
      <c r="AF17" s="11">
        <v>0.78</v>
      </c>
      <c r="AG17" s="12">
        <f t="shared" si="20"/>
        <v>179.2741935483871</v>
      </c>
      <c r="AH17" s="12">
        <f t="shared" si="7"/>
        <v>133.38</v>
      </c>
      <c r="AI17" s="11">
        <v>0.78</v>
      </c>
      <c r="AJ17" s="12">
        <f t="shared" si="21"/>
        <v>179.2741935483871</v>
      </c>
      <c r="AK17" s="12">
        <f t="shared" si="8"/>
        <v>133.38</v>
      </c>
      <c r="AN17" s="26">
        <f t="shared" si="22"/>
        <v>205.70564516129033</v>
      </c>
      <c r="AO17" s="26">
        <f t="shared" si="23"/>
        <v>153.04500000000002</v>
      </c>
      <c r="AP17" s="26">
        <f t="shared" si="24"/>
        <v>141.35080645161293</v>
      </c>
      <c r="AQ17" s="26">
        <f t="shared" si="25"/>
        <v>105.16500000000001</v>
      </c>
      <c r="AR17" s="26">
        <f t="shared" si="26"/>
        <v>196.51209677419357</v>
      </c>
      <c r="AS17" s="26">
        <f t="shared" si="27"/>
        <v>146.20499999999998</v>
      </c>
      <c r="AT17" s="26">
        <f t="shared" si="28"/>
        <v>196.51209677419357</v>
      </c>
      <c r="AU17" s="26">
        <f t="shared" si="29"/>
        <v>146.20499999999998</v>
      </c>
      <c r="AX17" s="11">
        <v>0.51</v>
      </c>
      <c r="AY17" s="12">
        <f t="shared" si="30"/>
        <v>117.21774193548387</v>
      </c>
      <c r="AZ17" s="12">
        <f t="shared" si="9"/>
        <v>87.210000000000008</v>
      </c>
      <c r="BA17" s="11">
        <v>0.3</v>
      </c>
      <c r="BB17" s="12">
        <f t="shared" si="31"/>
        <v>68.951612903225808</v>
      </c>
      <c r="BC17" s="12">
        <f t="shared" si="10"/>
        <v>51.3</v>
      </c>
      <c r="BD17" s="11">
        <v>0.55000000000000004</v>
      </c>
      <c r="BE17" s="12">
        <f t="shared" si="32"/>
        <v>126.41129032258065</v>
      </c>
      <c r="BF17" s="12">
        <f t="shared" si="11"/>
        <v>94.050000000000011</v>
      </c>
      <c r="BG17" s="11">
        <v>0.55000000000000004</v>
      </c>
      <c r="BH17" s="12">
        <f t="shared" si="33"/>
        <v>126.41129032258065</v>
      </c>
      <c r="BI17" s="12">
        <f t="shared" si="12"/>
        <v>94.050000000000011</v>
      </c>
    </row>
    <row r="18" spans="1:61" ht="14.4" x14ac:dyDescent="0.3">
      <c r="A18" s="13" t="s">
        <v>25</v>
      </c>
      <c r="B18" s="5">
        <v>31</v>
      </c>
      <c r="C18" s="5">
        <f t="shared" si="13"/>
        <v>744</v>
      </c>
      <c r="D18" s="9">
        <f t="shared" si="0"/>
        <v>197.58064516129033</v>
      </c>
      <c r="E18" s="5">
        <v>147</v>
      </c>
      <c r="H18" s="10"/>
      <c r="J18" s="11">
        <v>1.05</v>
      </c>
      <c r="K18" s="12">
        <f t="shared" si="1"/>
        <v>207.45967741935485</v>
      </c>
      <c r="L18" s="12">
        <f t="shared" si="14"/>
        <v>154.35</v>
      </c>
      <c r="M18" s="11">
        <v>0.73</v>
      </c>
      <c r="N18" s="12">
        <f t="shared" si="2"/>
        <v>144.23387096774195</v>
      </c>
      <c r="O18" s="12">
        <f t="shared" si="15"/>
        <v>107.31</v>
      </c>
      <c r="P18" s="11">
        <v>0.93</v>
      </c>
      <c r="Q18" s="12">
        <f t="shared" si="3"/>
        <v>183.75000000000003</v>
      </c>
      <c r="R18" s="12">
        <f t="shared" si="16"/>
        <v>136.71</v>
      </c>
      <c r="S18" s="11">
        <v>0.93</v>
      </c>
      <c r="T18" s="12">
        <f t="shared" si="4"/>
        <v>183.75000000000003</v>
      </c>
      <c r="U18" s="12">
        <f t="shared" si="17"/>
        <v>136.71</v>
      </c>
      <c r="X18" s="10"/>
      <c r="Y18" s="10"/>
      <c r="Z18" s="11">
        <v>0.91</v>
      </c>
      <c r="AA18" s="12">
        <f t="shared" si="18"/>
        <v>179.79838709677421</v>
      </c>
      <c r="AB18" s="12">
        <f t="shared" si="5"/>
        <v>133.77000000000001</v>
      </c>
      <c r="AC18" s="11">
        <v>0.34</v>
      </c>
      <c r="AD18" s="12">
        <f t="shared" si="19"/>
        <v>67.177419354838719</v>
      </c>
      <c r="AE18" s="12">
        <f t="shared" si="6"/>
        <v>49.980000000000004</v>
      </c>
      <c r="AF18" s="11">
        <v>0.79</v>
      </c>
      <c r="AG18" s="12">
        <f t="shared" si="20"/>
        <v>156.08870967741936</v>
      </c>
      <c r="AH18" s="12">
        <f t="shared" si="7"/>
        <v>116.13000000000001</v>
      </c>
      <c r="AI18" s="11">
        <v>0.79</v>
      </c>
      <c r="AJ18" s="12">
        <f t="shared" si="21"/>
        <v>156.08870967741936</v>
      </c>
      <c r="AK18" s="12">
        <f t="shared" si="8"/>
        <v>116.13000000000001</v>
      </c>
      <c r="AN18" s="26">
        <f t="shared" si="22"/>
        <v>193.62903225806451</v>
      </c>
      <c r="AO18" s="26">
        <f>(L18+AB18)/2</f>
        <v>144.06</v>
      </c>
      <c r="AP18" s="26">
        <f t="shared" si="24"/>
        <v>105.70564516129033</v>
      </c>
      <c r="AQ18" s="26">
        <f>(O18+AE18)/2</f>
        <v>78.64500000000001</v>
      </c>
      <c r="AR18" s="26">
        <f t="shared" si="26"/>
        <v>169.91935483870969</v>
      </c>
      <c r="AS18" s="26">
        <f t="shared" si="27"/>
        <v>126.42000000000002</v>
      </c>
      <c r="AT18" s="26">
        <f t="shared" si="28"/>
        <v>169.91935483870969</v>
      </c>
      <c r="AU18" s="26">
        <f t="shared" si="29"/>
        <v>126.42000000000002</v>
      </c>
      <c r="AX18" s="11">
        <v>0.62</v>
      </c>
      <c r="AY18" s="12">
        <f t="shared" si="30"/>
        <v>122.5</v>
      </c>
      <c r="AZ18" s="12">
        <f t="shared" si="9"/>
        <v>91.14</v>
      </c>
      <c r="BA18" s="11">
        <v>0.28999999999999998</v>
      </c>
      <c r="BB18" s="12">
        <f t="shared" si="31"/>
        <v>57.298387096774192</v>
      </c>
      <c r="BC18" s="12">
        <f t="shared" si="10"/>
        <v>42.629999999999995</v>
      </c>
      <c r="BD18" s="11">
        <v>0.57999999999999996</v>
      </c>
      <c r="BE18" s="12">
        <f t="shared" si="32"/>
        <v>114.59677419354838</v>
      </c>
      <c r="BF18" s="12">
        <f t="shared" si="11"/>
        <v>85.259999999999991</v>
      </c>
      <c r="BG18" s="11">
        <v>0.57999999999999996</v>
      </c>
      <c r="BH18" s="12">
        <f t="shared" si="33"/>
        <v>114.59677419354838</v>
      </c>
      <c r="BI18" s="12">
        <f t="shared" si="12"/>
        <v>85.259999999999991</v>
      </c>
    </row>
    <row r="19" spans="1:61" ht="14.4" x14ac:dyDescent="0.3">
      <c r="A19" s="13" t="s">
        <v>26</v>
      </c>
      <c r="B19" s="5">
        <v>30</v>
      </c>
      <c r="C19" s="5">
        <f t="shared" si="13"/>
        <v>720</v>
      </c>
      <c r="D19" s="9">
        <f t="shared" si="0"/>
        <v>154.16666666666666</v>
      </c>
      <c r="E19" s="5">
        <v>111</v>
      </c>
      <c r="H19" s="10"/>
      <c r="J19" s="11">
        <v>1.18</v>
      </c>
      <c r="K19" s="12">
        <f t="shared" si="1"/>
        <v>181.91666666666666</v>
      </c>
      <c r="L19" s="12">
        <f t="shared" si="14"/>
        <v>130.97999999999999</v>
      </c>
      <c r="M19" s="11">
        <v>0.57999999999999996</v>
      </c>
      <c r="N19" s="12">
        <f t="shared" si="2"/>
        <v>89.416666666666657</v>
      </c>
      <c r="O19" s="12">
        <f t="shared" si="15"/>
        <v>64.38</v>
      </c>
      <c r="P19" s="11">
        <v>0.95</v>
      </c>
      <c r="Q19" s="12">
        <f t="shared" si="3"/>
        <v>146.45833333333331</v>
      </c>
      <c r="R19" s="12">
        <f t="shared" si="16"/>
        <v>105.44999999999999</v>
      </c>
      <c r="S19" s="11">
        <v>0.95</v>
      </c>
      <c r="T19" s="12">
        <f t="shared" si="4"/>
        <v>146.45833333333331</v>
      </c>
      <c r="U19" s="12">
        <f t="shared" si="17"/>
        <v>105.44999999999999</v>
      </c>
      <c r="X19" s="10"/>
      <c r="Y19" s="10"/>
      <c r="Z19" s="11">
        <v>1.1200000000000001</v>
      </c>
      <c r="AA19" s="12">
        <f t="shared" si="18"/>
        <v>172.66666666666669</v>
      </c>
      <c r="AB19" s="12">
        <f t="shared" si="5"/>
        <v>124.32000000000001</v>
      </c>
      <c r="AC19" s="11">
        <v>0.3</v>
      </c>
      <c r="AD19" s="12">
        <f t="shared" si="19"/>
        <v>46.249999999999993</v>
      </c>
      <c r="AE19" s="12">
        <f t="shared" si="6"/>
        <v>33.299999999999997</v>
      </c>
      <c r="AF19" s="11">
        <v>0.81</v>
      </c>
      <c r="AG19" s="12">
        <f t="shared" si="20"/>
        <v>124.875</v>
      </c>
      <c r="AH19" s="12">
        <f t="shared" si="7"/>
        <v>89.910000000000011</v>
      </c>
      <c r="AI19" s="11">
        <v>0.81</v>
      </c>
      <c r="AJ19" s="12">
        <f t="shared" si="21"/>
        <v>124.875</v>
      </c>
      <c r="AK19" s="12">
        <f t="shared" si="8"/>
        <v>89.910000000000011</v>
      </c>
      <c r="AN19" s="26">
        <f t="shared" si="22"/>
        <v>177.29166666666669</v>
      </c>
      <c r="AO19" s="26">
        <f t="shared" si="23"/>
        <v>127.65</v>
      </c>
      <c r="AP19" s="26">
        <f t="shared" si="24"/>
        <v>67.833333333333329</v>
      </c>
      <c r="AQ19" s="26">
        <f t="shared" si="25"/>
        <v>48.839999999999996</v>
      </c>
      <c r="AR19" s="26">
        <f t="shared" si="26"/>
        <v>135.66666666666666</v>
      </c>
      <c r="AS19" s="26">
        <f t="shared" si="27"/>
        <v>97.68</v>
      </c>
      <c r="AT19" s="26">
        <f t="shared" si="28"/>
        <v>135.66666666666666</v>
      </c>
      <c r="AU19" s="26">
        <f>(U19+AK19)/2</f>
        <v>97.68</v>
      </c>
      <c r="AX19" s="11">
        <v>0.85</v>
      </c>
      <c r="AY19" s="12">
        <f t="shared" si="30"/>
        <v>131.04166666666666</v>
      </c>
      <c r="AZ19" s="12">
        <f t="shared" si="9"/>
        <v>94.35</v>
      </c>
      <c r="BA19" s="11">
        <v>0.27</v>
      </c>
      <c r="BB19" s="12">
        <f t="shared" si="31"/>
        <v>41.625</v>
      </c>
      <c r="BC19" s="12">
        <f t="shared" si="10"/>
        <v>29.970000000000002</v>
      </c>
      <c r="BD19" s="11">
        <v>0.6</v>
      </c>
      <c r="BE19" s="12">
        <f t="shared" si="32"/>
        <v>92.499999999999986</v>
      </c>
      <c r="BF19" s="12">
        <f t="shared" si="11"/>
        <v>66.599999999999994</v>
      </c>
      <c r="BG19" s="11">
        <v>0.6</v>
      </c>
      <c r="BH19" s="12">
        <f t="shared" si="33"/>
        <v>92.499999999999986</v>
      </c>
      <c r="BI19" s="12">
        <f t="shared" si="12"/>
        <v>66.599999999999994</v>
      </c>
    </row>
    <row r="20" spans="1:61" ht="14.4" x14ac:dyDescent="0.3">
      <c r="A20" s="13" t="s">
        <v>5</v>
      </c>
      <c r="B20" s="5">
        <v>31</v>
      </c>
      <c r="C20" s="5">
        <f t="shared" si="13"/>
        <v>744</v>
      </c>
      <c r="D20" s="9">
        <f t="shared" si="0"/>
        <v>86.021505376344081</v>
      </c>
      <c r="E20" s="5">
        <v>64</v>
      </c>
      <c r="H20" s="10"/>
      <c r="J20" s="11">
        <v>1.35</v>
      </c>
      <c r="K20" s="12">
        <f t="shared" si="1"/>
        <v>116.12903225806451</v>
      </c>
      <c r="L20" s="12">
        <f t="shared" si="14"/>
        <v>86.4</v>
      </c>
      <c r="M20" s="11">
        <v>0.43</v>
      </c>
      <c r="N20" s="12">
        <f t="shared" si="2"/>
        <v>36.989247311827953</v>
      </c>
      <c r="O20" s="12">
        <f t="shared" si="15"/>
        <v>27.52</v>
      </c>
      <c r="P20" s="11">
        <v>0.96</v>
      </c>
      <c r="Q20" s="12">
        <f t="shared" si="3"/>
        <v>82.58064516129032</v>
      </c>
      <c r="R20" s="12">
        <f t="shared" si="16"/>
        <v>61.44</v>
      </c>
      <c r="S20" s="11">
        <v>0.96</v>
      </c>
      <c r="T20" s="12">
        <f t="shared" si="4"/>
        <v>82.58064516129032</v>
      </c>
      <c r="U20" s="12">
        <f t="shared" si="17"/>
        <v>61.44</v>
      </c>
      <c r="X20" s="10"/>
      <c r="Y20" s="10"/>
      <c r="Z20" s="11">
        <v>1.43</v>
      </c>
      <c r="AA20" s="12">
        <f t="shared" si="18"/>
        <v>123.01075268817203</v>
      </c>
      <c r="AB20" s="12">
        <f t="shared" si="5"/>
        <v>91.52</v>
      </c>
      <c r="AC20" s="11">
        <v>0.33</v>
      </c>
      <c r="AD20" s="12">
        <f t="shared" si="19"/>
        <v>28.387096774193548</v>
      </c>
      <c r="AE20" s="12">
        <f t="shared" si="6"/>
        <v>21.12</v>
      </c>
      <c r="AF20" s="11">
        <v>0.84</v>
      </c>
      <c r="AG20" s="12">
        <f t="shared" si="20"/>
        <v>72.258064516129025</v>
      </c>
      <c r="AH20" s="12">
        <f t="shared" si="7"/>
        <v>53.76</v>
      </c>
      <c r="AI20" s="11">
        <v>0.84</v>
      </c>
      <c r="AJ20" s="12">
        <f t="shared" si="21"/>
        <v>72.258064516129025</v>
      </c>
      <c r="AK20" s="12">
        <f t="shared" si="8"/>
        <v>53.76</v>
      </c>
      <c r="AN20" s="26">
        <f t="shared" si="22"/>
        <v>119.56989247311827</v>
      </c>
      <c r="AO20" s="26">
        <f t="shared" si="23"/>
        <v>88.960000000000008</v>
      </c>
      <c r="AP20" s="26">
        <f t="shared" si="24"/>
        <v>32.688172043010752</v>
      </c>
      <c r="AQ20" s="26">
        <f t="shared" si="25"/>
        <v>24.32</v>
      </c>
      <c r="AR20" s="26">
        <f t="shared" si="26"/>
        <v>77.419354838709666</v>
      </c>
      <c r="AS20" s="26">
        <f t="shared" si="27"/>
        <v>57.599999999999994</v>
      </c>
      <c r="AT20" s="26">
        <f t="shared" si="28"/>
        <v>77.419354838709666</v>
      </c>
      <c r="AU20" s="26">
        <f t="shared" si="29"/>
        <v>57.599999999999994</v>
      </c>
      <c r="AX20" s="11">
        <v>1.22</v>
      </c>
      <c r="AY20" s="12">
        <f t="shared" si="30"/>
        <v>104.94623655913978</v>
      </c>
      <c r="AZ20" s="12">
        <f t="shared" si="9"/>
        <v>78.08</v>
      </c>
      <c r="BA20" s="11">
        <v>0.28999999999999998</v>
      </c>
      <c r="BB20" s="12">
        <f t="shared" si="31"/>
        <v>24.946236559139781</v>
      </c>
      <c r="BC20" s="12">
        <f t="shared" si="10"/>
        <v>18.559999999999999</v>
      </c>
      <c r="BD20" s="11">
        <v>0.64</v>
      </c>
      <c r="BE20" s="12">
        <f t="shared" si="32"/>
        <v>55.053763440860216</v>
      </c>
      <c r="BF20" s="12">
        <f t="shared" si="11"/>
        <v>40.96</v>
      </c>
      <c r="BG20" s="11">
        <v>0.64</v>
      </c>
      <c r="BH20" s="12">
        <f t="shared" si="33"/>
        <v>55.053763440860216</v>
      </c>
      <c r="BI20" s="12">
        <f t="shared" si="12"/>
        <v>40.96</v>
      </c>
    </row>
    <row r="21" spans="1:61" ht="14.4" x14ac:dyDescent="0.3">
      <c r="A21" s="13" t="s">
        <v>6</v>
      </c>
      <c r="B21" s="5">
        <v>30</v>
      </c>
      <c r="C21" s="5">
        <f t="shared" si="13"/>
        <v>720</v>
      </c>
      <c r="D21" s="9">
        <f t="shared" si="0"/>
        <v>41.666666666666664</v>
      </c>
      <c r="E21" s="5">
        <v>30</v>
      </c>
      <c r="H21" s="10"/>
      <c r="J21" s="11">
        <v>1.53</v>
      </c>
      <c r="K21" s="12">
        <f t="shared" si="1"/>
        <v>63.75</v>
      </c>
      <c r="L21" s="12">
        <f t="shared" si="14"/>
        <v>45.9</v>
      </c>
      <c r="M21" s="11">
        <v>0.45</v>
      </c>
      <c r="N21" s="12">
        <f t="shared" si="2"/>
        <v>18.75</v>
      </c>
      <c r="O21" s="12">
        <f t="shared" si="15"/>
        <v>13.5</v>
      </c>
      <c r="P21" s="11">
        <v>0.98</v>
      </c>
      <c r="Q21" s="12">
        <f t="shared" si="3"/>
        <v>40.833333333333329</v>
      </c>
      <c r="R21" s="12">
        <f t="shared" si="16"/>
        <v>29.4</v>
      </c>
      <c r="S21" s="11">
        <v>0.98</v>
      </c>
      <c r="T21" s="12">
        <f t="shared" si="4"/>
        <v>40.833333333333329</v>
      </c>
      <c r="U21" s="12">
        <f t="shared" si="17"/>
        <v>29.4</v>
      </c>
      <c r="X21" s="10"/>
      <c r="Y21" s="10"/>
      <c r="Z21" s="11">
        <v>1.76</v>
      </c>
      <c r="AA21" s="12">
        <f t="shared" si="18"/>
        <v>73.333333333333329</v>
      </c>
      <c r="AB21" s="12">
        <f t="shared" si="5"/>
        <v>52.8</v>
      </c>
      <c r="AC21" s="11">
        <v>0.39</v>
      </c>
      <c r="AD21" s="12">
        <f t="shared" si="19"/>
        <v>16.25</v>
      </c>
      <c r="AE21" s="12">
        <f t="shared" si="6"/>
        <v>11.700000000000001</v>
      </c>
      <c r="AF21" s="11">
        <v>0.85</v>
      </c>
      <c r="AG21" s="12">
        <f t="shared" si="20"/>
        <v>35.416666666666664</v>
      </c>
      <c r="AH21" s="12">
        <f t="shared" si="7"/>
        <v>25.5</v>
      </c>
      <c r="AI21" s="11">
        <v>0.85</v>
      </c>
      <c r="AJ21" s="12">
        <f t="shared" si="21"/>
        <v>35.416666666666664</v>
      </c>
      <c r="AK21" s="12">
        <f t="shared" si="8"/>
        <v>25.5</v>
      </c>
      <c r="AN21" s="26">
        <f t="shared" si="22"/>
        <v>68.541666666666657</v>
      </c>
      <c r="AO21" s="26">
        <f t="shared" si="23"/>
        <v>49.349999999999994</v>
      </c>
      <c r="AP21" s="26">
        <f t="shared" si="24"/>
        <v>17.5</v>
      </c>
      <c r="AQ21" s="26">
        <f t="shared" si="25"/>
        <v>12.600000000000001</v>
      </c>
      <c r="AR21" s="26">
        <f t="shared" si="26"/>
        <v>38.125</v>
      </c>
      <c r="AS21" s="26">
        <f t="shared" si="27"/>
        <v>27.45</v>
      </c>
      <c r="AT21" s="26">
        <f t="shared" si="28"/>
        <v>38.125</v>
      </c>
      <c r="AU21" s="26">
        <f t="shared" si="29"/>
        <v>27.45</v>
      </c>
      <c r="AX21" s="11">
        <v>1.62</v>
      </c>
      <c r="AY21" s="12">
        <f t="shared" si="30"/>
        <v>67.5</v>
      </c>
      <c r="AZ21" s="12">
        <f t="shared" si="9"/>
        <v>48.6</v>
      </c>
      <c r="BA21" s="11">
        <v>0.35</v>
      </c>
      <c r="BB21" s="12">
        <f t="shared" si="31"/>
        <v>14.583333333333332</v>
      </c>
      <c r="BC21" s="12">
        <f t="shared" si="10"/>
        <v>10.5</v>
      </c>
      <c r="BD21" s="11">
        <v>0.64</v>
      </c>
      <c r="BE21" s="12">
        <f t="shared" si="32"/>
        <v>26.666666666666664</v>
      </c>
      <c r="BF21" s="12">
        <f t="shared" si="11"/>
        <v>19.2</v>
      </c>
      <c r="BG21" s="11">
        <v>0.64</v>
      </c>
      <c r="BH21" s="12">
        <f t="shared" si="33"/>
        <v>26.666666666666664</v>
      </c>
      <c r="BI21" s="12">
        <f t="shared" si="12"/>
        <v>19.2</v>
      </c>
    </row>
    <row r="22" spans="1:61" ht="15" thickBot="1" x14ac:dyDescent="0.35">
      <c r="A22" s="14" t="s">
        <v>7</v>
      </c>
      <c r="B22" s="5">
        <v>31</v>
      </c>
      <c r="C22" s="5">
        <f t="shared" si="13"/>
        <v>744</v>
      </c>
      <c r="D22" s="9">
        <f t="shared" si="0"/>
        <v>26.881720430107528</v>
      </c>
      <c r="E22" s="5">
        <v>20</v>
      </c>
      <c r="H22" s="10"/>
      <c r="J22" s="11">
        <v>1.81</v>
      </c>
      <c r="K22" s="12">
        <f t="shared" si="1"/>
        <v>48.655913978494624</v>
      </c>
      <c r="L22" s="12">
        <f t="shared" si="14"/>
        <v>36.200000000000003</v>
      </c>
      <c r="M22" s="11">
        <v>0.45</v>
      </c>
      <c r="N22" s="12">
        <f t="shared" si="2"/>
        <v>12.096774193548388</v>
      </c>
      <c r="O22" s="12">
        <f t="shared" si="15"/>
        <v>9</v>
      </c>
      <c r="P22" s="11">
        <v>1</v>
      </c>
      <c r="Q22" s="12">
        <f t="shared" si="3"/>
        <v>26.881720430107528</v>
      </c>
      <c r="R22" s="12">
        <f t="shared" si="16"/>
        <v>20</v>
      </c>
      <c r="S22" s="11">
        <v>1</v>
      </c>
      <c r="T22" s="12">
        <f t="shared" si="4"/>
        <v>26.881720430107528</v>
      </c>
      <c r="U22" s="12">
        <f t="shared" si="17"/>
        <v>20</v>
      </c>
      <c r="X22" s="10"/>
      <c r="Y22" s="10"/>
      <c r="Z22" s="11">
        <v>2.23</v>
      </c>
      <c r="AA22" s="12">
        <f t="shared" si="18"/>
        <v>59.946236559139784</v>
      </c>
      <c r="AB22" s="12">
        <f t="shared" si="5"/>
        <v>44.6</v>
      </c>
      <c r="AC22" s="11">
        <v>0.42</v>
      </c>
      <c r="AD22" s="12">
        <f t="shared" si="19"/>
        <v>11.290322580645162</v>
      </c>
      <c r="AE22" s="12">
        <f t="shared" si="6"/>
        <v>8.4</v>
      </c>
      <c r="AF22" s="11">
        <v>0.9</v>
      </c>
      <c r="AG22" s="12">
        <f t="shared" si="20"/>
        <v>24.193548387096776</v>
      </c>
      <c r="AH22" s="12">
        <f t="shared" si="7"/>
        <v>18</v>
      </c>
      <c r="AI22" s="11">
        <v>0.9</v>
      </c>
      <c r="AJ22" s="12">
        <f t="shared" si="21"/>
        <v>24.193548387096776</v>
      </c>
      <c r="AK22" s="12">
        <f t="shared" si="8"/>
        <v>18</v>
      </c>
      <c r="AN22" s="26">
        <f t="shared" si="22"/>
        <v>54.3010752688172</v>
      </c>
      <c r="AO22" s="26">
        <f t="shared" si="23"/>
        <v>40.400000000000006</v>
      </c>
      <c r="AP22" s="26">
        <f t="shared" si="24"/>
        <v>11.693548387096776</v>
      </c>
      <c r="AQ22" s="26">
        <f t="shared" si="25"/>
        <v>8.6999999999999993</v>
      </c>
      <c r="AR22" s="26">
        <f t="shared" si="26"/>
        <v>25.537634408602152</v>
      </c>
      <c r="AS22" s="26">
        <f t="shared" si="27"/>
        <v>19</v>
      </c>
      <c r="AT22" s="26">
        <f t="shared" si="28"/>
        <v>25.537634408602152</v>
      </c>
      <c r="AU22" s="26">
        <f t="shared" si="29"/>
        <v>19</v>
      </c>
      <c r="AX22" s="11">
        <v>2.19</v>
      </c>
      <c r="AY22" s="12">
        <f t="shared" si="30"/>
        <v>58.870967741935488</v>
      </c>
      <c r="AZ22" s="12">
        <f t="shared" si="9"/>
        <v>43.8</v>
      </c>
      <c r="BA22" s="11">
        <v>0.43</v>
      </c>
      <c r="BB22" s="12">
        <f t="shared" si="31"/>
        <v>11.559139784946236</v>
      </c>
      <c r="BC22" s="12">
        <f t="shared" si="10"/>
        <v>8.6</v>
      </c>
      <c r="BD22" s="11">
        <v>0.75</v>
      </c>
      <c r="BE22" s="12">
        <f t="shared" si="32"/>
        <v>20.161290322580648</v>
      </c>
      <c r="BF22" s="12">
        <f t="shared" si="11"/>
        <v>15</v>
      </c>
      <c r="BG22" s="11">
        <v>0.75</v>
      </c>
      <c r="BH22" s="12">
        <f t="shared" si="33"/>
        <v>20.161290322580648</v>
      </c>
      <c r="BI22" s="12">
        <f t="shared" si="12"/>
        <v>15</v>
      </c>
    </row>
    <row r="24" spans="1:61" x14ac:dyDescent="0.25">
      <c r="A24" s="15" t="s">
        <v>44</v>
      </c>
      <c r="B24" s="7" t="s">
        <v>10</v>
      </c>
      <c r="C24" s="7" t="s">
        <v>11</v>
      </c>
      <c r="E24" s="7" t="s">
        <v>12</v>
      </c>
      <c r="F24" s="7"/>
      <c r="G24" s="7"/>
      <c r="J24" s="36" t="s">
        <v>15</v>
      </c>
      <c r="K24" s="37"/>
      <c r="L24" s="38"/>
      <c r="M24" s="36" t="s">
        <v>16</v>
      </c>
      <c r="N24" s="37"/>
      <c r="O24" s="38"/>
      <c r="P24" s="36" t="s">
        <v>17</v>
      </c>
      <c r="Q24" s="37"/>
      <c r="R24" s="37"/>
      <c r="S24" s="34" t="s">
        <v>18</v>
      </c>
      <c r="T24" s="34"/>
      <c r="U24" s="34"/>
      <c r="Z24" s="36" t="s">
        <v>15</v>
      </c>
      <c r="AA24" s="37"/>
      <c r="AB24" s="38"/>
      <c r="AC24" s="36" t="s">
        <v>16</v>
      </c>
      <c r="AD24" s="37"/>
      <c r="AE24" s="38"/>
      <c r="AF24" s="36" t="s">
        <v>17</v>
      </c>
      <c r="AG24" s="37"/>
      <c r="AH24" s="37"/>
      <c r="AI24" s="34" t="s">
        <v>18</v>
      </c>
      <c r="AJ24" s="34"/>
      <c r="AK24" s="34"/>
      <c r="AN24" s="32" t="s">
        <v>15</v>
      </c>
      <c r="AO24" s="33"/>
      <c r="AP24" s="32" t="s">
        <v>16</v>
      </c>
      <c r="AQ24" s="33"/>
      <c r="AR24" s="32" t="s">
        <v>19</v>
      </c>
      <c r="AS24" s="33"/>
      <c r="AT24" s="34" t="s">
        <v>18</v>
      </c>
      <c r="AU24" s="34"/>
      <c r="AX24" s="36" t="s">
        <v>15</v>
      </c>
      <c r="AY24" s="37"/>
      <c r="AZ24" s="38"/>
      <c r="BA24" s="36" t="s">
        <v>16</v>
      </c>
      <c r="BB24" s="37"/>
      <c r="BC24" s="38"/>
      <c r="BD24" s="36" t="s">
        <v>17</v>
      </c>
      <c r="BE24" s="37"/>
      <c r="BF24" s="37"/>
      <c r="BG24" s="34" t="s">
        <v>18</v>
      </c>
      <c r="BH24" s="34"/>
      <c r="BI24" s="34"/>
    </row>
    <row r="25" spans="1:61" ht="13.8" thickBot="1" x14ac:dyDescent="0.3">
      <c r="D25" s="5" t="s">
        <v>14</v>
      </c>
      <c r="E25" s="5" t="s">
        <v>13</v>
      </c>
      <c r="J25" s="4" t="s">
        <v>48</v>
      </c>
      <c r="K25" s="4" t="s">
        <v>14</v>
      </c>
      <c r="L25" s="4" t="s">
        <v>13</v>
      </c>
      <c r="M25" s="4" t="s">
        <v>48</v>
      </c>
      <c r="N25" s="4" t="s">
        <v>14</v>
      </c>
      <c r="O25" s="4" t="s">
        <v>13</v>
      </c>
      <c r="P25" s="4" t="s">
        <v>48</v>
      </c>
      <c r="Q25" s="4" t="s">
        <v>14</v>
      </c>
      <c r="R25" s="4" t="s">
        <v>13</v>
      </c>
      <c r="S25" s="24" t="s">
        <v>48</v>
      </c>
      <c r="T25" s="24" t="s">
        <v>14</v>
      </c>
      <c r="U25" s="24" t="s">
        <v>13</v>
      </c>
      <c r="Z25" s="4" t="s">
        <v>48</v>
      </c>
      <c r="AA25" s="4" t="s">
        <v>14</v>
      </c>
      <c r="AB25" s="4" t="s">
        <v>13</v>
      </c>
      <c r="AC25" s="4" t="s">
        <v>48</v>
      </c>
      <c r="AD25" s="4" t="s">
        <v>14</v>
      </c>
      <c r="AE25" s="4" t="s">
        <v>13</v>
      </c>
      <c r="AF25" s="4" t="s">
        <v>48</v>
      </c>
      <c r="AG25" s="4" t="s">
        <v>14</v>
      </c>
      <c r="AH25" s="4" t="s">
        <v>13</v>
      </c>
      <c r="AI25" s="24" t="s">
        <v>48</v>
      </c>
      <c r="AJ25" s="24" t="s">
        <v>14</v>
      </c>
      <c r="AK25" s="24" t="s">
        <v>13</v>
      </c>
      <c r="AN25" s="24" t="s">
        <v>14</v>
      </c>
      <c r="AO25" s="24" t="s">
        <v>13</v>
      </c>
      <c r="AP25" s="24" t="s">
        <v>14</v>
      </c>
      <c r="AQ25" s="24" t="s">
        <v>13</v>
      </c>
      <c r="AR25" s="24" t="s">
        <v>14</v>
      </c>
      <c r="AS25" s="24" t="s">
        <v>13</v>
      </c>
      <c r="AT25" s="24" t="s">
        <v>14</v>
      </c>
      <c r="AU25" s="24" t="s">
        <v>13</v>
      </c>
      <c r="AX25" s="4" t="s">
        <v>48</v>
      </c>
      <c r="AY25" s="4" t="s">
        <v>14</v>
      </c>
      <c r="AZ25" s="4" t="s">
        <v>13</v>
      </c>
      <c r="BA25" s="4" t="s">
        <v>48</v>
      </c>
      <c r="BB25" s="4" t="s">
        <v>14</v>
      </c>
      <c r="BC25" s="4" t="s">
        <v>13</v>
      </c>
      <c r="BD25" s="4" t="s">
        <v>48</v>
      </c>
      <c r="BE25" s="4" t="s">
        <v>14</v>
      </c>
      <c r="BF25" s="4" t="s">
        <v>13</v>
      </c>
      <c r="BG25" s="24" t="s">
        <v>48</v>
      </c>
      <c r="BH25" s="24" t="s">
        <v>14</v>
      </c>
      <c r="BI25" s="24" t="s">
        <v>13</v>
      </c>
    </row>
    <row r="26" spans="1:61" ht="14.4" x14ac:dyDescent="0.3">
      <c r="A26" s="8" t="s">
        <v>1</v>
      </c>
      <c r="B26" s="5">
        <v>31</v>
      </c>
      <c r="C26" s="5">
        <f>B26*24</f>
        <v>744</v>
      </c>
      <c r="D26" s="9">
        <f t="shared" ref="D26:D37" si="34">E26*1000/C26</f>
        <v>38.978494623655912</v>
      </c>
      <c r="E26" s="5">
        <v>29</v>
      </c>
      <c r="H26" s="10"/>
      <c r="J26" s="11">
        <v>1.61</v>
      </c>
      <c r="K26" s="12">
        <f t="shared" ref="K26:K37" si="35">J26*D26</f>
        <v>62.755376344086024</v>
      </c>
      <c r="L26" s="12">
        <f>$E26*J26</f>
        <v>46.690000000000005</v>
      </c>
      <c r="M26" s="11">
        <v>0.52</v>
      </c>
      <c r="N26" s="12">
        <f t="shared" ref="N26:N37" si="36">M26*D26</f>
        <v>20.268817204301076</v>
      </c>
      <c r="O26" s="12">
        <f>$E26*M26</f>
        <v>15.08</v>
      </c>
      <c r="P26" s="11">
        <v>1</v>
      </c>
      <c r="Q26" s="12">
        <f t="shared" ref="Q26:Q37" si="37">P26*D26</f>
        <v>38.978494623655912</v>
      </c>
      <c r="R26" s="12">
        <f>$E26*P26</f>
        <v>29</v>
      </c>
      <c r="S26" s="11">
        <v>1</v>
      </c>
      <c r="T26" s="12">
        <f t="shared" ref="T26:T37" si="38">S26*D26</f>
        <v>38.978494623655912</v>
      </c>
      <c r="U26" s="12">
        <f>$E26*S26</f>
        <v>29</v>
      </c>
      <c r="X26" s="10"/>
      <c r="Y26" s="10"/>
      <c r="Z26" s="11">
        <v>1.94</v>
      </c>
      <c r="AA26" s="12">
        <f>Z26*$D26</f>
        <v>75.618279569892465</v>
      </c>
      <c r="AB26" s="12">
        <f t="shared" ref="AB26:AB37" si="39">$E26*Z26</f>
        <v>56.26</v>
      </c>
      <c r="AC26" s="11">
        <v>0.51</v>
      </c>
      <c r="AD26" s="12">
        <f>AC26*$D26</f>
        <v>19.879032258064516</v>
      </c>
      <c r="AE26" s="12">
        <f t="shared" ref="AE26:AE37" si="40">$E26*AC26</f>
        <v>14.790000000000001</v>
      </c>
      <c r="AF26" s="11">
        <v>0.95</v>
      </c>
      <c r="AG26" s="12">
        <f>AF26*$D26</f>
        <v>37.029569892473113</v>
      </c>
      <c r="AH26" s="12">
        <f t="shared" ref="AH26:AH37" si="41">$E26*AF26</f>
        <v>27.549999999999997</v>
      </c>
      <c r="AI26" s="11">
        <v>0.95</v>
      </c>
      <c r="AJ26" s="12">
        <f>AI26*$D26</f>
        <v>37.029569892473113</v>
      </c>
      <c r="AK26" s="12">
        <f t="shared" ref="AK26:AK37" si="42">$E26*AI26</f>
        <v>27.549999999999997</v>
      </c>
      <c r="AN26" s="26">
        <f>(K26+AA26)/2</f>
        <v>69.186827956989248</v>
      </c>
      <c r="AO26" s="26">
        <f>(L26+AB26)/2</f>
        <v>51.475000000000001</v>
      </c>
      <c r="AP26" s="26">
        <f>(N26+AD26)/2</f>
        <v>20.073924731182796</v>
      </c>
      <c r="AQ26" s="26">
        <f>(O26+AE26)/2</f>
        <v>14.935</v>
      </c>
      <c r="AR26" s="26">
        <f>(Q26+AG26)/2</f>
        <v>38.004032258064512</v>
      </c>
      <c r="AS26" s="26">
        <f>(R26+AH26)/2</f>
        <v>28.274999999999999</v>
      </c>
      <c r="AT26" s="26">
        <f>(T26+AJ26)/2</f>
        <v>38.004032258064512</v>
      </c>
      <c r="AU26" s="26">
        <f>(U26+AK26)/2</f>
        <v>28.274999999999999</v>
      </c>
      <c r="AX26" s="11">
        <v>1.92</v>
      </c>
      <c r="AY26" s="12">
        <f>AX26*$D26</f>
        <v>74.838709677419345</v>
      </c>
      <c r="AZ26" s="12">
        <f t="shared" ref="AZ26:AZ37" si="43">$E26*AX26</f>
        <v>55.68</v>
      </c>
      <c r="BA26" s="11">
        <v>0.55000000000000004</v>
      </c>
      <c r="BB26" s="12">
        <f>BA26*$D26</f>
        <v>21.438172043010752</v>
      </c>
      <c r="BC26" s="12">
        <f t="shared" ref="BC26:BC37" si="44">$E26*BA26</f>
        <v>15.950000000000001</v>
      </c>
      <c r="BD26" s="11">
        <v>0.85</v>
      </c>
      <c r="BE26" s="12">
        <f>BD26*$D26</f>
        <v>33.131720430107528</v>
      </c>
      <c r="BF26" s="12">
        <f t="shared" ref="BF26:BF37" si="45">$E26*BD26</f>
        <v>24.65</v>
      </c>
      <c r="BG26" s="11">
        <v>0.85</v>
      </c>
      <c r="BH26" s="12">
        <f>BG26*$D26</f>
        <v>33.131720430107528</v>
      </c>
      <c r="BI26" s="12">
        <f t="shared" ref="BI26:BI37" si="46">$E26*BG26</f>
        <v>24.65</v>
      </c>
    </row>
    <row r="27" spans="1:61" ht="14.4" x14ac:dyDescent="0.3">
      <c r="A27" s="13" t="s">
        <v>2</v>
      </c>
      <c r="B27" s="5">
        <v>28</v>
      </c>
      <c r="C27" s="5">
        <f t="shared" ref="C27:C37" si="47">B27*24</f>
        <v>672</v>
      </c>
      <c r="D27" s="9">
        <f t="shared" si="34"/>
        <v>77.38095238095238</v>
      </c>
      <c r="E27" s="5">
        <v>52</v>
      </c>
      <c r="H27" s="10"/>
      <c r="J27" s="11">
        <v>1.45</v>
      </c>
      <c r="K27" s="12">
        <f t="shared" si="35"/>
        <v>112.20238095238095</v>
      </c>
      <c r="L27" s="12">
        <f t="shared" ref="L27:L37" si="48">$E27*J27</f>
        <v>75.399999999999991</v>
      </c>
      <c r="M27" s="11">
        <v>0.45</v>
      </c>
      <c r="N27" s="12">
        <f t="shared" si="36"/>
        <v>34.821428571428569</v>
      </c>
      <c r="O27" s="12">
        <f t="shared" ref="O27:O37" si="49">$E27*M27</f>
        <v>23.400000000000002</v>
      </c>
      <c r="P27" s="11">
        <v>0.98</v>
      </c>
      <c r="Q27" s="12">
        <f t="shared" si="37"/>
        <v>75.833333333333329</v>
      </c>
      <c r="R27" s="12">
        <f t="shared" ref="R27:R37" si="50">$E27*P27</f>
        <v>50.96</v>
      </c>
      <c r="S27" s="11">
        <v>0.98</v>
      </c>
      <c r="T27" s="12">
        <f t="shared" si="38"/>
        <v>75.833333333333329</v>
      </c>
      <c r="U27" s="12">
        <f t="shared" ref="U27:U37" si="51">$E27*S27</f>
        <v>50.96</v>
      </c>
      <c r="X27" s="10"/>
      <c r="Y27" s="10"/>
      <c r="Z27" s="11">
        <v>1.64</v>
      </c>
      <c r="AA27" s="12">
        <f t="shared" ref="AA27:AA37" si="52">Z27*$D27</f>
        <v>126.9047619047619</v>
      </c>
      <c r="AB27" s="12">
        <f t="shared" si="39"/>
        <v>85.28</v>
      </c>
      <c r="AC27" s="11">
        <v>0.44</v>
      </c>
      <c r="AD27" s="12">
        <f t="shared" ref="AD27:AD37" si="53">AC27*$D27</f>
        <v>34.047619047619044</v>
      </c>
      <c r="AE27" s="12">
        <f t="shared" si="40"/>
        <v>22.88</v>
      </c>
      <c r="AF27" s="11">
        <v>0.92</v>
      </c>
      <c r="AG27" s="12">
        <f t="shared" ref="AG27:AG37" si="54">AF27*$D27</f>
        <v>71.19047619047619</v>
      </c>
      <c r="AH27" s="12">
        <f t="shared" si="41"/>
        <v>47.84</v>
      </c>
      <c r="AI27" s="11">
        <v>0.92</v>
      </c>
      <c r="AJ27" s="12">
        <f t="shared" ref="AJ27:AJ37" si="55">AI27*$D27</f>
        <v>71.19047619047619</v>
      </c>
      <c r="AK27" s="12">
        <f t="shared" si="42"/>
        <v>47.84</v>
      </c>
      <c r="AN27" s="26">
        <f t="shared" ref="AN27:AN37" si="56">(K27+AA27)/2</f>
        <v>119.55357142857142</v>
      </c>
      <c r="AO27" s="26">
        <f t="shared" ref="AO27:AO32" si="57">(L27+AB27)/2</f>
        <v>80.34</v>
      </c>
      <c r="AP27" s="26">
        <f t="shared" ref="AP27:AP37" si="58">(N27+AD27)/2</f>
        <v>34.43452380952381</v>
      </c>
      <c r="AQ27" s="26">
        <f t="shared" ref="AQ27:AQ32" si="59">(O27+AE27)/2</f>
        <v>23.14</v>
      </c>
      <c r="AR27" s="26">
        <f t="shared" ref="AR27:AR37" si="60">(Q27+AG27)/2</f>
        <v>73.511904761904759</v>
      </c>
      <c r="AS27" s="26">
        <f t="shared" ref="AS27:AS37" si="61">(R27+AH27)/2</f>
        <v>49.400000000000006</v>
      </c>
      <c r="AT27" s="26">
        <f t="shared" ref="AT27:AT37" si="62">(T27+AJ27)/2</f>
        <v>73.511904761904759</v>
      </c>
      <c r="AU27" s="26">
        <f t="shared" ref="AU27:AU30" si="63">(U27+AK27)/2</f>
        <v>49.400000000000006</v>
      </c>
      <c r="AX27" s="11">
        <v>1.54</v>
      </c>
      <c r="AY27" s="12">
        <f t="shared" ref="AY27:AY37" si="64">AX27*$D27</f>
        <v>119.16666666666667</v>
      </c>
      <c r="AZ27" s="12">
        <f t="shared" si="43"/>
        <v>80.08</v>
      </c>
      <c r="BA27" s="11">
        <v>0.47</v>
      </c>
      <c r="BB27" s="12">
        <f t="shared" ref="BB27:BB37" si="65">BA27*$D27</f>
        <v>36.369047619047613</v>
      </c>
      <c r="BC27" s="12">
        <f t="shared" si="44"/>
        <v>24.439999999999998</v>
      </c>
      <c r="BD27" s="11">
        <v>0.8</v>
      </c>
      <c r="BE27" s="12">
        <f t="shared" ref="BE27:BE37" si="66">BD27*$D27</f>
        <v>61.904761904761905</v>
      </c>
      <c r="BF27" s="12">
        <f t="shared" si="45"/>
        <v>41.6</v>
      </c>
      <c r="BG27" s="11">
        <v>0.8</v>
      </c>
      <c r="BH27" s="12">
        <f t="shared" ref="BH27:BH37" si="67">BG27*$D27</f>
        <v>61.904761904761905</v>
      </c>
      <c r="BI27" s="12">
        <f t="shared" si="46"/>
        <v>41.6</v>
      </c>
    </row>
    <row r="28" spans="1:61" ht="14.4" x14ac:dyDescent="0.3">
      <c r="A28" s="13" t="s">
        <v>3</v>
      </c>
      <c r="B28" s="5">
        <v>31</v>
      </c>
      <c r="C28" s="5">
        <f t="shared" si="47"/>
        <v>744</v>
      </c>
      <c r="D28" s="9">
        <f t="shared" si="34"/>
        <v>127.68817204301075</v>
      </c>
      <c r="E28" s="5">
        <v>95</v>
      </c>
      <c r="H28" s="10"/>
      <c r="J28" s="11">
        <v>1.25</v>
      </c>
      <c r="K28" s="12">
        <f t="shared" si="35"/>
        <v>159.61021505376345</v>
      </c>
      <c r="L28" s="12">
        <f t="shared" si="48"/>
        <v>118.75</v>
      </c>
      <c r="M28" s="11">
        <v>0.52</v>
      </c>
      <c r="N28" s="12">
        <f t="shared" si="36"/>
        <v>66.397849462365599</v>
      </c>
      <c r="O28" s="12">
        <f t="shared" si="49"/>
        <v>49.4</v>
      </c>
      <c r="P28" s="11">
        <v>0.96</v>
      </c>
      <c r="Q28" s="12">
        <f t="shared" si="37"/>
        <v>122.58064516129032</v>
      </c>
      <c r="R28" s="12">
        <f t="shared" si="50"/>
        <v>91.2</v>
      </c>
      <c r="S28" s="11">
        <v>0.96</v>
      </c>
      <c r="T28" s="12">
        <f t="shared" si="38"/>
        <v>122.58064516129032</v>
      </c>
      <c r="U28" s="12">
        <f t="shared" si="51"/>
        <v>91.2</v>
      </c>
      <c r="X28" s="10"/>
      <c r="Y28" s="10"/>
      <c r="Z28" s="11">
        <v>1.28</v>
      </c>
      <c r="AA28" s="12">
        <f t="shared" si="52"/>
        <v>163.44086021505376</v>
      </c>
      <c r="AB28" s="12">
        <f t="shared" si="39"/>
        <v>121.60000000000001</v>
      </c>
      <c r="AC28" s="11">
        <v>0.35</v>
      </c>
      <c r="AD28" s="12">
        <f t="shared" si="53"/>
        <v>44.69086021505376</v>
      </c>
      <c r="AE28" s="12">
        <f t="shared" si="40"/>
        <v>33.25</v>
      </c>
      <c r="AF28" s="11">
        <v>0.85</v>
      </c>
      <c r="AG28" s="12">
        <f t="shared" si="54"/>
        <v>108.53494623655914</v>
      </c>
      <c r="AH28" s="12">
        <f t="shared" si="41"/>
        <v>80.75</v>
      </c>
      <c r="AI28" s="11">
        <v>0.85</v>
      </c>
      <c r="AJ28" s="12">
        <f t="shared" si="55"/>
        <v>108.53494623655914</v>
      </c>
      <c r="AK28" s="12">
        <f t="shared" si="42"/>
        <v>80.75</v>
      </c>
      <c r="AN28" s="26">
        <f t="shared" si="56"/>
        <v>161.52553763440861</v>
      </c>
      <c r="AO28" s="26">
        <f t="shared" si="57"/>
        <v>120.17500000000001</v>
      </c>
      <c r="AP28" s="26">
        <f t="shared" si="58"/>
        <v>55.54435483870968</v>
      </c>
      <c r="AQ28" s="26">
        <f t="shared" si="59"/>
        <v>41.325000000000003</v>
      </c>
      <c r="AR28" s="26">
        <f t="shared" si="60"/>
        <v>115.55779569892474</v>
      </c>
      <c r="AS28" s="26">
        <f t="shared" si="61"/>
        <v>85.974999999999994</v>
      </c>
      <c r="AT28" s="26">
        <f t="shared" si="62"/>
        <v>115.55779569892474</v>
      </c>
      <c r="AU28" s="26">
        <f t="shared" si="63"/>
        <v>85.974999999999994</v>
      </c>
      <c r="AX28" s="11">
        <v>1.06</v>
      </c>
      <c r="AY28" s="12">
        <f t="shared" si="64"/>
        <v>135.34946236559139</v>
      </c>
      <c r="AZ28" s="12">
        <f t="shared" si="43"/>
        <v>100.7</v>
      </c>
      <c r="BA28" s="11">
        <v>0.34</v>
      </c>
      <c r="BB28" s="12">
        <f t="shared" si="65"/>
        <v>43.413978494623656</v>
      </c>
      <c r="BC28" s="12">
        <f t="shared" si="44"/>
        <v>32.300000000000004</v>
      </c>
      <c r="BD28" s="11">
        <v>0.67</v>
      </c>
      <c r="BE28" s="12">
        <f t="shared" si="66"/>
        <v>85.551075268817215</v>
      </c>
      <c r="BF28" s="12">
        <f t="shared" si="45"/>
        <v>63.650000000000006</v>
      </c>
      <c r="BG28" s="11">
        <v>0.67</v>
      </c>
      <c r="BH28" s="12">
        <f t="shared" si="67"/>
        <v>85.551075268817215</v>
      </c>
      <c r="BI28" s="12">
        <f t="shared" si="46"/>
        <v>63.650000000000006</v>
      </c>
    </row>
    <row r="29" spans="1:61" ht="14.4" x14ac:dyDescent="0.3">
      <c r="A29" s="13" t="s">
        <v>4</v>
      </c>
      <c r="B29" s="5">
        <v>30</v>
      </c>
      <c r="C29" s="5">
        <f t="shared" si="47"/>
        <v>720</v>
      </c>
      <c r="D29" s="9">
        <f t="shared" si="34"/>
        <v>191.66666666666666</v>
      </c>
      <c r="E29" s="5">
        <v>138</v>
      </c>
      <c r="H29" s="10"/>
      <c r="J29" s="11">
        <v>1.0900000000000001</v>
      </c>
      <c r="K29" s="12">
        <f t="shared" si="35"/>
        <v>208.91666666666669</v>
      </c>
      <c r="L29" s="12">
        <f t="shared" si="48"/>
        <v>150.42000000000002</v>
      </c>
      <c r="M29" s="11">
        <v>0.68</v>
      </c>
      <c r="N29" s="12">
        <f t="shared" si="36"/>
        <v>130.33333333333334</v>
      </c>
      <c r="O29" s="12">
        <f t="shared" si="49"/>
        <v>93.84</v>
      </c>
      <c r="P29" s="11">
        <v>0.94</v>
      </c>
      <c r="Q29" s="12">
        <f t="shared" si="37"/>
        <v>180.16666666666666</v>
      </c>
      <c r="R29" s="12">
        <f t="shared" si="50"/>
        <v>129.72</v>
      </c>
      <c r="S29" s="11">
        <v>0.94</v>
      </c>
      <c r="T29" s="12">
        <f t="shared" si="38"/>
        <v>180.16666666666666</v>
      </c>
      <c r="U29" s="12">
        <f t="shared" si="51"/>
        <v>129.72</v>
      </c>
      <c r="X29" s="10"/>
      <c r="Y29" s="10"/>
      <c r="Z29" s="11">
        <v>0.99</v>
      </c>
      <c r="AA29" s="12">
        <f>Z29*$D29</f>
        <v>189.75</v>
      </c>
      <c r="AB29" s="12">
        <f t="shared" si="39"/>
        <v>136.62</v>
      </c>
      <c r="AC29" s="11">
        <v>0.34</v>
      </c>
      <c r="AD29" s="12">
        <f>AC29*$D29</f>
        <v>65.166666666666671</v>
      </c>
      <c r="AE29" s="12">
        <f t="shared" si="40"/>
        <v>46.92</v>
      </c>
      <c r="AF29" s="11">
        <v>0.81</v>
      </c>
      <c r="AG29" s="12">
        <f>AF29*$D29</f>
        <v>155.25</v>
      </c>
      <c r="AH29" s="12">
        <f t="shared" si="41"/>
        <v>111.78</v>
      </c>
      <c r="AI29" s="11">
        <v>0.81</v>
      </c>
      <c r="AJ29" s="12">
        <f>AI29*$D29</f>
        <v>155.25</v>
      </c>
      <c r="AK29" s="12">
        <f t="shared" si="42"/>
        <v>111.78</v>
      </c>
      <c r="AN29" s="26">
        <f t="shared" si="56"/>
        <v>199.33333333333334</v>
      </c>
      <c r="AO29" s="26">
        <f t="shared" si="57"/>
        <v>143.52000000000001</v>
      </c>
      <c r="AP29" s="26">
        <f t="shared" si="58"/>
        <v>97.75</v>
      </c>
      <c r="AQ29" s="26">
        <f t="shared" si="59"/>
        <v>70.38</v>
      </c>
      <c r="AR29" s="26">
        <f t="shared" si="60"/>
        <v>167.70833333333331</v>
      </c>
      <c r="AS29" s="26">
        <f t="shared" si="61"/>
        <v>120.75</v>
      </c>
      <c r="AT29" s="26">
        <f t="shared" si="62"/>
        <v>167.70833333333331</v>
      </c>
      <c r="AU29" s="26">
        <f t="shared" si="63"/>
        <v>120.75</v>
      </c>
      <c r="AX29" s="11">
        <v>0.72</v>
      </c>
      <c r="AY29" s="12">
        <f>AX29*$D29</f>
        <v>138</v>
      </c>
      <c r="AZ29" s="12">
        <f t="shared" si="43"/>
        <v>99.36</v>
      </c>
      <c r="BA29" s="11">
        <v>0.3</v>
      </c>
      <c r="BB29" s="12">
        <f>BA29*$D29</f>
        <v>57.499999999999993</v>
      </c>
      <c r="BC29" s="12">
        <f t="shared" si="44"/>
        <v>41.4</v>
      </c>
      <c r="BD29" s="11">
        <v>0.59</v>
      </c>
      <c r="BE29" s="12">
        <f>BD29*$D29</f>
        <v>113.08333333333333</v>
      </c>
      <c r="BF29" s="12">
        <f t="shared" si="45"/>
        <v>81.42</v>
      </c>
      <c r="BG29" s="11">
        <v>0.59</v>
      </c>
      <c r="BH29" s="12">
        <f>BG29*$D29</f>
        <v>113.08333333333333</v>
      </c>
      <c r="BI29" s="12">
        <f t="shared" si="46"/>
        <v>81.42</v>
      </c>
    </row>
    <row r="30" spans="1:61" ht="14.4" x14ac:dyDescent="0.3">
      <c r="A30" s="13" t="s">
        <v>22</v>
      </c>
      <c r="B30" s="5">
        <v>31</v>
      </c>
      <c r="C30" s="5">
        <f t="shared" si="47"/>
        <v>744</v>
      </c>
      <c r="D30" s="9">
        <f t="shared" si="34"/>
        <v>231.18279569892474</v>
      </c>
      <c r="E30" s="5">
        <v>172</v>
      </c>
      <c r="H30" s="10"/>
      <c r="I30" s="4" t="s">
        <v>27</v>
      </c>
      <c r="J30" s="11">
        <v>1.01</v>
      </c>
      <c r="K30" s="12">
        <f t="shared" si="35"/>
        <v>233.49462365591398</v>
      </c>
      <c r="L30" s="12">
        <f t="shared" si="48"/>
        <v>173.72</v>
      </c>
      <c r="M30" s="11">
        <v>0.79</v>
      </c>
      <c r="N30" s="12">
        <f t="shared" si="36"/>
        <v>182.63440860215056</v>
      </c>
      <c r="O30" s="12">
        <f t="shared" si="49"/>
        <v>135.88</v>
      </c>
      <c r="P30" s="11">
        <v>0.94</v>
      </c>
      <c r="Q30" s="12">
        <f t="shared" si="37"/>
        <v>217.31182795698925</v>
      </c>
      <c r="R30" s="12">
        <f t="shared" si="50"/>
        <v>161.67999999999998</v>
      </c>
      <c r="S30" s="11">
        <v>0.94</v>
      </c>
      <c r="T30" s="12">
        <f t="shared" si="38"/>
        <v>217.31182795698925</v>
      </c>
      <c r="U30" s="12">
        <f t="shared" si="51"/>
        <v>161.67999999999998</v>
      </c>
      <c r="W30" s="4" t="s">
        <v>27</v>
      </c>
      <c r="X30" s="10"/>
      <c r="Y30" s="10"/>
      <c r="Z30" s="11">
        <v>0.84</v>
      </c>
      <c r="AA30" s="12">
        <f t="shared" si="52"/>
        <v>194.19354838709677</v>
      </c>
      <c r="AB30" s="12">
        <f t="shared" si="39"/>
        <v>144.47999999999999</v>
      </c>
      <c r="AC30" s="11">
        <v>0.4</v>
      </c>
      <c r="AD30" s="12">
        <f t="shared" si="53"/>
        <v>92.473118279569903</v>
      </c>
      <c r="AE30" s="12">
        <f t="shared" si="40"/>
        <v>68.8</v>
      </c>
      <c r="AF30" s="11">
        <v>0.79</v>
      </c>
      <c r="AG30" s="12">
        <f t="shared" si="54"/>
        <v>182.63440860215056</v>
      </c>
      <c r="AH30" s="12">
        <f t="shared" si="41"/>
        <v>135.88</v>
      </c>
      <c r="AI30" s="11">
        <v>0.79</v>
      </c>
      <c r="AJ30" s="12">
        <f t="shared" si="55"/>
        <v>182.63440860215056</v>
      </c>
      <c r="AK30" s="12">
        <f t="shared" si="42"/>
        <v>135.88</v>
      </c>
      <c r="AM30" s="4" t="s">
        <v>27</v>
      </c>
      <c r="AN30" s="26">
        <f t="shared" si="56"/>
        <v>213.84408602150538</v>
      </c>
      <c r="AO30" s="26">
        <f t="shared" si="57"/>
        <v>159.1</v>
      </c>
      <c r="AP30" s="26">
        <f t="shared" si="58"/>
        <v>137.55376344086022</v>
      </c>
      <c r="AQ30" s="26">
        <f t="shared" si="59"/>
        <v>102.34</v>
      </c>
      <c r="AR30" s="26">
        <f t="shared" si="60"/>
        <v>199.97311827956992</v>
      </c>
      <c r="AS30" s="26">
        <f t="shared" si="61"/>
        <v>148.77999999999997</v>
      </c>
      <c r="AT30" s="26">
        <f t="shared" si="62"/>
        <v>199.97311827956992</v>
      </c>
      <c r="AU30" s="26">
        <f t="shared" si="63"/>
        <v>148.77999999999997</v>
      </c>
      <c r="AW30" s="4" t="s">
        <v>61</v>
      </c>
      <c r="AX30" s="11">
        <v>0.55000000000000004</v>
      </c>
      <c r="AY30" s="12">
        <f t="shared" si="64"/>
        <v>127.15053763440862</v>
      </c>
      <c r="AZ30" s="12">
        <f t="shared" si="43"/>
        <v>94.600000000000009</v>
      </c>
      <c r="BA30" s="11">
        <v>0.3</v>
      </c>
      <c r="BB30" s="12">
        <f t="shared" si="65"/>
        <v>69.354838709677423</v>
      </c>
      <c r="BC30" s="12">
        <f t="shared" si="44"/>
        <v>51.6</v>
      </c>
      <c r="BD30" s="11">
        <v>0.56000000000000005</v>
      </c>
      <c r="BE30" s="12">
        <f t="shared" si="66"/>
        <v>129.46236559139786</v>
      </c>
      <c r="BF30" s="12">
        <f t="shared" si="45"/>
        <v>96.320000000000007</v>
      </c>
      <c r="BG30" s="11">
        <v>0.56000000000000005</v>
      </c>
      <c r="BH30" s="12">
        <f t="shared" si="67"/>
        <v>129.46236559139786</v>
      </c>
      <c r="BI30" s="12">
        <f t="shared" si="46"/>
        <v>96.320000000000007</v>
      </c>
    </row>
    <row r="31" spans="1:61" ht="14.4" x14ac:dyDescent="0.3">
      <c r="A31" s="13" t="s">
        <v>23</v>
      </c>
      <c r="B31" s="5">
        <v>30</v>
      </c>
      <c r="C31" s="5">
        <f t="shared" si="47"/>
        <v>720</v>
      </c>
      <c r="D31" s="9">
        <f t="shared" si="34"/>
        <v>250</v>
      </c>
      <c r="E31" s="5">
        <v>180</v>
      </c>
      <c r="H31" s="10"/>
      <c r="J31" s="11">
        <v>0.97</v>
      </c>
      <c r="K31" s="12">
        <f t="shared" si="35"/>
        <v>242.5</v>
      </c>
      <c r="L31" s="12">
        <f t="shared" si="48"/>
        <v>174.6</v>
      </c>
      <c r="M31" s="11">
        <v>0.82</v>
      </c>
      <c r="N31" s="12">
        <f t="shared" si="36"/>
        <v>205</v>
      </c>
      <c r="O31" s="12">
        <f t="shared" si="49"/>
        <v>147.6</v>
      </c>
      <c r="P31" s="11">
        <v>0.93</v>
      </c>
      <c r="Q31" s="12">
        <f t="shared" si="37"/>
        <v>232.5</v>
      </c>
      <c r="R31" s="12">
        <f t="shared" si="50"/>
        <v>167.4</v>
      </c>
      <c r="S31" s="11">
        <v>0.93</v>
      </c>
      <c r="T31" s="12">
        <f t="shared" si="38"/>
        <v>232.5</v>
      </c>
      <c r="U31" s="12">
        <f t="shared" si="51"/>
        <v>167.4</v>
      </c>
      <c r="X31" s="10"/>
      <c r="Y31" s="10"/>
      <c r="Z31" s="11">
        <v>0.78</v>
      </c>
      <c r="AA31" s="12">
        <f t="shared" si="52"/>
        <v>195</v>
      </c>
      <c r="AB31" s="12">
        <f t="shared" si="39"/>
        <v>140.4</v>
      </c>
      <c r="AC31" s="11">
        <v>0.45</v>
      </c>
      <c r="AD31" s="12">
        <f t="shared" si="53"/>
        <v>112.5</v>
      </c>
      <c r="AE31" s="12">
        <f t="shared" si="40"/>
        <v>81</v>
      </c>
      <c r="AF31" s="11">
        <v>0.78</v>
      </c>
      <c r="AG31" s="12">
        <f t="shared" si="54"/>
        <v>195</v>
      </c>
      <c r="AH31" s="12">
        <f t="shared" si="41"/>
        <v>140.4</v>
      </c>
      <c r="AI31" s="11">
        <v>0.78</v>
      </c>
      <c r="AJ31" s="12">
        <f t="shared" si="55"/>
        <v>195</v>
      </c>
      <c r="AK31" s="12">
        <f t="shared" si="42"/>
        <v>140.4</v>
      </c>
      <c r="AN31" s="26">
        <f t="shared" si="56"/>
        <v>218.75</v>
      </c>
      <c r="AO31" s="26">
        <f t="shared" si="57"/>
        <v>157.5</v>
      </c>
      <c r="AP31" s="26">
        <f t="shared" si="58"/>
        <v>158.75</v>
      </c>
      <c r="AQ31" s="26">
        <f t="shared" si="59"/>
        <v>114.3</v>
      </c>
      <c r="AR31" s="26">
        <f t="shared" si="60"/>
        <v>213.75</v>
      </c>
      <c r="AS31" s="26">
        <f t="shared" si="61"/>
        <v>153.9</v>
      </c>
      <c r="AT31" s="26">
        <f t="shared" si="62"/>
        <v>213.75</v>
      </c>
      <c r="AU31" s="26">
        <f>(U31+AK31)/2</f>
        <v>153.9</v>
      </c>
      <c r="AW31" s="4" t="s">
        <v>65</v>
      </c>
      <c r="AX31" s="11">
        <v>0.5</v>
      </c>
      <c r="AY31" s="12">
        <f t="shared" si="64"/>
        <v>125</v>
      </c>
      <c r="AZ31" s="12">
        <f t="shared" si="43"/>
        <v>90</v>
      </c>
      <c r="BA31" s="11">
        <v>0.32</v>
      </c>
      <c r="BB31" s="12">
        <f t="shared" si="65"/>
        <v>80</v>
      </c>
      <c r="BC31" s="12">
        <f t="shared" si="44"/>
        <v>57.6</v>
      </c>
      <c r="BD31" s="11">
        <v>0.55000000000000004</v>
      </c>
      <c r="BE31" s="12">
        <f t="shared" si="66"/>
        <v>137.5</v>
      </c>
      <c r="BF31" s="12">
        <f t="shared" si="45"/>
        <v>99.000000000000014</v>
      </c>
      <c r="BG31" s="11">
        <v>0.55000000000000004</v>
      </c>
      <c r="BH31" s="12">
        <f t="shared" si="67"/>
        <v>137.5</v>
      </c>
      <c r="BI31" s="12">
        <f t="shared" si="46"/>
        <v>99.000000000000014</v>
      </c>
    </row>
    <row r="32" spans="1:61" ht="14.4" x14ac:dyDescent="0.3">
      <c r="A32" s="13" t="s">
        <v>24</v>
      </c>
      <c r="B32" s="5">
        <v>31</v>
      </c>
      <c r="C32" s="5">
        <f t="shared" si="47"/>
        <v>744</v>
      </c>
      <c r="D32" s="9">
        <f t="shared" si="34"/>
        <v>240.59139784946237</v>
      </c>
      <c r="E32" s="5">
        <v>179</v>
      </c>
      <c r="H32" s="10"/>
      <c r="J32" s="11">
        <v>0.98</v>
      </c>
      <c r="K32" s="12">
        <f t="shared" si="35"/>
        <v>235.77956989247312</v>
      </c>
      <c r="L32" s="12">
        <f t="shared" si="48"/>
        <v>175.42</v>
      </c>
      <c r="M32" s="11">
        <v>0.81</v>
      </c>
      <c r="N32" s="12">
        <f t="shared" si="36"/>
        <v>194.87903225806454</v>
      </c>
      <c r="O32" s="12">
        <f t="shared" si="49"/>
        <v>144.99</v>
      </c>
      <c r="P32" s="11">
        <v>0.93</v>
      </c>
      <c r="Q32" s="12">
        <f t="shared" si="37"/>
        <v>223.75</v>
      </c>
      <c r="R32" s="12">
        <f t="shared" si="50"/>
        <v>166.47</v>
      </c>
      <c r="S32" s="11">
        <v>0.93</v>
      </c>
      <c r="T32" s="12">
        <f t="shared" si="38"/>
        <v>223.75</v>
      </c>
      <c r="U32" s="12">
        <f t="shared" si="51"/>
        <v>166.47</v>
      </c>
      <c r="X32" s="10"/>
      <c r="Y32" s="10"/>
      <c r="Z32" s="11">
        <v>0.81</v>
      </c>
      <c r="AA32" s="12">
        <f t="shared" si="52"/>
        <v>194.87903225806454</v>
      </c>
      <c r="AB32" s="12">
        <f t="shared" si="39"/>
        <v>144.99</v>
      </c>
      <c r="AC32" s="11">
        <v>0.42</v>
      </c>
      <c r="AD32" s="12">
        <f t="shared" si="53"/>
        <v>101.04838709677419</v>
      </c>
      <c r="AE32" s="12">
        <f t="shared" si="40"/>
        <v>75.179999999999993</v>
      </c>
      <c r="AF32" s="11">
        <v>0.78</v>
      </c>
      <c r="AG32" s="12">
        <f t="shared" si="54"/>
        <v>187.66129032258064</v>
      </c>
      <c r="AH32" s="12">
        <f t="shared" si="41"/>
        <v>139.62</v>
      </c>
      <c r="AI32" s="11">
        <v>0.78</v>
      </c>
      <c r="AJ32" s="12">
        <f t="shared" si="55"/>
        <v>187.66129032258064</v>
      </c>
      <c r="AK32" s="12">
        <f t="shared" si="42"/>
        <v>139.62</v>
      </c>
      <c r="AN32" s="26">
        <f t="shared" si="56"/>
        <v>215.32930107526883</v>
      </c>
      <c r="AO32" s="26">
        <f t="shared" si="57"/>
        <v>160.20499999999998</v>
      </c>
      <c r="AP32" s="26">
        <f t="shared" si="58"/>
        <v>147.96370967741936</v>
      </c>
      <c r="AQ32" s="26">
        <f t="shared" si="59"/>
        <v>110.08500000000001</v>
      </c>
      <c r="AR32" s="26">
        <f t="shared" si="60"/>
        <v>205.70564516129031</v>
      </c>
      <c r="AS32" s="26">
        <f t="shared" si="61"/>
        <v>153.04500000000002</v>
      </c>
      <c r="AT32" s="26">
        <f t="shared" si="62"/>
        <v>205.70564516129031</v>
      </c>
      <c r="AU32" s="26">
        <f t="shared" ref="AU32:AU33" si="68">(U32+AK32)/2</f>
        <v>153.04500000000002</v>
      </c>
      <c r="AX32" s="11">
        <v>0.52</v>
      </c>
      <c r="AY32" s="12">
        <f t="shared" si="64"/>
        <v>125.10752688172043</v>
      </c>
      <c r="AZ32" s="12">
        <f t="shared" si="43"/>
        <v>93.08</v>
      </c>
      <c r="BA32" s="11">
        <v>0.31</v>
      </c>
      <c r="BB32" s="12">
        <f t="shared" si="65"/>
        <v>74.583333333333329</v>
      </c>
      <c r="BC32" s="12">
        <f t="shared" si="44"/>
        <v>55.49</v>
      </c>
      <c r="BD32" s="11">
        <v>0.55000000000000004</v>
      </c>
      <c r="BE32" s="12">
        <f t="shared" si="66"/>
        <v>132.32526881720432</v>
      </c>
      <c r="BF32" s="12">
        <f t="shared" si="45"/>
        <v>98.45</v>
      </c>
      <c r="BG32" s="11">
        <v>0.55000000000000004</v>
      </c>
      <c r="BH32" s="12">
        <f t="shared" si="67"/>
        <v>132.32526881720432</v>
      </c>
      <c r="BI32" s="12">
        <f t="shared" si="46"/>
        <v>98.45</v>
      </c>
    </row>
    <row r="33" spans="1:61" ht="14.4" x14ac:dyDescent="0.3">
      <c r="A33" s="13" t="s">
        <v>25</v>
      </c>
      <c r="B33" s="5">
        <v>31</v>
      </c>
      <c r="C33" s="5">
        <f t="shared" si="47"/>
        <v>744</v>
      </c>
      <c r="D33" s="9">
        <f t="shared" si="34"/>
        <v>208.33333333333334</v>
      </c>
      <c r="E33" s="5">
        <v>155</v>
      </c>
      <c r="H33" s="10"/>
      <c r="J33" s="11">
        <v>1.04</v>
      </c>
      <c r="K33" s="12">
        <f t="shared" si="35"/>
        <v>216.66666666666669</v>
      </c>
      <c r="L33" s="12">
        <f t="shared" si="48"/>
        <v>161.20000000000002</v>
      </c>
      <c r="M33" s="11">
        <v>0.73</v>
      </c>
      <c r="N33" s="12">
        <f t="shared" si="36"/>
        <v>152.08333333333334</v>
      </c>
      <c r="O33" s="12">
        <f t="shared" si="49"/>
        <v>113.14999999999999</v>
      </c>
      <c r="P33" s="11">
        <v>0.94</v>
      </c>
      <c r="Q33" s="12">
        <f t="shared" si="37"/>
        <v>195.83333333333334</v>
      </c>
      <c r="R33" s="12">
        <f t="shared" si="50"/>
        <v>145.69999999999999</v>
      </c>
      <c r="S33" s="11">
        <v>0.94</v>
      </c>
      <c r="T33" s="12">
        <f t="shared" si="38"/>
        <v>195.83333333333334</v>
      </c>
      <c r="U33" s="12">
        <f t="shared" si="51"/>
        <v>145.69999999999999</v>
      </c>
      <c r="X33" s="10"/>
      <c r="Y33" s="10"/>
      <c r="Z33" s="11">
        <v>0.91</v>
      </c>
      <c r="AA33" s="12">
        <f t="shared" si="52"/>
        <v>189.58333333333334</v>
      </c>
      <c r="AB33" s="12">
        <f t="shared" si="39"/>
        <v>141.05000000000001</v>
      </c>
      <c r="AC33" s="11">
        <v>0.35</v>
      </c>
      <c r="AD33" s="12">
        <f t="shared" si="53"/>
        <v>72.916666666666671</v>
      </c>
      <c r="AE33" s="12">
        <f t="shared" si="40"/>
        <v>54.25</v>
      </c>
      <c r="AF33" s="11">
        <v>0.79</v>
      </c>
      <c r="AG33" s="12">
        <f t="shared" si="54"/>
        <v>164.58333333333334</v>
      </c>
      <c r="AH33" s="12">
        <f t="shared" si="41"/>
        <v>122.45</v>
      </c>
      <c r="AI33" s="11">
        <v>0.79</v>
      </c>
      <c r="AJ33" s="12">
        <f t="shared" si="55"/>
        <v>164.58333333333334</v>
      </c>
      <c r="AK33" s="12">
        <f t="shared" si="42"/>
        <v>122.45</v>
      </c>
      <c r="AN33" s="26">
        <f t="shared" si="56"/>
        <v>203.125</v>
      </c>
      <c r="AO33" s="26">
        <f>(L33+AB33)/2</f>
        <v>151.125</v>
      </c>
      <c r="AP33" s="26">
        <f t="shared" si="58"/>
        <v>112.5</v>
      </c>
      <c r="AQ33" s="26">
        <f>(O33+AE33)/2</f>
        <v>83.699999999999989</v>
      </c>
      <c r="AR33" s="26">
        <f t="shared" si="60"/>
        <v>180.20833333333334</v>
      </c>
      <c r="AS33" s="26">
        <f t="shared" si="61"/>
        <v>134.07499999999999</v>
      </c>
      <c r="AT33" s="26">
        <f t="shared" si="62"/>
        <v>180.20833333333334</v>
      </c>
      <c r="AU33" s="26">
        <f t="shared" si="68"/>
        <v>134.07499999999999</v>
      </c>
      <c r="AX33" s="11">
        <v>0.62</v>
      </c>
      <c r="AY33" s="12">
        <f t="shared" si="64"/>
        <v>129.16666666666669</v>
      </c>
      <c r="AZ33" s="12">
        <f t="shared" si="43"/>
        <v>96.1</v>
      </c>
      <c r="BA33" s="11">
        <v>0.3</v>
      </c>
      <c r="BB33" s="12">
        <f t="shared" si="65"/>
        <v>62.5</v>
      </c>
      <c r="BC33" s="12">
        <f t="shared" si="44"/>
        <v>46.5</v>
      </c>
      <c r="BD33" s="11">
        <v>0.56999999999999995</v>
      </c>
      <c r="BE33" s="12">
        <f t="shared" si="66"/>
        <v>118.75</v>
      </c>
      <c r="BF33" s="12">
        <f t="shared" si="45"/>
        <v>88.35</v>
      </c>
      <c r="BG33" s="11">
        <v>0.56999999999999995</v>
      </c>
      <c r="BH33" s="12">
        <f t="shared" si="67"/>
        <v>118.75</v>
      </c>
      <c r="BI33" s="12">
        <f t="shared" si="46"/>
        <v>88.35</v>
      </c>
    </row>
    <row r="34" spans="1:61" ht="14.4" x14ac:dyDescent="0.3">
      <c r="A34" s="13" t="s">
        <v>26</v>
      </c>
      <c r="B34" s="5">
        <v>30</v>
      </c>
      <c r="C34" s="5">
        <f t="shared" si="47"/>
        <v>720</v>
      </c>
      <c r="D34" s="9">
        <f t="shared" si="34"/>
        <v>166.66666666666666</v>
      </c>
      <c r="E34" s="5">
        <v>120</v>
      </c>
      <c r="H34" s="10"/>
      <c r="J34" s="11">
        <v>1.17</v>
      </c>
      <c r="K34" s="12">
        <f t="shared" si="35"/>
        <v>194.99999999999997</v>
      </c>
      <c r="L34" s="12">
        <f t="shared" si="48"/>
        <v>140.39999999999998</v>
      </c>
      <c r="M34" s="11">
        <v>0.59</v>
      </c>
      <c r="N34" s="12">
        <f t="shared" si="36"/>
        <v>98.333333333333329</v>
      </c>
      <c r="O34" s="12">
        <f t="shared" si="49"/>
        <v>70.8</v>
      </c>
      <c r="P34" s="11">
        <v>0.95</v>
      </c>
      <c r="Q34" s="12">
        <f t="shared" si="37"/>
        <v>158.33333333333331</v>
      </c>
      <c r="R34" s="12">
        <f t="shared" si="50"/>
        <v>114</v>
      </c>
      <c r="S34" s="11">
        <v>0.95</v>
      </c>
      <c r="T34" s="12">
        <f t="shared" si="38"/>
        <v>158.33333333333331</v>
      </c>
      <c r="U34" s="12">
        <f t="shared" si="51"/>
        <v>114</v>
      </c>
      <c r="X34" s="10"/>
      <c r="Y34" s="10"/>
      <c r="Z34" s="11">
        <v>1.1100000000000001</v>
      </c>
      <c r="AA34" s="12">
        <f t="shared" si="52"/>
        <v>185</v>
      </c>
      <c r="AB34" s="12">
        <f t="shared" si="39"/>
        <v>133.20000000000002</v>
      </c>
      <c r="AC34" s="11">
        <v>0.31</v>
      </c>
      <c r="AD34" s="12">
        <f t="shared" si="53"/>
        <v>51.666666666666664</v>
      </c>
      <c r="AE34" s="12">
        <f t="shared" si="40"/>
        <v>37.200000000000003</v>
      </c>
      <c r="AF34" s="11">
        <v>0.81</v>
      </c>
      <c r="AG34" s="12">
        <f t="shared" si="54"/>
        <v>135</v>
      </c>
      <c r="AH34" s="12">
        <f t="shared" si="41"/>
        <v>97.2</v>
      </c>
      <c r="AI34" s="11">
        <v>0.81</v>
      </c>
      <c r="AJ34" s="12">
        <f t="shared" si="55"/>
        <v>135</v>
      </c>
      <c r="AK34" s="12">
        <f t="shared" si="42"/>
        <v>97.2</v>
      </c>
      <c r="AN34" s="26">
        <f t="shared" si="56"/>
        <v>190</v>
      </c>
      <c r="AO34" s="26">
        <f t="shared" ref="AO34:AO37" si="69">(L34+AB34)/2</f>
        <v>136.80000000000001</v>
      </c>
      <c r="AP34" s="26">
        <f t="shared" si="58"/>
        <v>75</v>
      </c>
      <c r="AQ34" s="26">
        <f t="shared" ref="AQ34:AQ37" si="70">(O34+AE34)/2</f>
        <v>54</v>
      </c>
      <c r="AR34" s="26">
        <f t="shared" si="60"/>
        <v>146.66666666666666</v>
      </c>
      <c r="AS34" s="26">
        <f t="shared" si="61"/>
        <v>105.6</v>
      </c>
      <c r="AT34" s="26">
        <f t="shared" si="62"/>
        <v>146.66666666666666</v>
      </c>
      <c r="AU34" s="26">
        <f>(U34+AK34)/2</f>
        <v>105.6</v>
      </c>
      <c r="AX34" s="11">
        <v>0.85</v>
      </c>
      <c r="AY34" s="12">
        <f t="shared" si="64"/>
        <v>141.66666666666666</v>
      </c>
      <c r="AZ34" s="12">
        <f t="shared" si="43"/>
        <v>102</v>
      </c>
      <c r="BA34" s="11">
        <v>0.28000000000000003</v>
      </c>
      <c r="BB34" s="12">
        <f t="shared" si="65"/>
        <v>46.666666666666671</v>
      </c>
      <c r="BC34" s="12">
        <f t="shared" si="44"/>
        <v>33.6</v>
      </c>
      <c r="BD34" s="11">
        <v>0.6</v>
      </c>
      <c r="BE34" s="12">
        <f t="shared" si="66"/>
        <v>99.999999999999986</v>
      </c>
      <c r="BF34" s="12">
        <f t="shared" si="45"/>
        <v>72</v>
      </c>
      <c r="BG34" s="11">
        <v>0.6</v>
      </c>
      <c r="BH34" s="12">
        <f t="shared" si="67"/>
        <v>99.999999999999986</v>
      </c>
      <c r="BI34" s="12">
        <f t="shared" si="46"/>
        <v>72</v>
      </c>
    </row>
    <row r="35" spans="1:61" ht="14.4" x14ac:dyDescent="0.3">
      <c r="A35" s="13" t="s">
        <v>5</v>
      </c>
      <c r="B35" s="5">
        <v>31</v>
      </c>
      <c r="C35" s="5">
        <f t="shared" si="47"/>
        <v>744</v>
      </c>
      <c r="D35" s="9">
        <f t="shared" si="34"/>
        <v>98.118279569892479</v>
      </c>
      <c r="E35" s="5">
        <v>73</v>
      </c>
      <c r="H35" s="10"/>
      <c r="J35" s="11">
        <v>1.33</v>
      </c>
      <c r="K35" s="12">
        <f t="shared" si="35"/>
        <v>130.49731182795699</v>
      </c>
      <c r="L35" s="12">
        <f t="shared" si="48"/>
        <v>97.09</v>
      </c>
      <c r="M35" s="11">
        <v>0.45</v>
      </c>
      <c r="N35" s="12">
        <f t="shared" si="36"/>
        <v>44.153225806451616</v>
      </c>
      <c r="O35" s="12">
        <f t="shared" si="49"/>
        <v>32.85</v>
      </c>
      <c r="P35" s="11">
        <v>0.96</v>
      </c>
      <c r="Q35" s="12">
        <f t="shared" si="37"/>
        <v>94.193548387096783</v>
      </c>
      <c r="R35" s="12">
        <f t="shared" si="50"/>
        <v>70.08</v>
      </c>
      <c r="S35" s="11">
        <v>0.96</v>
      </c>
      <c r="T35" s="12">
        <f t="shared" si="38"/>
        <v>94.193548387096783</v>
      </c>
      <c r="U35" s="12">
        <f t="shared" si="51"/>
        <v>70.08</v>
      </c>
      <c r="X35" s="10"/>
      <c r="Y35" s="10"/>
      <c r="Z35" s="11">
        <v>1.4</v>
      </c>
      <c r="AA35" s="12">
        <f t="shared" si="52"/>
        <v>137.36559139784947</v>
      </c>
      <c r="AB35" s="12">
        <f t="shared" si="39"/>
        <v>102.19999999999999</v>
      </c>
      <c r="AC35" s="11">
        <v>0.34</v>
      </c>
      <c r="AD35" s="12">
        <f t="shared" si="53"/>
        <v>33.360215053763447</v>
      </c>
      <c r="AE35" s="12">
        <f t="shared" si="40"/>
        <v>24.82</v>
      </c>
      <c r="AF35" s="11">
        <v>0.84</v>
      </c>
      <c r="AG35" s="12">
        <f t="shared" si="54"/>
        <v>82.41935483870968</v>
      </c>
      <c r="AH35" s="12">
        <f t="shared" si="41"/>
        <v>61.32</v>
      </c>
      <c r="AI35" s="11">
        <v>0.84</v>
      </c>
      <c r="AJ35" s="12">
        <f t="shared" si="55"/>
        <v>82.41935483870968</v>
      </c>
      <c r="AK35" s="12">
        <f t="shared" si="42"/>
        <v>61.32</v>
      </c>
      <c r="AN35" s="26">
        <f t="shared" si="56"/>
        <v>133.93145161290323</v>
      </c>
      <c r="AO35" s="26">
        <f t="shared" si="69"/>
        <v>99.644999999999996</v>
      </c>
      <c r="AP35" s="26">
        <f t="shared" si="58"/>
        <v>38.756720430107535</v>
      </c>
      <c r="AQ35" s="26">
        <f t="shared" si="70"/>
        <v>28.835000000000001</v>
      </c>
      <c r="AR35" s="26">
        <f t="shared" si="60"/>
        <v>88.306451612903231</v>
      </c>
      <c r="AS35" s="26">
        <f t="shared" si="61"/>
        <v>65.7</v>
      </c>
      <c r="AT35" s="26">
        <f t="shared" si="62"/>
        <v>88.306451612903231</v>
      </c>
      <c r="AU35" s="26">
        <f t="shared" ref="AU35:AU37" si="71">(U35+AK35)/2</f>
        <v>65.7</v>
      </c>
      <c r="AX35" s="11">
        <v>1.19</v>
      </c>
      <c r="AY35" s="12">
        <f t="shared" si="64"/>
        <v>116.76075268817205</v>
      </c>
      <c r="AZ35" s="12">
        <f t="shared" si="43"/>
        <v>86.86999999999999</v>
      </c>
      <c r="BA35" s="11">
        <v>0.3</v>
      </c>
      <c r="BB35" s="12">
        <f t="shared" si="65"/>
        <v>29.435483870967744</v>
      </c>
      <c r="BC35" s="12">
        <f t="shared" si="44"/>
        <v>21.9</v>
      </c>
      <c r="BD35" s="11">
        <v>0.63</v>
      </c>
      <c r="BE35" s="12">
        <f t="shared" si="66"/>
        <v>61.814516129032263</v>
      </c>
      <c r="BF35" s="12">
        <f t="shared" si="45"/>
        <v>45.99</v>
      </c>
      <c r="BG35" s="11">
        <v>0.63</v>
      </c>
      <c r="BH35" s="12">
        <f t="shared" si="67"/>
        <v>61.814516129032263</v>
      </c>
      <c r="BI35" s="12">
        <f t="shared" si="46"/>
        <v>45.99</v>
      </c>
    </row>
    <row r="36" spans="1:61" ht="14.4" x14ac:dyDescent="0.3">
      <c r="A36" s="13" t="s">
        <v>6</v>
      </c>
      <c r="B36" s="5">
        <v>30</v>
      </c>
      <c r="C36" s="5">
        <f t="shared" si="47"/>
        <v>720</v>
      </c>
      <c r="D36" s="9">
        <f t="shared" si="34"/>
        <v>47.222222222222221</v>
      </c>
      <c r="E36" s="5">
        <v>34</v>
      </c>
      <c r="H36" s="10"/>
      <c r="J36" s="11">
        <v>1.52</v>
      </c>
      <c r="K36" s="12">
        <f t="shared" si="35"/>
        <v>71.777777777777771</v>
      </c>
      <c r="L36" s="12">
        <f t="shared" si="48"/>
        <v>51.68</v>
      </c>
      <c r="M36" s="11">
        <v>0.47</v>
      </c>
      <c r="N36" s="12">
        <f t="shared" si="36"/>
        <v>22.194444444444443</v>
      </c>
      <c r="O36" s="12">
        <f t="shared" si="49"/>
        <v>15.979999999999999</v>
      </c>
      <c r="P36" s="11">
        <v>0.97</v>
      </c>
      <c r="Q36" s="12">
        <f t="shared" si="37"/>
        <v>45.80555555555555</v>
      </c>
      <c r="R36" s="12">
        <f t="shared" si="50"/>
        <v>32.979999999999997</v>
      </c>
      <c r="S36" s="11">
        <v>0.97</v>
      </c>
      <c r="T36" s="12">
        <f t="shared" si="38"/>
        <v>45.80555555555555</v>
      </c>
      <c r="U36" s="12">
        <f t="shared" si="51"/>
        <v>32.979999999999997</v>
      </c>
      <c r="X36" s="10"/>
      <c r="Y36" s="10"/>
      <c r="Z36" s="11">
        <v>1.75</v>
      </c>
      <c r="AA36" s="12">
        <f t="shared" si="52"/>
        <v>82.638888888888886</v>
      </c>
      <c r="AB36" s="12">
        <f t="shared" si="39"/>
        <v>59.5</v>
      </c>
      <c r="AC36" s="11">
        <v>0.4</v>
      </c>
      <c r="AD36" s="12">
        <f t="shared" si="53"/>
        <v>18.888888888888889</v>
      </c>
      <c r="AE36" s="12">
        <f t="shared" si="40"/>
        <v>13.600000000000001</v>
      </c>
      <c r="AF36" s="11">
        <v>0.86</v>
      </c>
      <c r="AG36" s="12">
        <f t="shared" si="54"/>
        <v>40.611111111111107</v>
      </c>
      <c r="AH36" s="12">
        <f t="shared" si="41"/>
        <v>29.24</v>
      </c>
      <c r="AI36" s="11">
        <v>0.86</v>
      </c>
      <c r="AJ36" s="12">
        <f t="shared" si="55"/>
        <v>40.611111111111107</v>
      </c>
      <c r="AK36" s="12">
        <f t="shared" si="42"/>
        <v>29.24</v>
      </c>
      <c r="AN36" s="26">
        <f t="shared" si="56"/>
        <v>77.208333333333329</v>
      </c>
      <c r="AO36" s="26">
        <f t="shared" si="69"/>
        <v>55.59</v>
      </c>
      <c r="AP36" s="26">
        <f t="shared" si="58"/>
        <v>20.541666666666664</v>
      </c>
      <c r="AQ36" s="26">
        <f t="shared" si="70"/>
        <v>14.79</v>
      </c>
      <c r="AR36" s="26">
        <f t="shared" si="60"/>
        <v>43.208333333333329</v>
      </c>
      <c r="AS36" s="26">
        <f t="shared" si="61"/>
        <v>31.11</v>
      </c>
      <c r="AT36" s="26">
        <f t="shared" si="62"/>
        <v>43.208333333333329</v>
      </c>
      <c r="AU36" s="26">
        <f t="shared" si="71"/>
        <v>31.11</v>
      </c>
      <c r="AX36" s="11">
        <v>1.62</v>
      </c>
      <c r="AY36" s="12">
        <f t="shared" si="64"/>
        <v>76.5</v>
      </c>
      <c r="AZ36" s="12">
        <f t="shared" si="43"/>
        <v>55.080000000000005</v>
      </c>
      <c r="BA36" s="11">
        <v>0.37</v>
      </c>
      <c r="BB36" s="12">
        <f t="shared" si="65"/>
        <v>17.472222222222221</v>
      </c>
      <c r="BC36" s="12">
        <f t="shared" si="44"/>
        <v>12.58</v>
      </c>
      <c r="BD36" s="11">
        <v>0.65</v>
      </c>
      <c r="BE36" s="12">
        <f t="shared" si="66"/>
        <v>30.694444444444446</v>
      </c>
      <c r="BF36" s="12">
        <f t="shared" si="45"/>
        <v>22.1</v>
      </c>
      <c r="BG36" s="11">
        <v>0.65</v>
      </c>
      <c r="BH36" s="12">
        <f t="shared" si="67"/>
        <v>30.694444444444446</v>
      </c>
      <c r="BI36" s="12">
        <f t="shared" si="46"/>
        <v>22.1</v>
      </c>
    </row>
    <row r="37" spans="1:61" ht="15" thickBot="1" x14ac:dyDescent="0.35">
      <c r="A37" s="14" t="s">
        <v>7</v>
      </c>
      <c r="B37" s="5">
        <v>31</v>
      </c>
      <c r="C37" s="5">
        <f t="shared" si="47"/>
        <v>744</v>
      </c>
      <c r="D37" s="9">
        <f t="shared" si="34"/>
        <v>40.322580645161288</v>
      </c>
      <c r="E37" s="5">
        <v>30</v>
      </c>
      <c r="H37" s="10"/>
      <c r="J37" s="11">
        <v>1.76</v>
      </c>
      <c r="K37" s="12">
        <f t="shared" si="35"/>
        <v>70.967741935483872</v>
      </c>
      <c r="L37" s="12">
        <f t="shared" si="48"/>
        <v>52.8</v>
      </c>
      <c r="M37" s="11">
        <v>0.48</v>
      </c>
      <c r="N37" s="12">
        <f t="shared" si="36"/>
        <v>19.354838709677416</v>
      </c>
      <c r="O37" s="12">
        <f t="shared" si="49"/>
        <v>14.399999999999999</v>
      </c>
      <c r="P37" s="11">
        <v>0.99</v>
      </c>
      <c r="Q37" s="12">
        <f t="shared" si="37"/>
        <v>39.919354838709673</v>
      </c>
      <c r="R37" s="12">
        <f t="shared" si="50"/>
        <v>29.7</v>
      </c>
      <c r="S37" s="11">
        <v>0.99</v>
      </c>
      <c r="T37" s="12">
        <f t="shared" si="38"/>
        <v>39.919354838709673</v>
      </c>
      <c r="U37" s="12">
        <f t="shared" si="51"/>
        <v>29.7</v>
      </c>
      <c r="X37" s="10"/>
      <c r="Y37" s="10"/>
      <c r="Z37" s="11">
        <v>2.15</v>
      </c>
      <c r="AA37" s="12">
        <f t="shared" si="52"/>
        <v>86.693548387096769</v>
      </c>
      <c r="AB37" s="12">
        <f t="shared" si="39"/>
        <v>64.5</v>
      </c>
      <c r="AC37" s="11">
        <v>0.46</v>
      </c>
      <c r="AD37" s="12">
        <f t="shared" si="53"/>
        <v>18.548387096774192</v>
      </c>
      <c r="AE37" s="12">
        <f t="shared" si="40"/>
        <v>13.8</v>
      </c>
      <c r="AF37" s="11">
        <v>0.9</v>
      </c>
      <c r="AG37" s="12">
        <f t="shared" si="54"/>
        <v>36.29032258064516</v>
      </c>
      <c r="AH37" s="12">
        <f t="shared" si="41"/>
        <v>27</v>
      </c>
      <c r="AI37" s="11">
        <v>0.9</v>
      </c>
      <c r="AJ37" s="12">
        <f t="shared" si="55"/>
        <v>36.29032258064516</v>
      </c>
      <c r="AK37" s="12">
        <f t="shared" si="42"/>
        <v>27</v>
      </c>
      <c r="AN37" s="26">
        <f t="shared" si="56"/>
        <v>78.83064516129032</v>
      </c>
      <c r="AO37" s="26">
        <f t="shared" si="69"/>
        <v>58.65</v>
      </c>
      <c r="AP37" s="26">
        <f t="shared" si="58"/>
        <v>18.951612903225804</v>
      </c>
      <c r="AQ37" s="26">
        <f t="shared" si="70"/>
        <v>14.1</v>
      </c>
      <c r="AR37" s="26">
        <f t="shared" si="60"/>
        <v>38.104838709677416</v>
      </c>
      <c r="AS37" s="26">
        <f t="shared" si="61"/>
        <v>28.35</v>
      </c>
      <c r="AT37" s="26">
        <f t="shared" si="62"/>
        <v>38.104838709677416</v>
      </c>
      <c r="AU37" s="26">
        <f t="shared" si="71"/>
        <v>28.35</v>
      </c>
      <c r="AX37" s="11">
        <v>2.19</v>
      </c>
      <c r="AY37" s="12">
        <f t="shared" si="64"/>
        <v>88.306451612903217</v>
      </c>
      <c r="AZ37" s="12">
        <f t="shared" si="43"/>
        <v>65.7</v>
      </c>
      <c r="BA37" s="11">
        <v>0.46</v>
      </c>
      <c r="BB37" s="12">
        <f t="shared" si="65"/>
        <v>18.548387096774192</v>
      </c>
      <c r="BC37" s="12">
        <f t="shared" si="44"/>
        <v>13.8</v>
      </c>
      <c r="BD37" s="11">
        <v>0.77</v>
      </c>
      <c r="BE37" s="12">
        <f t="shared" si="66"/>
        <v>31.048387096774192</v>
      </c>
      <c r="BF37" s="12">
        <f t="shared" si="45"/>
        <v>23.1</v>
      </c>
      <c r="BG37" s="11">
        <v>0.77</v>
      </c>
      <c r="BH37" s="12">
        <f t="shared" si="67"/>
        <v>31.048387096774192</v>
      </c>
      <c r="BI37" s="12">
        <f t="shared" si="46"/>
        <v>23.1</v>
      </c>
    </row>
    <row r="39" spans="1:61" x14ac:dyDescent="0.25">
      <c r="A39" s="15" t="s">
        <v>44</v>
      </c>
      <c r="B39" s="7" t="s">
        <v>10</v>
      </c>
      <c r="C39" s="7" t="s">
        <v>11</v>
      </c>
      <c r="E39" s="7" t="s">
        <v>12</v>
      </c>
      <c r="F39" s="7"/>
      <c r="G39" s="7"/>
      <c r="J39" s="36" t="s">
        <v>15</v>
      </c>
      <c r="K39" s="37"/>
      <c r="L39" s="38"/>
      <c r="M39" s="36" t="s">
        <v>16</v>
      </c>
      <c r="N39" s="37"/>
      <c r="O39" s="38"/>
      <c r="P39" s="36" t="s">
        <v>17</v>
      </c>
      <c r="Q39" s="37"/>
      <c r="R39" s="37"/>
      <c r="S39" s="34" t="s">
        <v>18</v>
      </c>
      <c r="T39" s="34"/>
      <c r="U39" s="34"/>
      <c r="Z39" s="36" t="s">
        <v>15</v>
      </c>
      <c r="AA39" s="37"/>
      <c r="AB39" s="38"/>
      <c r="AC39" s="36" t="s">
        <v>16</v>
      </c>
      <c r="AD39" s="37"/>
      <c r="AE39" s="38"/>
      <c r="AF39" s="36" t="s">
        <v>17</v>
      </c>
      <c r="AG39" s="37"/>
      <c r="AH39" s="37"/>
      <c r="AI39" s="34" t="s">
        <v>18</v>
      </c>
      <c r="AJ39" s="34"/>
      <c r="AK39" s="34"/>
      <c r="AN39" s="32" t="s">
        <v>15</v>
      </c>
      <c r="AO39" s="33"/>
      <c r="AP39" s="32" t="s">
        <v>16</v>
      </c>
      <c r="AQ39" s="33"/>
      <c r="AR39" s="32" t="s">
        <v>19</v>
      </c>
      <c r="AS39" s="33"/>
      <c r="AT39" s="34" t="s">
        <v>18</v>
      </c>
      <c r="AU39" s="34"/>
      <c r="AX39" s="36" t="s">
        <v>15</v>
      </c>
      <c r="AY39" s="37"/>
      <c r="AZ39" s="38"/>
      <c r="BA39" s="36" t="s">
        <v>16</v>
      </c>
      <c r="BB39" s="37"/>
      <c r="BC39" s="38"/>
      <c r="BD39" s="36" t="s">
        <v>17</v>
      </c>
      <c r="BE39" s="37"/>
      <c r="BF39" s="37"/>
      <c r="BG39" s="34" t="s">
        <v>18</v>
      </c>
      <c r="BH39" s="34"/>
      <c r="BI39" s="34"/>
    </row>
    <row r="40" spans="1:61" ht="13.8" thickBot="1" x14ac:dyDescent="0.3">
      <c r="D40" s="5" t="s">
        <v>14</v>
      </c>
      <c r="E40" s="5" t="s">
        <v>13</v>
      </c>
      <c r="J40" s="4" t="s">
        <v>48</v>
      </c>
      <c r="K40" s="4" t="s">
        <v>14</v>
      </c>
      <c r="L40" s="4" t="s">
        <v>13</v>
      </c>
      <c r="M40" s="4" t="s">
        <v>48</v>
      </c>
      <c r="N40" s="4" t="s">
        <v>14</v>
      </c>
      <c r="O40" s="4" t="s">
        <v>13</v>
      </c>
      <c r="P40" s="4" t="s">
        <v>48</v>
      </c>
      <c r="Q40" s="4" t="s">
        <v>14</v>
      </c>
      <c r="R40" s="4" t="s">
        <v>13</v>
      </c>
      <c r="S40" s="24" t="s">
        <v>48</v>
      </c>
      <c r="T40" s="24" t="s">
        <v>14</v>
      </c>
      <c r="U40" s="24" t="s">
        <v>13</v>
      </c>
      <c r="Z40" s="4" t="s">
        <v>48</v>
      </c>
      <c r="AA40" s="4" t="s">
        <v>14</v>
      </c>
      <c r="AB40" s="4" t="s">
        <v>13</v>
      </c>
      <c r="AC40" s="4" t="s">
        <v>48</v>
      </c>
      <c r="AD40" s="4" t="s">
        <v>14</v>
      </c>
      <c r="AE40" s="4" t="s">
        <v>13</v>
      </c>
      <c r="AF40" s="4" t="s">
        <v>48</v>
      </c>
      <c r="AG40" s="4" t="s">
        <v>14</v>
      </c>
      <c r="AH40" s="4" t="s">
        <v>13</v>
      </c>
      <c r="AI40" s="24" t="s">
        <v>48</v>
      </c>
      <c r="AJ40" s="24" t="s">
        <v>14</v>
      </c>
      <c r="AK40" s="24" t="s">
        <v>13</v>
      </c>
      <c r="AN40" s="24" t="s">
        <v>14</v>
      </c>
      <c r="AO40" s="24" t="s">
        <v>13</v>
      </c>
      <c r="AP40" s="24" t="s">
        <v>14</v>
      </c>
      <c r="AQ40" s="24" t="s">
        <v>13</v>
      </c>
      <c r="AR40" s="24" t="s">
        <v>14</v>
      </c>
      <c r="AS40" s="24" t="s">
        <v>13</v>
      </c>
      <c r="AT40" s="24" t="s">
        <v>14</v>
      </c>
      <c r="AU40" s="24" t="s">
        <v>13</v>
      </c>
      <c r="AX40" s="4" t="s">
        <v>48</v>
      </c>
      <c r="AY40" s="4" t="s">
        <v>14</v>
      </c>
      <c r="AZ40" s="4" t="s">
        <v>13</v>
      </c>
      <c r="BA40" s="4" t="s">
        <v>48</v>
      </c>
      <c r="BB40" s="4" t="s">
        <v>14</v>
      </c>
      <c r="BC40" s="4" t="s">
        <v>13</v>
      </c>
      <c r="BD40" s="4" t="s">
        <v>48</v>
      </c>
      <c r="BE40" s="4" t="s">
        <v>14</v>
      </c>
      <c r="BF40" s="4" t="s">
        <v>13</v>
      </c>
      <c r="BG40" s="24" t="s">
        <v>48</v>
      </c>
      <c r="BH40" s="24" t="s">
        <v>14</v>
      </c>
      <c r="BI40" s="24" t="s">
        <v>13</v>
      </c>
    </row>
    <row r="41" spans="1:61" ht="14.4" x14ac:dyDescent="0.3">
      <c r="A41" s="8" t="s">
        <v>1</v>
      </c>
      <c r="B41" s="5">
        <v>31</v>
      </c>
      <c r="C41" s="5">
        <f>B41*24</f>
        <v>744</v>
      </c>
      <c r="D41" s="9">
        <f t="shared" ref="D41:D52" si="72">E41*1000/C41</f>
        <v>34.946236559139784</v>
      </c>
      <c r="E41" s="5">
        <v>26</v>
      </c>
      <c r="H41" s="10"/>
      <c r="J41" s="11">
        <v>1.61</v>
      </c>
      <c r="K41" s="12">
        <f t="shared" ref="K41:K52" si="73">J41*D41</f>
        <v>56.263440860215056</v>
      </c>
      <c r="L41" s="12">
        <f>$E41*J41</f>
        <v>41.86</v>
      </c>
      <c r="M41" s="11">
        <v>0.52</v>
      </c>
      <c r="N41" s="12">
        <f t="shared" ref="N41:N52" si="74">M41*D41</f>
        <v>18.172043010752688</v>
      </c>
      <c r="O41" s="12">
        <f>$E41*M41</f>
        <v>13.52</v>
      </c>
      <c r="P41" s="11">
        <v>1</v>
      </c>
      <c r="Q41" s="12">
        <f t="shared" ref="Q41:Q52" si="75">P41*D41</f>
        <v>34.946236559139784</v>
      </c>
      <c r="R41" s="12">
        <f>$E41*P41</f>
        <v>26</v>
      </c>
      <c r="S41" s="11">
        <v>1</v>
      </c>
      <c r="T41" s="12">
        <f t="shared" ref="T41:T52" si="76">S41*D41</f>
        <v>34.946236559139784</v>
      </c>
      <c r="U41" s="12">
        <f>$E41*S41</f>
        <v>26</v>
      </c>
      <c r="X41" s="10"/>
      <c r="Y41" s="10"/>
      <c r="Z41" s="11">
        <v>1.94</v>
      </c>
      <c r="AA41" s="12">
        <f>Z41*$D41</f>
        <v>67.795698924731184</v>
      </c>
      <c r="AB41" s="12">
        <f t="shared" ref="AB41:AB52" si="77">$E41*Z41</f>
        <v>50.44</v>
      </c>
      <c r="AC41" s="11">
        <v>0.51</v>
      </c>
      <c r="AD41" s="12">
        <f>AC41*$D41</f>
        <v>17.822580645161292</v>
      </c>
      <c r="AE41" s="12">
        <f t="shared" ref="AE41:AE52" si="78">$E41*AC41</f>
        <v>13.26</v>
      </c>
      <c r="AF41" s="11">
        <v>0.95</v>
      </c>
      <c r="AG41" s="12">
        <f>AF41*$D41</f>
        <v>33.198924731182792</v>
      </c>
      <c r="AH41" s="12">
        <f t="shared" ref="AH41:AH52" si="79">$E41*AF41</f>
        <v>24.7</v>
      </c>
      <c r="AI41" s="11">
        <v>0.95</v>
      </c>
      <c r="AJ41" s="12">
        <f>AI41*$D41</f>
        <v>33.198924731182792</v>
      </c>
      <c r="AK41" s="12">
        <f t="shared" ref="AK41:AK52" si="80">$E41*AI41</f>
        <v>24.7</v>
      </c>
      <c r="AN41" s="26">
        <f>(K41+AA41)/2</f>
        <v>62.02956989247312</v>
      </c>
      <c r="AO41" s="26">
        <f>(L41+AB41)/2</f>
        <v>46.15</v>
      </c>
      <c r="AP41" s="26">
        <f>(N41+AD41)/2</f>
        <v>17.997311827956992</v>
      </c>
      <c r="AQ41" s="26">
        <f>(O41+AE41)/2</f>
        <v>13.39</v>
      </c>
      <c r="AR41" s="26">
        <f>(Q41+AG41)/2</f>
        <v>34.072580645161288</v>
      </c>
      <c r="AS41" s="26">
        <f>(R41+AH41)/2</f>
        <v>25.35</v>
      </c>
      <c r="AT41" s="26">
        <f>(T41+AJ41)/2</f>
        <v>34.072580645161288</v>
      </c>
      <c r="AU41" s="26">
        <f>(U41+AK41)/2</f>
        <v>25.35</v>
      </c>
      <c r="AX41" s="11">
        <v>1.92</v>
      </c>
      <c r="AY41" s="12">
        <f>AX41*$D41</f>
        <v>67.096774193548384</v>
      </c>
      <c r="AZ41" s="12">
        <f t="shared" ref="AZ41:AZ52" si="81">$E41*AX41</f>
        <v>49.92</v>
      </c>
      <c r="BA41" s="11">
        <v>0.55000000000000004</v>
      </c>
      <c r="BB41" s="12">
        <f>BA41*$D41</f>
        <v>19.220430107526884</v>
      </c>
      <c r="BC41" s="12">
        <f t="shared" ref="BC41:BC52" si="82">$E41*BA41</f>
        <v>14.3</v>
      </c>
      <c r="BD41" s="11">
        <v>0.85</v>
      </c>
      <c r="BE41" s="12">
        <f>BD41*$D41</f>
        <v>29.704301075268816</v>
      </c>
      <c r="BF41" s="12">
        <f t="shared" ref="BF41:BF52" si="83">$E41*BD41</f>
        <v>22.099999999999998</v>
      </c>
      <c r="BG41" s="11">
        <v>0.85</v>
      </c>
      <c r="BH41" s="12">
        <f>BG41*$D41</f>
        <v>29.704301075268816</v>
      </c>
      <c r="BI41" s="12">
        <f t="shared" ref="BI41:BI52" si="84">$E41*BG41</f>
        <v>22.099999999999998</v>
      </c>
    </row>
    <row r="42" spans="1:61" ht="14.4" x14ac:dyDescent="0.3">
      <c r="A42" s="13" t="s">
        <v>2</v>
      </c>
      <c r="B42" s="5">
        <v>28</v>
      </c>
      <c r="C42" s="5">
        <f t="shared" ref="C42:C52" si="85">B42*24</f>
        <v>672</v>
      </c>
      <c r="D42" s="9">
        <f t="shared" si="72"/>
        <v>74.404761904761898</v>
      </c>
      <c r="E42" s="5">
        <v>50</v>
      </c>
      <c r="H42" s="10"/>
      <c r="J42" s="11">
        <v>1.45</v>
      </c>
      <c r="K42" s="12">
        <f t="shared" si="73"/>
        <v>107.88690476190474</v>
      </c>
      <c r="L42" s="12">
        <f t="shared" ref="L42:L52" si="86">$E42*J42</f>
        <v>72.5</v>
      </c>
      <c r="M42" s="11">
        <v>0.45</v>
      </c>
      <c r="N42" s="12">
        <f t="shared" si="74"/>
        <v>33.482142857142854</v>
      </c>
      <c r="O42" s="12">
        <f t="shared" ref="O42:O52" si="87">$E42*M42</f>
        <v>22.5</v>
      </c>
      <c r="P42" s="11">
        <v>0.98</v>
      </c>
      <c r="Q42" s="12">
        <f t="shared" si="75"/>
        <v>72.916666666666657</v>
      </c>
      <c r="R42" s="12">
        <f t="shared" ref="R42:R52" si="88">$E42*P42</f>
        <v>49</v>
      </c>
      <c r="S42" s="11">
        <v>0.98</v>
      </c>
      <c r="T42" s="12">
        <f t="shared" si="76"/>
        <v>72.916666666666657</v>
      </c>
      <c r="U42" s="12">
        <f t="shared" ref="U42:U52" si="89">$E42*S42</f>
        <v>49</v>
      </c>
      <c r="X42" s="10"/>
      <c r="Y42" s="10"/>
      <c r="Z42" s="11">
        <v>1.64</v>
      </c>
      <c r="AA42" s="12">
        <f t="shared" ref="AA42:AA52" si="90">Z42*$D42</f>
        <v>122.0238095238095</v>
      </c>
      <c r="AB42" s="12">
        <f t="shared" si="77"/>
        <v>82</v>
      </c>
      <c r="AC42" s="11">
        <v>0.44</v>
      </c>
      <c r="AD42" s="12">
        <f t="shared" ref="AD42:AD52" si="91">AC42*$D42</f>
        <v>32.738095238095234</v>
      </c>
      <c r="AE42" s="12">
        <f t="shared" si="78"/>
        <v>22</v>
      </c>
      <c r="AF42" s="11">
        <v>0.92</v>
      </c>
      <c r="AG42" s="12">
        <f t="shared" ref="AG42:AG52" si="92">AF42*$D42</f>
        <v>68.452380952380949</v>
      </c>
      <c r="AH42" s="12">
        <f t="shared" si="79"/>
        <v>46</v>
      </c>
      <c r="AI42" s="11">
        <v>0.92</v>
      </c>
      <c r="AJ42" s="12">
        <f t="shared" ref="AJ42:AJ52" si="93">AI42*$D42</f>
        <v>68.452380952380949</v>
      </c>
      <c r="AK42" s="12">
        <f t="shared" si="80"/>
        <v>46</v>
      </c>
      <c r="AN42" s="26">
        <f t="shared" ref="AN42:AN52" si="94">(K42+AA42)/2</f>
        <v>114.95535714285712</v>
      </c>
      <c r="AO42" s="26">
        <f t="shared" ref="AO42:AO47" si="95">(L42+AB42)/2</f>
        <v>77.25</v>
      </c>
      <c r="AP42" s="26">
        <f t="shared" ref="AP42:AP52" si="96">(N42+AD42)/2</f>
        <v>33.110119047619044</v>
      </c>
      <c r="AQ42" s="26">
        <f t="shared" ref="AQ42:AQ47" si="97">(O42+AE42)/2</f>
        <v>22.25</v>
      </c>
      <c r="AR42" s="26">
        <f t="shared" ref="AR42:AR52" si="98">(Q42+AG42)/2</f>
        <v>70.684523809523796</v>
      </c>
      <c r="AS42" s="26">
        <f t="shared" ref="AS42:AS52" si="99">(R42+AH42)/2</f>
        <v>47.5</v>
      </c>
      <c r="AT42" s="26">
        <f t="shared" ref="AT42:AT52" si="100">(T42+AJ42)/2</f>
        <v>70.684523809523796</v>
      </c>
      <c r="AU42" s="26">
        <f t="shared" ref="AU42:AU45" si="101">(U42+AK42)/2</f>
        <v>47.5</v>
      </c>
      <c r="AX42" s="11">
        <v>1.54</v>
      </c>
      <c r="AY42" s="12">
        <f t="shared" ref="AY42:AY52" si="102">AX42*$D42</f>
        <v>114.58333333333333</v>
      </c>
      <c r="AZ42" s="12">
        <f t="shared" si="81"/>
        <v>77</v>
      </c>
      <c r="BA42" s="11">
        <v>0.47</v>
      </c>
      <c r="BB42" s="12">
        <f t="shared" ref="BB42:BB52" si="103">BA42*$D42</f>
        <v>34.970238095238088</v>
      </c>
      <c r="BC42" s="12">
        <f t="shared" si="82"/>
        <v>23.5</v>
      </c>
      <c r="BD42" s="11">
        <v>0.8</v>
      </c>
      <c r="BE42" s="12">
        <f t="shared" ref="BE42:BE52" si="104">BD42*$D42</f>
        <v>59.523809523809518</v>
      </c>
      <c r="BF42" s="12">
        <f t="shared" si="83"/>
        <v>40</v>
      </c>
      <c r="BG42" s="11">
        <v>0.8</v>
      </c>
      <c r="BH42" s="12">
        <f t="shared" ref="BH42:BH52" si="105">BG42*$D42</f>
        <v>59.523809523809518</v>
      </c>
      <c r="BI42" s="12">
        <f t="shared" si="84"/>
        <v>40</v>
      </c>
    </row>
    <row r="43" spans="1:61" ht="14.4" x14ac:dyDescent="0.3">
      <c r="A43" s="13" t="s">
        <v>3</v>
      </c>
      <c r="B43" s="5">
        <v>31</v>
      </c>
      <c r="C43" s="5">
        <f t="shared" si="85"/>
        <v>744</v>
      </c>
      <c r="D43" s="9">
        <f t="shared" si="72"/>
        <v>120.96774193548387</v>
      </c>
      <c r="E43" s="5">
        <v>90</v>
      </c>
      <c r="H43" s="10"/>
      <c r="J43" s="11">
        <v>1.25</v>
      </c>
      <c r="K43" s="12">
        <f t="shared" si="73"/>
        <v>151.20967741935485</v>
      </c>
      <c r="L43" s="12">
        <f t="shared" si="86"/>
        <v>112.5</v>
      </c>
      <c r="M43" s="11">
        <v>0.52</v>
      </c>
      <c r="N43" s="12">
        <f t="shared" si="74"/>
        <v>62.903225806451616</v>
      </c>
      <c r="O43" s="12">
        <f t="shared" si="87"/>
        <v>46.800000000000004</v>
      </c>
      <c r="P43" s="11">
        <v>0.96</v>
      </c>
      <c r="Q43" s="12">
        <f t="shared" si="75"/>
        <v>116.12903225806451</v>
      </c>
      <c r="R43" s="12">
        <f t="shared" si="88"/>
        <v>86.399999999999991</v>
      </c>
      <c r="S43" s="11">
        <v>0.96</v>
      </c>
      <c r="T43" s="12">
        <f t="shared" si="76"/>
        <v>116.12903225806451</v>
      </c>
      <c r="U43" s="12">
        <f t="shared" si="89"/>
        <v>86.399999999999991</v>
      </c>
      <c r="X43" s="10"/>
      <c r="Y43" s="10"/>
      <c r="Z43" s="11">
        <v>1.28</v>
      </c>
      <c r="AA43" s="12">
        <f t="shared" si="90"/>
        <v>154.83870967741936</v>
      </c>
      <c r="AB43" s="12">
        <f t="shared" si="77"/>
        <v>115.2</v>
      </c>
      <c r="AC43" s="11">
        <v>0.35</v>
      </c>
      <c r="AD43" s="12">
        <f t="shared" si="91"/>
        <v>42.338709677419352</v>
      </c>
      <c r="AE43" s="12">
        <f t="shared" si="78"/>
        <v>31.499999999999996</v>
      </c>
      <c r="AF43" s="11">
        <v>0.85</v>
      </c>
      <c r="AG43" s="12">
        <f t="shared" si="92"/>
        <v>102.8225806451613</v>
      </c>
      <c r="AH43" s="12">
        <f t="shared" si="79"/>
        <v>76.5</v>
      </c>
      <c r="AI43" s="11">
        <v>0.85</v>
      </c>
      <c r="AJ43" s="12">
        <f t="shared" si="93"/>
        <v>102.8225806451613</v>
      </c>
      <c r="AK43" s="12">
        <f t="shared" si="80"/>
        <v>76.5</v>
      </c>
      <c r="AN43" s="26">
        <f t="shared" si="94"/>
        <v>153.0241935483871</v>
      </c>
      <c r="AO43" s="26">
        <f t="shared" si="95"/>
        <v>113.85</v>
      </c>
      <c r="AP43" s="26">
        <f t="shared" si="96"/>
        <v>52.620967741935488</v>
      </c>
      <c r="AQ43" s="26">
        <f t="shared" si="97"/>
        <v>39.15</v>
      </c>
      <c r="AR43" s="26">
        <f t="shared" si="98"/>
        <v>109.4758064516129</v>
      </c>
      <c r="AS43" s="26">
        <f t="shared" si="99"/>
        <v>81.449999999999989</v>
      </c>
      <c r="AT43" s="26">
        <f t="shared" si="100"/>
        <v>109.4758064516129</v>
      </c>
      <c r="AU43" s="26">
        <f t="shared" si="101"/>
        <v>81.449999999999989</v>
      </c>
      <c r="AX43" s="11">
        <v>1.06</v>
      </c>
      <c r="AY43" s="12">
        <f t="shared" si="102"/>
        <v>128.2258064516129</v>
      </c>
      <c r="AZ43" s="12">
        <f t="shared" si="81"/>
        <v>95.4</v>
      </c>
      <c r="BA43" s="11">
        <v>0.34</v>
      </c>
      <c r="BB43" s="12">
        <f t="shared" si="103"/>
        <v>41.12903225806452</v>
      </c>
      <c r="BC43" s="12">
        <f t="shared" si="82"/>
        <v>30.6</v>
      </c>
      <c r="BD43" s="11">
        <v>0.67</v>
      </c>
      <c r="BE43" s="12">
        <f t="shared" si="104"/>
        <v>81.048387096774192</v>
      </c>
      <c r="BF43" s="12">
        <f t="shared" si="83"/>
        <v>60.300000000000004</v>
      </c>
      <c r="BG43" s="11">
        <v>0.67</v>
      </c>
      <c r="BH43" s="12">
        <f t="shared" si="105"/>
        <v>81.048387096774192</v>
      </c>
      <c r="BI43" s="12">
        <f t="shared" si="84"/>
        <v>60.300000000000004</v>
      </c>
    </row>
    <row r="44" spans="1:61" ht="14.4" x14ac:dyDescent="0.3">
      <c r="A44" s="13" t="s">
        <v>4</v>
      </c>
      <c r="B44" s="5">
        <v>30</v>
      </c>
      <c r="C44" s="5">
        <f t="shared" si="85"/>
        <v>720</v>
      </c>
      <c r="D44" s="9">
        <f t="shared" si="72"/>
        <v>186.11111111111111</v>
      </c>
      <c r="E44" s="5">
        <v>134</v>
      </c>
      <c r="H44" s="10"/>
      <c r="I44" s="4" t="s">
        <v>28</v>
      </c>
      <c r="J44" s="11">
        <v>1.0900000000000001</v>
      </c>
      <c r="K44" s="12">
        <f t="shared" si="73"/>
        <v>202.86111111111114</v>
      </c>
      <c r="L44" s="12">
        <f t="shared" si="86"/>
        <v>146.06</v>
      </c>
      <c r="M44" s="11">
        <v>0.68</v>
      </c>
      <c r="N44" s="12">
        <f t="shared" si="74"/>
        <v>126.55555555555557</v>
      </c>
      <c r="O44" s="12">
        <f t="shared" si="87"/>
        <v>91.12</v>
      </c>
      <c r="P44" s="11">
        <v>0.94</v>
      </c>
      <c r="Q44" s="12">
        <f t="shared" si="75"/>
        <v>174.94444444444443</v>
      </c>
      <c r="R44" s="12">
        <f t="shared" si="88"/>
        <v>125.96</v>
      </c>
      <c r="S44" s="11">
        <v>0.94</v>
      </c>
      <c r="T44" s="12">
        <f t="shared" si="76"/>
        <v>174.94444444444443</v>
      </c>
      <c r="U44" s="12">
        <f t="shared" si="89"/>
        <v>125.96</v>
      </c>
      <c r="W44" s="4" t="s">
        <v>28</v>
      </c>
      <c r="X44" s="10"/>
      <c r="Y44" s="10"/>
      <c r="Z44" s="11">
        <v>0.99</v>
      </c>
      <c r="AA44" s="12">
        <f>Z44*$D44</f>
        <v>184.25</v>
      </c>
      <c r="AB44" s="12">
        <f t="shared" si="77"/>
        <v>132.66</v>
      </c>
      <c r="AC44" s="11">
        <v>0.34</v>
      </c>
      <c r="AD44" s="12">
        <f>AC44*$D44</f>
        <v>63.277777777777786</v>
      </c>
      <c r="AE44" s="12">
        <f t="shared" si="78"/>
        <v>45.56</v>
      </c>
      <c r="AF44" s="11">
        <v>0.81</v>
      </c>
      <c r="AG44" s="12">
        <f>AF44*$D44</f>
        <v>150.75</v>
      </c>
      <c r="AH44" s="12">
        <f t="shared" si="79"/>
        <v>108.54</v>
      </c>
      <c r="AI44" s="11">
        <v>0.81</v>
      </c>
      <c r="AJ44" s="12">
        <f>AI44*$D44</f>
        <v>150.75</v>
      </c>
      <c r="AK44" s="12">
        <f t="shared" si="80"/>
        <v>108.54</v>
      </c>
      <c r="AM44" s="4" t="s">
        <v>28</v>
      </c>
      <c r="AN44" s="26">
        <f t="shared" si="94"/>
        <v>193.55555555555557</v>
      </c>
      <c r="AO44" s="26">
        <f t="shared" si="95"/>
        <v>139.36000000000001</v>
      </c>
      <c r="AP44" s="26">
        <f t="shared" si="96"/>
        <v>94.916666666666686</v>
      </c>
      <c r="AQ44" s="26">
        <f t="shared" si="97"/>
        <v>68.34</v>
      </c>
      <c r="AR44" s="26">
        <f t="shared" si="98"/>
        <v>162.84722222222223</v>
      </c>
      <c r="AS44" s="26">
        <f t="shared" si="99"/>
        <v>117.25</v>
      </c>
      <c r="AT44" s="26">
        <f t="shared" si="100"/>
        <v>162.84722222222223</v>
      </c>
      <c r="AU44" s="26">
        <f t="shared" si="101"/>
        <v>117.25</v>
      </c>
      <c r="AW44" s="4" t="s">
        <v>66</v>
      </c>
      <c r="AX44" s="11">
        <v>0.72</v>
      </c>
      <c r="AY44" s="12">
        <f>AX44*$D44</f>
        <v>134</v>
      </c>
      <c r="AZ44" s="12">
        <f t="shared" si="81"/>
        <v>96.47999999999999</v>
      </c>
      <c r="BA44" s="11">
        <v>0.3</v>
      </c>
      <c r="BB44" s="12">
        <f>BA44*$D44</f>
        <v>55.833333333333336</v>
      </c>
      <c r="BC44" s="12">
        <f t="shared" si="82"/>
        <v>40.199999999999996</v>
      </c>
      <c r="BD44" s="11">
        <v>0.59</v>
      </c>
      <c r="BE44" s="12">
        <f>BD44*$D44</f>
        <v>109.80555555555556</v>
      </c>
      <c r="BF44" s="12">
        <f t="shared" si="83"/>
        <v>79.06</v>
      </c>
      <c r="BG44" s="11">
        <v>0.59</v>
      </c>
      <c r="BH44" s="12">
        <f>BG44*$D44</f>
        <v>109.80555555555556</v>
      </c>
      <c r="BI44" s="12">
        <f t="shared" si="84"/>
        <v>79.06</v>
      </c>
    </row>
    <row r="45" spans="1:61" ht="14.4" x14ac:dyDescent="0.3">
      <c r="A45" s="13" t="s">
        <v>22</v>
      </c>
      <c r="B45" s="5">
        <v>31</v>
      </c>
      <c r="C45" s="5">
        <f t="shared" si="85"/>
        <v>744</v>
      </c>
      <c r="D45" s="9">
        <f t="shared" si="72"/>
        <v>228.49462365591398</v>
      </c>
      <c r="E45" s="5">
        <v>170</v>
      </c>
      <c r="H45" s="10"/>
      <c r="J45" s="11">
        <v>1.01</v>
      </c>
      <c r="K45" s="12">
        <f t="shared" si="73"/>
        <v>230.77956989247312</v>
      </c>
      <c r="L45" s="12">
        <f t="shared" si="86"/>
        <v>171.7</v>
      </c>
      <c r="M45" s="11">
        <v>0.79</v>
      </c>
      <c r="N45" s="12">
        <f t="shared" si="74"/>
        <v>180.51075268817206</v>
      </c>
      <c r="O45" s="12">
        <f t="shared" si="87"/>
        <v>134.30000000000001</v>
      </c>
      <c r="P45" s="11">
        <v>0.94</v>
      </c>
      <c r="Q45" s="12">
        <f t="shared" si="75"/>
        <v>214.78494623655914</v>
      </c>
      <c r="R45" s="12">
        <f t="shared" si="88"/>
        <v>159.79999999999998</v>
      </c>
      <c r="S45" s="11">
        <v>0.94</v>
      </c>
      <c r="T45" s="12">
        <f t="shared" si="76"/>
        <v>214.78494623655914</v>
      </c>
      <c r="U45" s="12">
        <f t="shared" si="89"/>
        <v>159.79999999999998</v>
      </c>
      <c r="X45" s="10"/>
      <c r="Y45" s="10"/>
      <c r="Z45" s="11">
        <v>0.84</v>
      </c>
      <c r="AA45" s="12">
        <f t="shared" si="90"/>
        <v>191.93548387096774</v>
      </c>
      <c r="AB45" s="12">
        <f t="shared" si="77"/>
        <v>142.79999999999998</v>
      </c>
      <c r="AC45" s="11">
        <v>0.4</v>
      </c>
      <c r="AD45" s="12">
        <f t="shared" si="91"/>
        <v>91.397849462365599</v>
      </c>
      <c r="AE45" s="12">
        <f t="shared" si="78"/>
        <v>68</v>
      </c>
      <c r="AF45" s="11">
        <v>0.79</v>
      </c>
      <c r="AG45" s="12">
        <f t="shared" si="92"/>
        <v>180.51075268817206</v>
      </c>
      <c r="AH45" s="12">
        <f t="shared" si="79"/>
        <v>134.30000000000001</v>
      </c>
      <c r="AI45" s="11">
        <v>0.79</v>
      </c>
      <c r="AJ45" s="12">
        <f t="shared" si="93"/>
        <v>180.51075268817206</v>
      </c>
      <c r="AK45" s="12">
        <f t="shared" si="80"/>
        <v>134.30000000000001</v>
      </c>
      <c r="AN45" s="26">
        <f t="shared" si="94"/>
        <v>211.35752688172045</v>
      </c>
      <c r="AO45" s="26">
        <f t="shared" si="95"/>
        <v>157.25</v>
      </c>
      <c r="AP45" s="26">
        <f t="shared" si="96"/>
        <v>135.95430107526883</v>
      </c>
      <c r="AQ45" s="26">
        <f t="shared" si="97"/>
        <v>101.15</v>
      </c>
      <c r="AR45" s="26">
        <f t="shared" si="98"/>
        <v>197.6478494623656</v>
      </c>
      <c r="AS45" s="26">
        <f t="shared" si="99"/>
        <v>147.05000000000001</v>
      </c>
      <c r="AT45" s="26">
        <f t="shared" si="100"/>
        <v>197.6478494623656</v>
      </c>
      <c r="AU45" s="26">
        <f t="shared" si="101"/>
        <v>147.05000000000001</v>
      </c>
      <c r="AW45" s="4" t="s">
        <v>65</v>
      </c>
      <c r="AX45" s="11">
        <v>0.55000000000000004</v>
      </c>
      <c r="AY45" s="12">
        <f t="shared" si="102"/>
        <v>125.6720430107527</v>
      </c>
      <c r="AZ45" s="12">
        <f t="shared" si="81"/>
        <v>93.500000000000014</v>
      </c>
      <c r="BA45" s="11">
        <v>0.3</v>
      </c>
      <c r="BB45" s="12">
        <f t="shared" si="103"/>
        <v>68.548387096774192</v>
      </c>
      <c r="BC45" s="12">
        <f t="shared" si="82"/>
        <v>51</v>
      </c>
      <c r="BD45" s="11">
        <v>0.56000000000000005</v>
      </c>
      <c r="BE45" s="12">
        <f t="shared" si="104"/>
        <v>127.95698924731184</v>
      </c>
      <c r="BF45" s="12">
        <f t="shared" si="83"/>
        <v>95.2</v>
      </c>
      <c r="BG45" s="11">
        <v>0.56000000000000005</v>
      </c>
      <c r="BH45" s="12">
        <f t="shared" si="105"/>
        <v>127.95698924731184</v>
      </c>
      <c r="BI45" s="12">
        <f t="shared" si="84"/>
        <v>95.2</v>
      </c>
    </row>
    <row r="46" spans="1:61" ht="14.4" x14ac:dyDescent="0.3">
      <c r="A46" s="13" t="s">
        <v>23</v>
      </c>
      <c r="B46" s="5">
        <v>30</v>
      </c>
      <c r="C46" s="5">
        <f t="shared" si="85"/>
        <v>720</v>
      </c>
      <c r="D46" s="9">
        <f t="shared" si="72"/>
        <v>247.22222222222223</v>
      </c>
      <c r="E46" s="5">
        <v>178</v>
      </c>
      <c r="H46" s="10"/>
      <c r="J46" s="11">
        <v>0.97</v>
      </c>
      <c r="K46" s="12">
        <f t="shared" si="73"/>
        <v>239.80555555555554</v>
      </c>
      <c r="L46" s="12">
        <f t="shared" si="86"/>
        <v>172.66</v>
      </c>
      <c r="M46" s="11">
        <v>0.82</v>
      </c>
      <c r="N46" s="12">
        <f t="shared" si="74"/>
        <v>202.72222222222223</v>
      </c>
      <c r="O46" s="12">
        <f t="shared" si="87"/>
        <v>145.95999999999998</v>
      </c>
      <c r="P46" s="11">
        <v>0.93</v>
      </c>
      <c r="Q46" s="12">
        <f t="shared" si="75"/>
        <v>229.91666666666669</v>
      </c>
      <c r="R46" s="12">
        <f t="shared" si="88"/>
        <v>165.54000000000002</v>
      </c>
      <c r="S46" s="11">
        <v>0.93</v>
      </c>
      <c r="T46" s="12">
        <f t="shared" si="76"/>
        <v>229.91666666666669</v>
      </c>
      <c r="U46" s="12">
        <f t="shared" si="89"/>
        <v>165.54000000000002</v>
      </c>
      <c r="X46" s="10"/>
      <c r="Y46" s="10"/>
      <c r="Z46" s="11">
        <v>0.78</v>
      </c>
      <c r="AA46" s="12">
        <f t="shared" si="90"/>
        <v>192.83333333333334</v>
      </c>
      <c r="AB46" s="12">
        <f t="shared" si="77"/>
        <v>138.84</v>
      </c>
      <c r="AC46" s="11">
        <v>0.45</v>
      </c>
      <c r="AD46" s="12">
        <f t="shared" si="91"/>
        <v>111.25</v>
      </c>
      <c r="AE46" s="12">
        <f t="shared" si="78"/>
        <v>80.100000000000009</v>
      </c>
      <c r="AF46" s="11">
        <v>0.78</v>
      </c>
      <c r="AG46" s="12">
        <f t="shared" si="92"/>
        <v>192.83333333333334</v>
      </c>
      <c r="AH46" s="12">
        <f t="shared" si="79"/>
        <v>138.84</v>
      </c>
      <c r="AI46" s="11">
        <v>0.78</v>
      </c>
      <c r="AJ46" s="12">
        <f t="shared" si="93"/>
        <v>192.83333333333334</v>
      </c>
      <c r="AK46" s="12">
        <f t="shared" si="80"/>
        <v>138.84</v>
      </c>
      <c r="AN46" s="26">
        <f t="shared" si="94"/>
        <v>216.31944444444446</v>
      </c>
      <c r="AO46" s="26">
        <f t="shared" si="95"/>
        <v>155.75</v>
      </c>
      <c r="AP46" s="26">
        <f t="shared" si="96"/>
        <v>156.98611111111111</v>
      </c>
      <c r="AQ46" s="26">
        <f t="shared" si="97"/>
        <v>113.03</v>
      </c>
      <c r="AR46" s="26">
        <f t="shared" si="98"/>
        <v>211.375</v>
      </c>
      <c r="AS46" s="26">
        <f t="shared" si="99"/>
        <v>152.19</v>
      </c>
      <c r="AT46" s="26">
        <f t="shared" si="100"/>
        <v>211.375</v>
      </c>
      <c r="AU46" s="26">
        <f>(U46+AK46)/2</f>
        <v>152.19</v>
      </c>
      <c r="AX46" s="11">
        <v>0.5</v>
      </c>
      <c r="AY46" s="12">
        <f t="shared" si="102"/>
        <v>123.61111111111111</v>
      </c>
      <c r="AZ46" s="12">
        <f t="shared" si="81"/>
        <v>89</v>
      </c>
      <c r="BA46" s="11">
        <v>0.32</v>
      </c>
      <c r="BB46" s="12">
        <f t="shared" si="103"/>
        <v>79.111111111111114</v>
      </c>
      <c r="BC46" s="12">
        <f t="shared" si="82"/>
        <v>56.96</v>
      </c>
      <c r="BD46" s="11">
        <v>0.55000000000000004</v>
      </c>
      <c r="BE46" s="12">
        <f t="shared" si="104"/>
        <v>135.97222222222223</v>
      </c>
      <c r="BF46" s="12">
        <f t="shared" si="83"/>
        <v>97.9</v>
      </c>
      <c r="BG46" s="11">
        <v>0.55000000000000004</v>
      </c>
      <c r="BH46" s="12">
        <f t="shared" si="105"/>
        <v>135.97222222222223</v>
      </c>
      <c r="BI46" s="12">
        <f t="shared" si="84"/>
        <v>97.9</v>
      </c>
    </row>
    <row r="47" spans="1:61" ht="14.4" x14ac:dyDescent="0.3">
      <c r="A47" s="13" t="s">
        <v>24</v>
      </c>
      <c r="B47" s="5">
        <v>31</v>
      </c>
      <c r="C47" s="5">
        <f t="shared" si="85"/>
        <v>744</v>
      </c>
      <c r="D47" s="9">
        <f t="shared" si="72"/>
        <v>223.11827956989248</v>
      </c>
      <c r="E47" s="5">
        <v>166</v>
      </c>
      <c r="H47" s="10"/>
      <c r="J47" s="11">
        <v>0.98</v>
      </c>
      <c r="K47" s="12">
        <f t="shared" si="73"/>
        <v>218.65591397849462</v>
      </c>
      <c r="L47" s="12">
        <f t="shared" si="86"/>
        <v>162.68</v>
      </c>
      <c r="M47" s="11">
        <v>0.81</v>
      </c>
      <c r="N47" s="12">
        <f t="shared" si="74"/>
        <v>180.72580645161293</v>
      </c>
      <c r="O47" s="12">
        <f t="shared" si="87"/>
        <v>134.46</v>
      </c>
      <c r="P47" s="11">
        <v>0.93</v>
      </c>
      <c r="Q47" s="12">
        <f t="shared" si="75"/>
        <v>207.50000000000003</v>
      </c>
      <c r="R47" s="12">
        <f t="shared" si="88"/>
        <v>154.38</v>
      </c>
      <c r="S47" s="11">
        <v>0.93</v>
      </c>
      <c r="T47" s="12">
        <f t="shared" si="76"/>
        <v>207.50000000000003</v>
      </c>
      <c r="U47" s="12">
        <f t="shared" si="89"/>
        <v>154.38</v>
      </c>
      <c r="X47" s="10"/>
      <c r="Y47" s="10"/>
      <c r="Z47" s="11">
        <v>0.81</v>
      </c>
      <c r="AA47" s="12">
        <f t="shared" si="90"/>
        <v>180.72580645161293</v>
      </c>
      <c r="AB47" s="12">
        <f t="shared" si="77"/>
        <v>134.46</v>
      </c>
      <c r="AC47" s="11">
        <v>0.42</v>
      </c>
      <c r="AD47" s="12">
        <f t="shared" si="91"/>
        <v>93.709677419354833</v>
      </c>
      <c r="AE47" s="12">
        <f t="shared" si="78"/>
        <v>69.72</v>
      </c>
      <c r="AF47" s="11">
        <v>0.78</v>
      </c>
      <c r="AG47" s="12">
        <f t="shared" si="92"/>
        <v>174.03225806451613</v>
      </c>
      <c r="AH47" s="12">
        <f t="shared" si="79"/>
        <v>129.48000000000002</v>
      </c>
      <c r="AI47" s="11">
        <v>0.78</v>
      </c>
      <c r="AJ47" s="12">
        <f t="shared" si="93"/>
        <v>174.03225806451613</v>
      </c>
      <c r="AK47" s="12">
        <f t="shared" si="80"/>
        <v>129.48000000000002</v>
      </c>
      <c r="AN47" s="26">
        <f t="shared" si="94"/>
        <v>199.69086021505376</v>
      </c>
      <c r="AO47" s="26">
        <f t="shared" si="95"/>
        <v>148.57</v>
      </c>
      <c r="AP47" s="26">
        <f t="shared" si="96"/>
        <v>137.21774193548387</v>
      </c>
      <c r="AQ47" s="26">
        <f t="shared" si="97"/>
        <v>102.09</v>
      </c>
      <c r="AR47" s="26">
        <f t="shared" si="98"/>
        <v>190.76612903225808</v>
      </c>
      <c r="AS47" s="26">
        <f t="shared" si="99"/>
        <v>141.93</v>
      </c>
      <c r="AT47" s="26">
        <f t="shared" si="100"/>
        <v>190.76612903225808</v>
      </c>
      <c r="AU47" s="26">
        <f t="shared" ref="AU47:AU48" si="106">(U47+AK47)/2</f>
        <v>141.93</v>
      </c>
      <c r="AX47" s="11">
        <v>0.52</v>
      </c>
      <c r="AY47" s="12">
        <f t="shared" si="102"/>
        <v>116.02150537634409</v>
      </c>
      <c r="AZ47" s="12">
        <f t="shared" si="81"/>
        <v>86.320000000000007</v>
      </c>
      <c r="BA47" s="11">
        <v>0.31</v>
      </c>
      <c r="BB47" s="12">
        <f t="shared" si="103"/>
        <v>69.166666666666671</v>
      </c>
      <c r="BC47" s="12">
        <f t="shared" si="82"/>
        <v>51.46</v>
      </c>
      <c r="BD47" s="11">
        <v>0.55000000000000004</v>
      </c>
      <c r="BE47" s="12">
        <f t="shared" si="104"/>
        <v>122.71505376344088</v>
      </c>
      <c r="BF47" s="12">
        <f t="shared" si="83"/>
        <v>91.300000000000011</v>
      </c>
      <c r="BG47" s="11">
        <v>0.55000000000000004</v>
      </c>
      <c r="BH47" s="12">
        <f t="shared" si="105"/>
        <v>122.71505376344088</v>
      </c>
      <c r="BI47" s="12">
        <f t="shared" si="84"/>
        <v>91.300000000000011</v>
      </c>
    </row>
    <row r="48" spans="1:61" ht="14.4" x14ac:dyDescent="0.3">
      <c r="A48" s="13" t="s">
        <v>25</v>
      </c>
      <c r="B48" s="5">
        <v>31</v>
      </c>
      <c r="C48" s="5">
        <f t="shared" si="85"/>
        <v>744</v>
      </c>
      <c r="D48" s="9">
        <f t="shared" si="72"/>
        <v>200.26881720430109</v>
      </c>
      <c r="E48" s="5">
        <v>149</v>
      </c>
      <c r="H48" s="10"/>
      <c r="J48" s="11">
        <v>1.04</v>
      </c>
      <c r="K48" s="12">
        <f t="shared" si="73"/>
        <v>208.27956989247315</v>
      </c>
      <c r="L48" s="12">
        <f t="shared" si="86"/>
        <v>154.96</v>
      </c>
      <c r="M48" s="11">
        <v>0.73</v>
      </c>
      <c r="N48" s="12">
        <f t="shared" si="74"/>
        <v>146.19623655913978</v>
      </c>
      <c r="O48" s="12">
        <f t="shared" si="87"/>
        <v>108.77</v>
      </c>
      <c r="P48" s="11">
        <v>0.94</v>
      </c>
      <c r="Q48" s="12">
        <f t="shared" si="75"/>
        <v>188.25268817204301</v>
      </c>
      <c r="R48" s="12">
        <f t="shared" si="88"/>
        <v>140.06</v>
      </c>
      <c r="S48" s="11">
        <v>0.94</v>
      </c>
      <c r="T48" s="12">
        <f t="shared" si="76"/>
        <v>188.25268817204301</v>
      </c>
      <c r="U48" s="12">
        <f t="shared" si="89"/>
        <v>140.06</v>
      </c>
      <c r="X48" s="10"/>
      <c r="Y48" s="10"/>
      <c r="Z48" s="11">
        <v>0.91</v>
      </c>
      <c r="AA48" s="12">
        <f t="shared" si="90"/>
        <v>182.24462365591398</v>
      </c>
      <c r="AB48" s="12">
        <f t="shared" si="77"/>
        <v>135.59</v>
      </c>
      <c r="AC48" s="11">
        <v>0.35</v>
      </c>
      <c r="AD48" s="12">
        <f t="shared" si="91"/>
        <v>70.094086021505376</v>
      </c>
      <c r="AE48" s="12">
        <f t="shared" si="78"/>
        <v>52.15</v>
      </c>
      <c r="AF48" s="11">
        <v>0.79</v>
      </c>
      <c r="AG48" s="12">
        <f t="shared" si="92"/>
        <v>158.21236559139786</v>
      </c>
      <c r="AH48" s="12">
        <f t="shared" si="79"/>
        <v>117.71000000000001</v>
      </c>
      <c r="AI48" s="11">
        <v>0.79</v>
      </c>
      <c r="AJ48" s="12">
        <f t="shared" si="93"/>
        <v>158.21236559139786</v>
      </c>
      <c r="AK48" s="12">
        <f t="shared" si="80"/>
        <v>117.71000000000001</v>
      </c>
      <c r="AN48" s="26">
        <f t="shared" si="94"/>
        <v>195.26209677419357</v>
      </c>
      <c r="AO48" s="26">
        <f>(L48+AB48)/2</f>
        <v>145.27500000000001</v>
      </c>
      <c r="AP48" s="26">
        <f t="shared" si="96"/>
        <v>108.14516129032258</v>
      </c>
      <c r="AQ48" s="26">
        <f>(O48+AE48)/2</f>
        <v>80.459999999999994</v>
      </c>
      <c r="AR48" s="26">
        <f t="shared" si="98"/>
        <v>173.23252688172045</v>
      </c>
      <c r="AS48" s="26">
        <f t="shared" si="99"/>
        <v>128.88499999999999</v>
      </c>
      <c r="AT48" s="26">
        <f t="shared" si="100"/>
        <v>173.23252688172045</v>
      </c>
      <c r="AU48" s="26">
        <f t="shared" si="106"/>
        <v>128.88499999999999</v>
      </c>
      <c r="AX48" s="11">
        <v>0.62</v>
      </c>
      <c r="AY48" s="12">
        <f t="shared" si="102"/>
        <v>124.16666666666667</v>
      </c>
      <c r="AZ48" s="12">
        <f t="shared" si="81"/>
        <v>92.38</v>
      </c>
      <c r="BA48" s="11">
        <v>0.3</v>
      </c>
      <c r="BB48" s="12">
        <f t="shared" si="103"/>
        <v>60.08064516129032</v>
      </c>
      <c r="BC48" s="12">
        <f t="shared" si="82"/>
        <v>44.699999999999996</v>
      </c>
      <c r="BD48" s="11">
        <v>0.56999999999999995</v>
      </c>
      <c r="BE48" s="12">
        <f t="shared" si="104"/>
        <v>114.15322580645162</v>
      </c>
      <c r="BF48" s="12">
        <f t="shared" si="83"/>
        <v>84.929999999999993</v>
      </c>
      <c r="BG48" s="11">
        <v>0.56999999999999995</v>
      </c>
      <c r="BH48" s="12">
        <f t="shared" si="105"/>
        <v>114.15322580645162</v>
      </c>
      <c r="BI48" s="12">
        <f t="shared" si="84"/>
        <v>84.929999999999993</v>
      </c>
    </row>
    <row r="49" spans="1:61" ht="14.4" x14ac:dyDescent="0.3">
      <c r="A49" s="13" t="s">
        <v>26</v>
      </c>
      <c r="B49" s="5">
        <v>30</v>
      </c>
      <c r="C49" s="5">
        <f t="shared" si="85"/>
        <v>720</v>
      </c>
      <c r="D49" s="9">
        <f t="shared" si="72"/>
        <v>147.22222222222223</v>
      </c>
      <c r="E49" s="5">
        <v>106</v>
      </c>
      <c r="H49" s="10"/>
      <c r="J49" s="11">
        <v>1.17</v>
      </c>
      <c r="K49" s="12">
        <f t="shared" si="73"/>
        <v>172.25</v>
      </c>
      <c r="L49" s="12">
        <f t="shared" si="86"/>
        <v>124.02</v>
      </c>
      <c r="M49" s="11">
        <v>0.59</v>
      </c>
      <c r="N49" s="12">
        <f t="shared" si="74"/>
        <v>86.861111111111114</v>
      </c>
      <c r="O49" s="12">
        <f t="shared" si="87"/>
        <v>62.54</v>
      </c>
      <c r="P49" s="11">
        <v>0.95</v>
      </c>
      <c r="Q49" s="12">
        <f t="shared" si="75"/>
        <v>139.86111111111111</v>
      </c>
      <c r="R49" s="12">
        <f t="shared" si="88"/>
        <v>100.69999999999999</v>
      </c>
      <c r="S49" s="11">
        <v>0.95</v>
      </c>
      <c r="T49" s="12">
        <f t="shared" si="76"/>
        <v>139.86111111111111</v>
      </c>
      <c r="U49" s="12">
        <f t="shared" si="89"/>
        <v>100.69999999999999</v>
      </c>
      <c r="X49" s="10"/>
      <c r="Y49" s="10"/>
      <c r="Z49" s="11">
        <v>1.1100000000000001</v>
      </c>
      <c r="AA49" s="12">
        <f t="shared" si="90"/>
        <v>163.41666666666669</v>
      </c>
      <c r="AB49" s="12">
        <f t="shared" si="77"/>
        <v>117.66000000000001</v>
      </c>
      <c r="AC49" s="11">
        <v>0.31</v>
      </c>
      <c r="AD49" s="12">
        <f t="shared" si="91"/>
        <v>45.638888888888893</v>
      </c>
      <c r="AE49" s="12">
        <f t="shared" si="78"/>
        <v>32.86</v>
      </c>
      <c r="AF49" s="11">
        <v>0.81</v>
      </c>
      <c r="AG49" s="12">
        <f t="shared" si="92"/>
        <v>119.25000000000001</v>
      </c>
      <c r="AH49" s="12">
        <f t="shared" si="79"/>
        <v>85.86</v>
      </c>
      <c r="AI49" s="11">
        <v>0.81</v>
      </c>
      <c r="AJ49" s="12">
        <f t="shared" si="93"/>
        <v>119.25000000000001</v>
      </c>
      <c r="AK49" s="12">
        <f t="shared" si="80"/>
        <v>85.86</v>
      </c>
      <c r="AN49" s="26">
        <f t="shared" si="94"/>
        <v>167.83333333333334</v>
      </c>
      <c r="AO49" s="26">
        <f t="shared" ref="AO49:AO52" si="107">(L49+AB49)/2</f>
        <v>120.84</v>
      </c>
      <c r="AP49" s="26">
        <f t="shared" si="96"/>
        <v>66.25</v>
      </c>
      <c r="AQ49" s="26">
        <f t="shared" ref="AQ49:AQ52" si="108">(O49+AE49)/2</f>
        <v>47.7</v>
      </c>
      <c r="AR49" s="26">
        <f t="shared" si="98"/>
        <v>129.55555555555557</v>
      </c>
      <c r="AS49" s="26">
        <f t="shared" si="99"/>
        <v>93.28</v>
      </c>
      <c r="AT49" s="26">
        <f t="shared" si="100"/>
        <v>129.55555555555557</v>
      </c>
      <c r="AU49" s="26">
        <f>(U49+AK49)/2</f>
        <v>93.28</v>
      </c>
      <c r="AX49" s="11">
        <v>0.85</v>
      </c>
      <c r="AY49" s="12">
        <f t="shared" si="102"/>
        <v>125.13888888888889</v>
      </c>
      <c r="AZ49" s="12">
        <f t="shared" si="81"/>
        <v>90.1</v>
      </c>
      <c r="BA49" s="11">
        <v>0.28000000000000003</v>
      </c>
      <c r="BB49" s="12">
        <f t="shared" si="103"/>
        <v>41.222222222222229</v>
      </c>
      <c r="BC49" s="12">
        <f t="shared" si="82"/>
        <v>29.680000000000003</v>
      </c>
      <c r="BD49" s="11">
        <v>0.6</v>
      </c>
      <c r="BE49" s="12">
        <f t="shared" si="104"/>
        <v>88.333333333333329</v>
      </c>
      <c r="BF49" s="12">
        <f t="shared" si="83"/>
        <v>63.599999999999994</v>
      </c>
      <c r="BG49" s="11">
        <v>0.6</v>
      </c>
      <c r="BH49" s="12">
        <f t="shared" si="105"/>
        <v>88.333333333333329</v>
      </c>
      <c r="BI49" s="12">
        <f t="shared" si="84"/>
        <v>63.599999999999994</v>
      </c>
    </row>
    <row r="50" spans="1:61" ht="14.4" x14ac:dyDescent="0.3">
      <c r="A50" s="13" t="s">
        <v>5</v>
      </c>
      <c r="B50" s="5">
        <v>31</v>
      </c>
      <c r="C50" s="5">
        <f t="shared" si="85"/>
        <v>744</v>
      </c>
      <c r="D50" s="9">
        <f t="shared" si="72"/>
        <v>83.333333333333329</v>
      </c>
      <c r="E50" s="5">
        <v>62</v>
      </c>
      <c r="H50" s="10"/>
      <c r="J50" s="11">
        <v>1.33</v>
      </c>
      <c r="K50" s="12">
        <f t="shared" si="73"/>
        <v>110.83333333333333</v>
      </c>
      <c r="L50" s="12">
        <f t="shared" si="86"/>
        <v>82.460000000000008</v>
      </c>
      <c r="M50" s="11">
        <v>0.45</v>
      </c>
      <c r="N50" s="12">
        <f t="shared" si="74"/>
        <v>37.5</v>
      </c>
      <c r="O50" s="12">
        <f t="shared" si="87"/>
        <v>27.900000000000002</v>
      </c>
      <c r="P50" s="11">
        <v>0.96</v>
      </c>
      <c r="Q50" s="12">
        <f t="shared" si="75"/>
        <v>79.999999999999986</v>
      </c>
      <c r="R50" s="12">
        <f t="shared" si="88"/>
        <v>59.519999999999996</v>
      </c>
      <c r="S50" s="11">
        <v>0.96</v>
      </c>
      <c r="T50" s="12">
        <f t="shared" si="76"/>
        <v>79.999999999999986</v>
      </c>
      <c r="U50" s="12">
        <f t="shared" si="89"/>
        <v>59.519999999999996</v>
      </c>
      <c r="X50" s="10"/>
      <c r="Y50" s="10"/>
      <c r="Z50" s="11">
        <v>1.4</v>
      </c>
      <c r="AA50" s="12">
        <f t="shared" si="90"/>
        <v>116.66666666666666</v>
      </c>
      <c r="AB50" s="12">
        <f t="shared" si="77"/>
        <v>86.8</v>
      </c>
      <c r="AC50" s="11">
        <v>0.34</v>
      </c>
      <c r="AD50" s="12">
        <f t="shared" si="91"/>
        <v>28.333333333333332</v>
      </c>
      <c r="AE50" s="12">
        <f t="shared" si="78"/>
        <v>21.080000000000002</v>
      </c>
      <c r="AF50" s="11">
        <v>0.84</v>
      </c>
      <c r="AG50" s="12">
        <f t="shared" si="92"/>
        <v>70</v>
      </c>
      <c r="AH50" s="12">
        <f t="shared" si="79"/>
        <v>52.08</v>
      </c>
      <c r="AI50" s="11">
        <v>0.84</v>
      </c>
      <c r="AJ50" s="12">
        <f t="shared" si="93"/>
        <v>70</v>
      </c>
      <c r="AK50" s="12">
        <f t="shared" si="80"/>
        <v>52.08</v>
      </c>
      <c r="AN50" s="26">
        <f t="shared" si="94"/>
        <v>113.75</v>
      </c>
      <c r="AO50" s="26">
        <f t="shared" si="107"/>
        <v>84.63</v>
      </c>
      <c r="AP50" s="26">
        <f t="shared" si="96"/>
        <v>32.916666666666664</v>
      </c>
      <c r="AQ50" s="26">
        <f t="shared" si="108"/>
        <v>24.490000000000002</v>
      </c>
      <c r="AR50" s="26">
        <f t="shared" si="98"/>
        <v>75</v>
      </c>
      <c r="AS50" s="26">
        <f t="shared" si="99"/>
        <v>55.8</v>
      </c>
      <c r="AT50" s="26">
        <f t="shared" si="100"/>
        <v>75</v>
      </c>
      <c r="AU50" s="26">
        <f t="shared" ref="AU50:AU52" si="109">(U50+AK50)/2</f>
        <v>55.8</v>
      </c>
      <c r="AX50" s="11">
        <v>1.19</v>
      </c>
      <c r="AY50" s="12">
        <f t="shared" si="102"/>
        <v>99.166666666666657</v>
      </c>
      <c r="AZ50" s="12">
        <f t="shared" si="81"/>
        <v>73.78</v>
      </c>
      <c r="BA50" s="11">
        <v>0.3</v>
      </c>
      <c r="BB50" s="12">
        <f t="shared" si="103"/>
        <v>24.999999999999996</v>
      </c>
      <c r="BC50" s="12">
        <f t="shared" si="82"/>
        <v>18.599999999999998</v>
      </c>
      <c r="BD50" s="11">
        <v>0.63</v>
      </c>
      <c r="BE50" s="12">
        <f t="shared" si="104"/>
        <v>52.5</v>
      </c>
      <c r="BF50" s="12">
        <f t="shared" si="83"/>
        <v>39.06</v>
      </c>
      <c r="BG50" s="11">
        <v>0.63</v>
      </c>
      <c r="BH50" s="12">
        <f t="shared" si="105"/>
        <v>52.5</v>
      </c>
      <c r="BI50" s="12">
        <f t="shared" si="84"/>
        <v>39.06</v>
      </c>
    </row>
    <row r="51" spans="1:61" ht="14.4" x14ac:dyDescent="0.3">
      <c r="A51" s="13" t="s">
        <v>6</v>
      </c>
      <c r="B51" s="5">
        <v>30</v>
      </c>
      <c r="C51" s="5">
        <f t="shared" si="85"/>
        <v>720</v>
      </c>
      <c r="D51" s="9">
        <f t="shared" si="72"/>
        <v>41.666666666666664</v>
      </c>
      <c r="E51" s="5">
        <v>30</v>
      </c>
      <c r="H51" s="10"/>
      <c r="J51" s="11">
        <v>1.52</v>
      </c>
      <c r="K51" s="12">
        <f t="shared" si="73"/>
        <v>63.333333333333329</v>
      </c>
      <c r="L51" s="12">
        <f t="shared" si="86"/>
        <v>45.6</v>
      </c>
      <c r="M51" s="11">
        <v>0.47</v>
      </c>
      <c r="N51" s="12">
        <f t="shared" si="74"/>
        <v>19.583333333333332</v>
      </c>
      <c r="O51" s="12">
        <f t="shared" si="87"/>
        <v>14.1</v>
      </c>
      <c r="P51" s="11">
        <v>0.97</v>
      </c>
      <c r="Q51" s="12">
        <f t="shared" si="75"/>
        <v>40.416666666666664</v>
      </c>
      <c r="R51" s="12">
        <f t="shared" si="88"/>
        <v>29.099999999999998</v>
      </c>
      <c r="S51" s="11">
        <v>0.97</v>
      </c>
      <c r="T51" s="12">
        <f t="shared" si="76"/>
        <v>40.416666666666664</v>
      </c>
      <c r="U51" s="12">
        <f t="shared" si="89"/>
        <v>29.099999999999998</v>
      </c>
      <c r="X51" s="10"/>
      <c r="Y51" s="10"/>
      <c r="Z51" s="11">
        <v>1.75</v>
      </c>
      <c r="AA51" s="12">
        <f t="shared" si="90"/>
        <v>72.916666666666657</v>
      </c>
      <c r="AB51" s="12">
        <f t="shared" si="77"/>
        <v>52.5</v>
      </c>
      <c r="AC51" s="11">
        <v>0.4</v>
      </c>
      <c r="AD51" s="12">
        <f t="shared" si="91"/>
        <v>16.666666666666668</v>
      </c>
      <c r="AE51" s="12">
        <f t="shared" si="78"/>
        <v>12</v>
      </c>
      <c r="AF51" s="11">
        <v>0.86</v>
      </c>
      <c r="AG51" s="12">
        <f t="shared" si="92"/>
        <v>35.833333333333329</v>
      </c>
      <c r="AH51" s="12">
        <f t="shared" si="79"/>
        <v>25.8</v>
      </c>
      <c r="AI51" s="11">
        <v>0.86</v>
      </c>
      <c r="AJ51" s="12">
        <f t="shared" si="93"/>
        <v>35.833333333333329</v>
      </c>
      <c r="AK51" s="12">
        <f t="shared" si="80"/>
        <v>25.8</v>
      </c>
      <c r="AN51" s="26">
        <f t="shared" si="94"/>
        <v>68.125</v>
      </c>
      <c r="AO51" s="26">
        <f t="shared" si="107"/>
        <v>49.05</v>
      </c>
      <c r="AP51" s="26">
        <f t="shared" si="96"/>
        <v>18.125</v>
      </c>
      <c r="AQ51" s="26">
        <f t="shared" si="108"/>
        <v>13.05</v>
      </c>
      <c r="AR51" s="26">
        <f t="shared" si="98"/>
        <v>38.125</v>
      </c>
      <c r="AS51" s="26">
        <f t="shared" si="99"/>
        <v>27.45</v>
      </c>
      <c r="AT51" s="26">
        <f t="shared" si="100"/>
        <v>38.125</v>
      </c>
      <c r="AU51" s="26">
        <f t="shared" si="109"/>
        <v>27.45</v>
      </c>
      <c r="AX51" s="11">
        <v>1.62</v>
      </c>
      <c r="AY51" s="12">
        <f t="shared" si="102"/>
        <v>67.5</v>
      </c>
      <c r="AZ51" s="12">
        <f t="shared" si="81"/>
        <v>48.6</v>
      </c>
      <c r="BA51" s="11">
        <v>0.37</v>
      </c>
      <c r="BB51" s="12">
        <f t="shared" si="103"/>
        <v>15.416666666666666</v>
      </c>
      <c r="BC51" s="12">
        <f t="shared" si="82"/>
        <v>11.1</v>
      </c>
      <c r="BD51" s="11">
        <v>0.65</v>
      </c>
      <c r="BE51" s="12">
        <f t="shared" si="104"/>
        <v>27.083333333333332</v>
      </c>
      <c r="BF51" s="12">
        <f t="shared" si="83"/>
        <v>19.5</v>
      </c>
      <c r="BG51" s="11">
        <v>0.65</v>
      </c>
      <c r="BH51" s="12">
        <f t="shared" si="105"/>
        <v>27.083333333333332</v>
      </c>
      <c r="BI51" s="12">
        <f t="shared" si="84"/>
        <v>19.5</v>
      </c>
    </row>
    <row r="52" spans="1:61" ht="15" thickBot="1" x14ac:dyDescent="0.35">
      <c r="A52" s="14" t="s">
        <v>7</v>
      </c>
      <c r="B52" s="5">
        <v>31</v>
      </c>
      <c r="C52" s="5">
        <f t="shared" si="85"/>
        <v>744</v>
      </c>
      <c r="D52" s="9">
        <f t="shared" si="72"/>
        <v>28.225806451612904</v>
      </c>
      <c r="E52" s="5">
        <v>21</v>
      </c>
      <c r="H52" s="10"/>
      <c r="J52" s="11">
        <v>1.76</v>
      </c>
      <c r="K52" s="12">
        <f t="shared" si="73"/>
        <v>49.677419354838712</v>
      </c>
      <c r="L52" s="12">
        <f t="shared" si="86"/>
        <v>36.96</v>
      </c>
      <c r="M52" s="11">
        <v>0.48</v>
      </c>
      <c r="N52" s="12">
        <f t="shared" si="74"/>
        <v>13.548387096774194</v>
      </c>
      <c r="O52" s="12">
        <f t="shared" si="87"/>
        <v>10.08</v>
      </c>
      <c r="P52" s="11">
        <v>0.99</v>
      </c>
      <c r="Q52" s="12">
        <f t="shared" si="75"/>
        <v>27.943548387096776</v>
      </c>
      <c r="R52" s="12">
        <f t="shared" si="88"/>
        <v>20.79</v>
      </c>
      <c r="S52" s="11">
        <v>0.99</v>
      </c>
      <c r="T52" s="12">
        <f t="shared" si="76"/>
        <v>27.943548387096776</v>
      </c>
      <c r="U52" s="12">
        <f t="shared" si="89"/>
        <v>20.79</v>
      </c>
      <c r="X52" s="10"/>
      <c r="Y52" s="10"/>
      <c r="Z52" s="11">
        <v>2.15</v>
      </c>
      <c r="AA52" s="12">
        <f t="shared" si="90"/>
        <v>60.685483870967744</v>
      </c>
      <c r="AB52" s="12">
        <f t="shared" si="77"/>
        <v>45.15</v>
      </c>
      <c r="AC52" s="11">
        <v>0.46</v>
      </c>
      <c r="AD52" s="12">
        <f t="shared" si="91"/>
        <v>12.983870967741936</v>
      </c>
      <c r="AE52" s="12">
        <f t="shared" si="78"/>
        <v>9.66</v>
      </c>
      <c r="AF52" s="11">
        <v>0.9</v>
      </c>
      <c r="AG52" s="12">
        <f t="shared" si="92"/>
        <v>25.403225806451616</v>
      </c>
      <c r="AH52" s="12">
        <f t="shared" si="79"/>
        <v>18.900000000000002</v>
      </c>
      <c r="AI52" s="11">
        <v>0.9</v>
      </c>
      <c r="AJ52" s="12">
        <f t="shared" si="93"/>
        <v>25.403225806451616</v>
      </c>
      <c r="AK52" s="12">
        <f t="shared" si="80"/>
        <v>18.900000000000002</v>
      </c>
      <c r="AN52" s="26">
        <f t="shared" si="94"/>
        <v>55.181451612903231</v>
      </c>
      <c r="AO52" s="26">
        <f t="shared" si="107"/>
        <v>41.055</v>
      </c>
      <c r="AP52" s="26">
        <f t="shared" si="96"/>
        <v>13.266129032258064</v>
      </c>
      <c r="AQ52" s="26">
        <f t="shared" si="108"/>
        <v>9.870000000000001</v>
      </c>
      <c r="AR52" s="26">
        <f t="shared" si="98"/>
        <v>26.673387096774196</v>
      </c>
      <c r="AS52" s="26">
        <f t="shared" si="99"/>
        <v>19.844999999999999</v>
      </c>
      <c r="AT52" s="26">
        <f t="shared" si="100"/>
        <v>26.673387096774196</v>
      </c>
      <c r="AU52" s="26">
        <f t="shared" si="109"/>
        <v>19.844999999999999</v>
      </c>
      <c r="AX52" s="11">
        <v>2.19</v>
      </c>
      <c r="AY52" s="12">
        <f t="shared" si="102"/>
        <v>61.814516129032256</v>
      </c>
      <c r="AZ52" s="12">
        <f t="shared" si="81"/>
        <v>45.99</v>
      </c>
      <c r="BA52" s="11">
        <v>0.46</v>
      </c>
      <c r="BB52" s="12">
        <f t="shared" si="103"/>
        <v>12.983870967741936</v>
      </c>
      <c r="BC52" s="12">
        <f t="shared" si="82"/>
        <v>9.66</v>
      </c>
      <c r="BD52" s="11">
        <v>0.77</v>
      </c>
      <c r="BE52" s="12">
        <f t="shared" si="104"/>
        <v>21.733870967741936</v>
      </c>
      <c r="BF52" s="12">
        <f t="shared" si="83"/>
        <v>16.170000000000002</v>
      </c>
      <c r="BG52" s="11">
        <v>0.77</v>
      </c>
      <c r="BH52" s="12">
        <f t="shared" si="105"/>
        <v>21.733870967741936</v>
      </c>
      <c r="BI52" s="12">
        <f t="shared" si="84"/>
        <v>16.170000000000002</v>
      </c>
    </row>
    <row r="54" spans="1:61" x14ac:dyDescent="0.25">
      <c r="A54" s="15" t="s">
        <v>44</v>
      </c>
      <c r="B54" s="7" t="s">
        <v>10</v>
      </c>
      <c r="C54" s="7" t="s">
        <v>11</v>
      </c>
      <c r="E54" s="7" t="s">
        <v>12</v>
      </c>
      <c r="F54" s="7"/>
      <c r="G54" s="7"/>
      <c r="J54" s="36" t="s">
        <v>15</v>
      </c>
      <c r="K54" s="37"/>
      <c r="L54" s="38"/>
      <c r="M54" s="36" t="s">
        <v>16</v>
      </c>
      <c r="N54" s="37"/>
      <c r="O54" s="38"/>
      <c r="P54" s="36" t="s">
        <v>17</v>
      </c>
      <c r="Q54" s="37"/>
      <c r="R54" s="37"/>
      <c r="S54" s="34" t="s">
        <v>18</v>
      </c>
      <c r="T54" s="34"/>
      <c r="U54" s="34"/>
      <c r="Z54" s="36" t="s">
        <v>15</v>
      </c>
      <c r="AA54" s="37"/>
      <c r="AB54" s="38"/>
      <c r="AC54" s="36" t="s">
        <v>16</v>
      </c>
      <c r="AD54" s="37"/>
      <c r="AE54" s="38"/>
      <c r="AF54" s="36" t="s">
        <v>17</v>
      </c>
      <c r="AG54" s="37"/>
      <c r="AH54" s="37"/>
      <c r="AI54" s="34" t="s">
        <v>18</v>
      </c>
      <c r="AJ54" s="34"/>
      <c r="AK54" s="34"/>
      <c r="AN54" s="32" t="s">
        <v>15</v>
      </c>
      <c r="AO54" s="33"/>
      <c r="AP54" s="32" t="s">
        <v>16</v>
      </c>
      <c r="AQ54" s="33"/>
      <c r="AR54" s="32" t="s">
        <v>19</v>
      </c>
      <c r="AS54" s="33"/>
      <c r="AT54" s="34" t="s">
        <v>18</v>
      </c>
      <c r="AU54" s="34"/>
      <c r="AX54" s="36" t="s">
        <v>15</v>
      </c>
      <c r="AY54" s="37"/>
      <c r="AZ54" s="38"/>
      <c r="BA54" s="36" t="s">
        <v>16</v>
      </c>
      <c r="BB54" s="37"/>
      <c r="BC54" s="38"/>
      <c r="BD54" s="36" t="s">
        <v>17</v>
      </c>
      <c r="BE54" s="37"/>
      <c r="BF54" s="37"/>
      <c r="BG54" s="34" t="s">
        <v>18</v>
      </c>
      <c r="BH54" s="34"/>
      <c r="BI54" s="34"/>
    </row>
    <row r="55" spans="1:61" ht="13.8" thickBot="1" x14ac:dyDescent="0.3">
      <c r="D55" s="5" t="s">
        <v>14</v>
      </c>
      <c r="E55" s="5" t="s">
        <v>13</v>
      </c>
      <c r="J55" s="4" t="s">
        <v>48</v>
      </c>
      <c r="K55" s="4" t="s">
        <v>14</v>
      </c>
      <c r="L55" s="4" t="s">
        <v>13</v>
      </c>
      <c r="M55" s="4" t="s">
        <v>48</v>
      </c>
      <c r="N55" s="4" t="s">
        <v>14</v>
      </c>
      <c r="O55" s="4" t="s">
        <v>13</v>
      </c>
      <c r="P55" s="4" t="s">
        <v>48</v>
      </c>
      <c r="Q55" s="4" t="s">
        <v>14</v>
      </c>
      <c r="R55" s="4" t="s">
        <v>13</v>
      </c>
      <c r="S55" s="24" t="s">
        <v>48</v>
      </c>
      <c r="T55" s="24" t="s">
        <v>14</v>
      </c>
      <c r="U55" s="24" t="s">
        <v>13</v>
      </c>
      <c r="Z55" s="4" t="s">
        <v>48</v>
      </c>
      <c r="AA55" s="4" t="s">
        <v>14</v>
      </c>
      <c r="AB55" s="4" t="s">
        <v>13</v>
      </c>
      <c r="AC55" s="4" t="s">
        <v>48</v>
      </c>
      <c r="AD55" s="4" t="s">
        <v>14</v>
      </c>
      <c r="AE55" s="4" t="s">
        <v>13</v>
      </c>
      <c r="AF55" s="4" t="s">
        <v>48</v>
      </c>
      <c r="AG55" s="4" t="s">
        <v>14</v>
      </c>
      <c r="AH55" s="4" t="s">
        <v>13</v>
      </c>
      <c r="AI55" s="24" t="s">
        <v>48</v>
      </c>
      <c r="AJ55" s="24" t="s">
        <v>14</v>
      </c>
      <c r="AK55" s="24" t="s">
        <v>13</v>
      </c>
      <c r="AN55" s="24" t="s">
        <v>14</v>
      </c>
      <c r="AO55" s="24" t="s">
        <v>13</v>
      </c>
      <c r="AP55" s="24" t="s">
        <v>14</v>
      </c>
      <c r="AQ55" s="24" t="s">
        <v>13</v>
      </c>
      <c r="AR55" s="24" t="s">
        <v>14</v>
      </c>
      <c r="AS55" s="24" t="s">
        <v>13</v>
      </c>
      <c r="AT55" s="24" t="s">
        <v>14</v>
      </c>
      <c r="AU55" s="24" t="s">
        <v>13</v>
      </c>
      <c r="AX55" s="4" t="s">
        <v>48</v>
      </c>
      <c r="AY55" s="4" t="s">
        <v>14</v>
      </c>
      <c r="AZ55" s="4" t="s">
        <v>13</v>
      </c>
      <c r="BA55" s="4" t="s">
        <v>48</v>
      </c>
      <c r="BB55" s="4" t="s">
        <v>14</v>
      </c>
      <c r="BC55" s="4" t="s">
        <v>13</v>
      </c>
      <c r="BD55" s="4" t="s">
        <v>48</v>
      </c>
      <c r="BE55" s="4" t="s">
        <v>14</v>
      </c>
      <c r="BF55" s="4" t="s">
        <v>13</v>
      </c>
      <c r="BG55" s="24" t="s">
        <v>48</v>
      </c>
      <c r="BH55" s="24" t="s">
        <v>14</v>
      </c>
      <c r="BI55" s="24" t="s">
        <v>13</v>
      </c>
    </row>
    <row r="56" spans="1:61" ht="14.4" x14ac:dyDescent="0.3">
      <c r="A56" s="8" t="s">
        <v>1</v>
      </c>
      <c r="B56" s="5">
        <v>31</v>
      </c>
      <c r="C56" s="5">
        <f>B56*24</f>
        <v>744</v>
      </c>
      <c r="D56" s="9">
        <f t="shared" ref="D56:D67" si="110">E56*1000/C56</f>
        <v>34.946236559139784</v>
      </c>
      <c r="E56" s="5">
        <v>26</v>
      </c>
      <c r="H56" s="10"/>
      <c r="J56" s="11">
        <v>1.62</v>
      </c>
      <c r="K56" s="12">
        <f t="shared" ref="K56:K67" si="111">J56*D56</f>
        <v>56.612903225806456</v>
      </c>
      <c r="L56" s="12">
        <f>$E56*J56</f>
        <v>42.120000000000005</v>
      </c>
      <c r="M56" s="11">
        <v>0.5</v>
      </c>
      <c r="N56" s="12">
        <f t="shared" ref="N56:N67" si="112">M56*D56</f>
        <v>17.473118279569892</v>
      </c>
      <c r="O56" s="12">
        <f>$E56*M56</f>
        <v>13</v>
      </c>
      <c r="P56" s="11">
        <v>1</v>
      </c>
      <c r="Q56" s="12">
        <f t="shared" ref="Q56:Q67" si="113">P56*D56</f>
        <v>34.946236559139784</v>
      </c>
      <c r="R56" s="12">
        <f>$E56*P56</f>
        <v>26</v>
      </c>
      <c r="S56" s="11">
        <v>1</v>
      </c>
      <c r="T56" s="12">
        <f t="shared" ref="T56:T67" si="114">S56*D56</f>
        <v>34.946236559139784</v>
      </c>
      <c r="U56" s="12">
        <f>$E56*S56</f>
        <v>26</v>
      </c>
      <c r="X56" s="10"/>
      <c r="Y56" s="10"/>
      <c r="Z56" s="11">
        <v>1.96</v>
      </c>
      <c r="AA56" s="12">
        <f>Z56*$D56</f>
        <v>68.494623655913969</v>
      </c>
      <c r="AB56" s="12">
        <f t="shared" ref="AB56:AB67" si="115">$E56*Z56</f>
        <v>50.96</v>
      </c>
      <c r="AC56" s="11">
        <v>0.49</v>
      </c>
      <c r="AD56" s="12">
        <f>AC56*$D56</f>
        <v>17.123655913978492</v>
      </c>
      <c r="AE56" s="12">
        <f t="shared" ref="AE56:AE67" si="116">$E56*AC56</f>
        <v>12.74</v>
      </c>
      <c r="AF56" s="11">
        <v>0.95</v>
      </c>
      <c r="AG56" s="12">
        <f>AF56*$D56</f>
        <v>33.198924731182792</v>
      </c>
      <c r="AH56" s="12">
        <f t="shared" ref="AH56:AH67" si="117">$E56*AF56</f>
        <v>24.7</v>
      </c>
      <c r="AI56" s="11">
        <v>0.95</v>
      </c>
      <c r="AJ56" s="12">
        <f>AI56*$D56</f>
        <v>33.198924731182792</v>
      </c>
      <c r="AK56" s="12">
        <f t="shared" ref="AK56:AK67" si="118">$E56*AI56</f>
        <v>24.7</v>
      </c>
      <c r="AN56" s="26">
        <f>(K56+AA56)/2</f>
        <v>62.553763440860209</v>
      </c>
      <c r="AO56" s="26">
        <f>(L56+AB56)/2</f>
        <v>46.540000000000006</v>
      </c>
      <c r="AP56" s="26">
        <f>(N56+AD56)/2</f>
        <v>17.298387096774192</v>
      </c>
      <c r="AQ56" s="26">
        <f>(O56+AE56)/2</f>
        <v>12.870000000000001</v>
      </c>
      <c r="AR56" s="26">
        <f>(Q56+AG56)/2</f>
        <v>34.072580645161288</v>
      </c>
      <c r="AS56" s="26">
        <f>(R56+AH56)/2</f>
        <v>25.35</v>
      </c>
      <c r="AT56" s="26">
        <f>(T56+AJ56)/2</f>
        <v>34.072580645161288</v>
      </c>
      <c r="AU56" s="26">
        <f>(U56+AK56)/2</f>
        <v>25.35</v>
      </c>
      <c r="AX56" s="11">
        <v>1.94</v>
      </c>
      <c r="AY56" s="12">
        <f>AX56*$D56</f>
        <v>67.795698924731184</v>
      </c>
      <c r="AZ56" s="12">
        <f t="shared" ref="AZ56:AZ67" si="119">$E56*AX56</f>
        <v>50.44</v>
      </c>
      <c r="BA56" s="11">
        <v>0.53</v>
      </c>
      <c r="BB56" s="12">
        <f>BA56*$D56</f>
        <v>18.521505376344088</v>
      </c>
      <c r="BC56" s="12">
        <f t="shared" ref="BC56:BC67" si="120">$E56*BA56</f>
        <v>13.780000000000001</v>
      </c>
      <c r="BD56" s="11">
        <v>0.85</v>
      </c>
      <c r="BE56" s="12">
        <f>BD56*$D56</f>
        <v>29.704301075268816</v>
      </c>
      <c r="BF56" s="12">
        <f t="shared" ref="BF56:BF67" si="121">$E56*BD56</f>
        <v>22.099999999999998</v>
      </c>
      <c r="BG56" s="11">
        <v>0.85</v>
      </c>
      <c r="BH56" s="12">
        <f>BG56*$D56</f>
        <v>29.704301075268816</v>
      </c>
      <c r="BI56" s="12">
        <f t="shared" ref="BI56:BI67" si="122">$E56*BG56</f>
        <v>22.099999999999998</v>
      </c>
    </row>
    <row r="57" spans="1:61" ht="14.4" x14ac:dyDescent="0.3">
      <c r="A57" s="13" t="s">
        <v>2</v>
      </c>
      <c r="B57" s="5">
        <v>28</v>
      </c>
      <c r="C57" s="5">
        <f t="shared" ref="C57:C67" si="123">B57*24</f>
        <v>672</v>
      </c>
      <c r="D57" s="9">
        <f t="shared" si="110"/>
        <v>72.916666666666671</v>
      </c>
      <c r="E57" s="5">
        <v>49</v>
      </c>
      <c r="H57" s="10"/>
      <c r="J57" s="11">
        <v>1.46</v>
      </c>
      <c r="K57" s="12">
        <f t="shared" si="111"/>
        <v>106.45833333333334</v>
      </c>
      <c r="L57" s="12">
        <f t="shared" ref="L57:L67" si="124">$E57*J57</f>
        <v>71.539999999999992</v>
      </c>
      <c r="M57" s="11">
        <v>0.43</v>
      </c>
      <c r="N57" s="12">
        <f t="shared" si="112"/>
        <v>31.354166666666668</v>
      </c>
      <c r="O57" s="12">
        <f t="shared" ref="O57:O67" si="125">$E57*M57</f>
        <v>21.07</v>
      </c>
      <c r="P57" s="11">
        <v>0.99</v>
      </c>
      <c r="Q57" s="12">
        <f t="shared" si="113"/>
        <v>72.1875</v>
      </c>
      <c r="R57" s="12">
        <f t="shared" ref="R57:R67" si="126">$E57*P57</f>
        <v>48.51</v>
      </c>
      <c r="S57" s="11">
        <v>0.99</v>
      </c>
      <c r="T57" s="12">
        <f t="shared" si="114"/>
        <v>72.1875</v>
      </c>
      <c r="U57" s="12">
        <f t="shared" ref="U57:U67" si="127">$E57*S57</f>
        <v>48.51</v>
      </c>
      <c r="X57" s="10"/>
      <c r="Y57" s="10"/>
      <c r="Z57" s="11">
        <v>1.65</v>
      </c>
      <c r="AA57" s="12">
        <f t="shared" ref="AA57:AA67" si="128">Z57*$D57</f>
        <v>120.3125</v>
      </c>
      <c r="AB57" s="12">
        <f t="shared" si="115"/>
        <v>80.849999999999994</v>
      </c>
      <c r="AC57" s="11">
        <v>0.41</v>
      </c>
      <c r="AD57" s="12">
        <f t="shared" ref="AD57:AD67" si="129">AC57*$D57</f>
        <v>29.895833333333332</v>
      </c>
      <c r="AE57" s="12">
        <f t="shared" si="116"/>
        <v>20.09</v>
      </c>
      <c r="AF57" s="11">
        <v>0.91</v>
      </c>
      <c r="AG57" s="12">
        <f t="shared" ref="AG57:AG67" si="130">AF57*$D57</f>
        <v>66.354166666666671</v>
      </c>
      <c r="AH57" s="12">
        <f t="shared" si="117"/>
        <v>44.59</v>
      </c>
      <c r="AI57" s="11">
        <v>0.91</v>
      </c>
      <c r="AJ57" s="12">
        <f t="shared" ref="AJ57:AJ67" si="131">AI57*$D57</f>
        <v>66.354166666666671</v>
      </c>
      <c r="AK57" s="12">
        <f t="shared" si="118"/>
        <v>44.59</v>
      </c>
      <c r="AN57" s="26">
        <f t="shared" ref="AN57:AN67" si="132">(K57+AA57)/2</f>
        <v>113.38541666666667</v>
      </c>
      <c r="AO57" s="26">
        <f t="shared" ref="AO57:AO62" si="133">(L57+AB57)/2</f>
        <v>76.194999999999993</v>
      </c>
      <c r="AP57" s="26">
        <f t="shared" ref="AP57:AP67" si="134">(N57+AD57)/2</f>
        <v>30.625</v>
      </c>
      <c r="AQ57" s="26">
        <f t="shared" ref="AQ57:AQ62" si="135">(O57+AE57)/2</f>
        <v>20.58</v>
      </c>
      <c r="AR57" s="26">
        <f t="shared" ref="AR57:AR67" si="136">(Q57+AG57)/2</f>
        <v>69.270833333333343</v>
      </c>
      <c r="AS57" s="26">
        <f t="shared" ref="AS57:AS67" si="137">(R57+AH57)/2</f>
        <v>46.55</v>
      </c>
      <c r="AT57" s="26">
        <f t="shared" ref="AT57:AT67" si="138">(T57+AJ57)/2</f>
        <v>69.270833333333343</v>
      </c>
      <c r="AU57" s="26">
        <f t="shared" ref="AU57:AU60" si="139">(U57+AK57)/2</f>
        <v>46.55</v>
      </c>
      <c r="AX57" s="11">
        <v>1.53</v>
      </c>
      <c r="AY57" s="12">
        <f t="shared" ref="AY57:AY67" si="140">AX57*$D57</f>
        <v>111.56250000000001</v>
      </c>
      <c r="AZ57" s="12">
        <f t="shared" si="119"/>
        <v>74.97</v>
      </c>
      <c r="BA57" s="11">
        <v>0.44</v>
      </c>
      <c r="BB57" s="12">
        <f t="shared" ref="BB57:BB67" si="141">BA57*$D57</f>
        <v>32.083333333333336</v>
      </c>
      <c r="BC57" s="12">
        <f t="shared" si="120"/>
        <v>21.56</v>
      </c>
      <c r="BD57" s="11">
        <v>0.78</v>
      </c>
      <c r="BE57" s="12">
        <f t="shared" ref="BE57:BE67" si="142">BD57*$D57</f>
        <v>56.875000000000007</v>
      </c>
      <c r="BF57" s="12">
        <f t="shared" si="121"/>
        <v>38.22</v>
      </c>
      <c r="BG57" s="11">
        <v>0.78</v>
      </c>
      <c r="BH57" s="12">
        <f t="shared" ref="BH57:BH67" si="143">BG57*$D57</f>
        <v>56.875000000000007</v>
      </c>
      <c r="BI57" s="12">
        <f t="shared" si="122"/>
        <v>38.22</v>
      </c>
    </row>
    <row r="58" spans="1:61" ht="14.4" x14ac:dyDescent="0.3">
      <c r="A58" s="13" t="s">
        <v>3</v>
      </c>
      <c r="B58" s="5">
        <v>31</v>
      </c>
      <c r="C58" s="5">
        <f t="shared" si="123"/>
        <v>744</v>
      </c>
      <c r="D58" s="9">
        <f t="shared" si="110"/>
        <v>118.27956989247312</v>
      </c>
      <c r="E58" s="5">
        <v>88</v>
      </c>
      <c r="H58" s="10"/>
      <c r="J58" s="11">
        <v>1.26</v>
      </c>
      <c r="K58" s="12">
        <f t="shared" si="111"/>
        <v>149.03225806451613</v>
      </c>
      <c r="L58" s="12">
        <f t="shared" si="124"/>
        <v>110.88</v>
      </c>
      <c r="M58" s="11">
        <v>0.51</v>
      </c>
      <c r="N58" s="12">
        <f t="shared" si="112"/>
        <v>60.322580645161295</v>
      </c>
      <c r="O58" s="12">
        <f t="shared" si="125"/>
        <v>44.88</v>
      </c>
      <c r="P58" s="11">
        <v>0.96</v>
      </c>
      <c r="Q58" s="12">
        <f t="shared" si="113"/>
        <v>113.54838709677419</v>
      </c>
      <c r="R58" s="12">
        <f t="shared" si="126"/>
        <v>84.47999999999999</v>
      </c>
      <c r="S58" s="11">
        <v>0.96</v>
      </c>
      <c r="T58" s="12">
        <f t="shared" si="114"/>
        <v>113.54838709677419</v>
      </c>
      <c r="U58" s="12">
        <f t="shared" si="127"/>
        <v>84.47999999999999</v>
      </c>
      <c r="X58" s="10"/>
      <c r="Y58" s="10"/>
      <c r="Z58" s="11">
        <v>1.28</v>
      </c>
      <c r="AA58" s="12">
        <f t="shared" si="128"/>
        <v>151.3978494623656</v>
      </c>
      <c r="AB58" s="12">
        <f t="shared" si="115"/>
        <v>112.64</v>
      </c>
      <c r="AC58" s="11">
        <v>0.33</v>
      </c>
      <c r="AD58" s="12">
        <f t="shared" si="129"/>
        <v>39.032258064516128</v>
      </c>
      <c r="AE58" s="12">
        <f t="shared" si="116"/>
        <v>29.040000000000003</v>
      </c>
      <c r="AF58" s="11">
        <v>0.84</v>
      </c>
      <c r="AG58" s="12">
        <f t="shared" si="130"/>
        <v>99.354838709677423</v>
      </c>
      <c r="AH58" s="12">
        <f t="shared" si="117"/>
        <v>73.92</v>
      </c>
      <c r="AI58" s="11">
        <v>0.84</v>
      </c>
      <c r="AJ58" s="12">
        <f t="shared" si="131"/>
        <v>99.354838709677423</v>
      </c>
      <c r="AK58" s="12">
        <f t="shared" si="118"/>
        <v>73.92</v>
      </c>
      <c r="AN58" s="26">
        <f t="shared" si="132"/>
        <v>150.21505376344086</v>
      </c>
      <c r="AO58" s="26">
        <f t="shared" si="133"/>
        <v>111.75999999999999</v>
      </c>
      <c r="AP58" s="26">
        <f t="shared" si="134"/>
        <v>49.677419354838712</v>
      </c>
      <c r="AQ58" s="26">
        <f t="shared" si="135"/>
        <v>36.96</v>
      </c>
      <c r="AR58" s="26">
        <f t="shared" si="136"/>
        <v>106.45161290322581</v>
      </c>
      <c r="AS58" s="26">
        <f t="shared" si="137"/>
        <v>79.199999999999989</v>
      </c>
      <c r="AT58" s="26">
        <f t="shared" si="138"/>
        <v>106.45161290322581</v>
      </c>
      <c r="AU58" s="26">
        <f t="shared" si="139"/>
        <v>79.199999999999989</v>
      </c>
      <c r="AX58" s="11">
        <v>1.05</v>
      </c>
      <c r="AY58" s="12">
        <f t="shared" si="140"/>
        <v>124.19354838709678</v>
      </c>
      <c r="AZ58" s="12">
        <f t="shared" si="119"/>
        <v>92.4</v>
      </c>
      <c r="BA58" s="11">
        <v>0.32</v>
      </c>
      <c r="BB58" s="12">
        <f t="shared" si="141"/>
        <v>37.8494623655914</v>
      </c>
      <c r="BC58" s="12">
        <f t="shared" si="120"/>
        <v>28.16</v>
      </c>
      <c r="BD58" s="11">
        <v>0.67</v>
      </c>
      <c r="BE58" s="12">
        <f t="shared" si="142"/>
        <v>79.247311827956992</v>
      </c>
      <c r="BF58" s="12">
        <f t="shared" si="121"/>
        <v>58.96</v>
      </c>
      <c r="BG58" s="11">
        <v>0.67</v>
      </c>
      <c r="BH58" s="12">
        <f t="shared" si="143"/>
        <v>79.247311827956992</v>
      </c>
      <c r="BI58" s="12">
        <f t="shared" si="122"/>
        <v>58.96</v>
      </c>
    </row>
    <row r="59" spans="1:61" ht="14.4" x14ac:dyDescent="0.3">
      <c r="A59" s="13" t="s">
        <v>4</v>
      </c>
      <c r="B59" s="5">
        <v>30</v>
      </c>
      <c r="C59" s="5">
        <f t="shared" si="123"/>
        <v>720</v>
      </c>
      <c r="D59" s="9">
        <f t="shared" si="110"/>
        <v>188.88888888888889</v>
      </c>
      <c r="E59" s="5">
        <v>136</v>
      </c>
      <c r="H59" s="10"/>
      <c r="J59" s="11">
        <v>1.1000000000000001</v>
      </c>
      <c r="K59" s="12">
        <f t="shared" si="111"/>
        <v>207.7777777777778</v>
      </c>
      <c r="L59" s="12">
        <f t="shared" si="124"/>
        <v>149.60000000000002</v>
      </c>
      <c r="M59" s="11">
        <v>0.68</v>
      </c>
      <c r="N59" s="12">
        <f t="shared" si="112"/>
        <v>128.44444444444446</v>
      </c>
      <c r="O59" s="12">
        <f t="shared" si="125"/>
        <v>92.48</v>
      </c>
      <c r="P59" s="11">
        <v>0.94</v>
      </c>
      <c r="Q59" s="12">
        <f t="shared" si="113"/>
        <v>177.55555555555554</v>
      </c>
      <c r="R59" s="12">
        <f t="shared" si="126"/>
        <v>127.83999999999999</v>
      </c>
      <c r="S59" s="11">
        <v>0.94</v>
      </c>
      <c r="T59" s="12">
        <f t="shared" si="114"/>
        <v>177.55555555555554</v>
      </c>
      <c r="U59" s="12">
        <f t="shared" si="127"/>
        <v>127.83999999999999</v>
      </c>
      <c r="X59" s="10"/>
      <c r="Y59" s="10"/>
      <c r="Z59" s="11">
        <v>0.99</v>
      </c>
      <c r="AA59" s="12">
        <f>Z59*$D59</f>
        <v>187</v>
      </c>
      <c r="AB59" s="12">
        <f t="shared" si="115"/>
        <v>134.63999999999999</v>
      </c>
      <c r="AC59" s="11">
        <v>0.33</v>
      </c>
      <c r="AD59" s="12">
        <f>AC59*$D59</f>
        <v>62.333333333333336</v>
      </c>
      <c r="AE59" s="12">
        <f t="shared" si="116"/>
        <v>44.88</v>
      </c>
      <c r="AF59" s="11">
        <v>0.8</v>
      </c>
      <c r="AG59" s="12">
        <f>AF59*$D59</f>
        <v>151.11111111111111</v>
      </c>
      <c r="AH59" s="12">
        <f t="shared" si="117"/>
        <v>108.80000000000001</v>
      </c>
      <c r="AI59" s="11">
        <v>0.8</v>
      </c>
      <c r="AJ59" s="12">
        <f>AI59*$D59</f>
        <v>151.11111111111111</v>
      </c>
      <c r="AK59" s="12">
        <f t="shared" si="118"/>
        <v>108.80000000000001</v>
      </c>
      <c r="AN59" s="26">
        <f t="shared" si="132"/>
        <v>197.38888888888891</v>
      </c>
      <c r="AO59" s="26">
        <f t="shared" si="133"/>
        <v>142.12</v>
      </c>
      <c r="AP59" s="26">
        <f t="shared" si="134"/>
        <v>95.3888888888889</v>
      </c>
      <c r="AQ59" s="26">
        <f t="shared" si="135"/>
        <v>68.680000000000007</v>
      </c>
      <c r="AR59" s="26">
        <f t="shared" si="136"/>
        <v>164.33333333333331</v>
      </c>
      <c r="AS59" s="26">
        <f t="shared" si="137"/>
        <v>118.32</v>
      </c>
      <c r="AT59" s="26">
        <f t="shared" si="138"/>
        <v>164.33333333333331</v>
      </c>
      <c r="AU59" s="26">
        <f t="shared" si="139"/>
        <v>118.32</v>
      </c>
      <c r="AX59" s="11">
        <v>0.71</v>
      </c>
      <c r="AY59" s="12">
        <f>AX59*$D59</f>
        <v>134.11111111111111</v>
      </c>
      <c r="AZ59" s="12">
        <f t="shared" si="119"/>
        <v>96.56</v>
      </c>
      <c r="BA59" s="11">
        <v>0.28000000000000003</v>
      </c>
      <c r="BB59" s="12">
        <f>BA59*$D59</f>
        <v>52.888888888888893</v>
      </c>
      <c r="BC59" s="12">
        <f t="shared" si="120"/>
        <v>38.080000000000005</v>
      </c>
      <c r="BD59" s="11">
        <v>0.59</v>
      </c>
      <c r="BE59" s="12">
        <f>BD59*$D59</f>
        <v>111.44444444444444</v>
      </c>
      <c r="BF59" s="12">
        <f t="shared" si="121"/>
        <v>80.239999999999995</v>
      </c>
      <c r="BG59" s="11">
        <v>0.59</v>
      </c>
      <c r="BH59" s="12">
        <f>BG59*$D59</f>
        <v>111.44444444444444</v>
      </c>
      <c r="BI59" s="12">
        <f t="shared" si="122"/>
        <v>80.239999999999995</v>
      </c>
    </row>
    <row r="60" spans="1:61" ht="14.4" x14ac:dyDescent="0.3">
      <c r="A60" s="13" t="s">
        <v>22</v>
      </c>
      <c r="B60" s="5">
        <v>31</v>
      </c>
      <c r="C60" s="5">
        <f t="shared" si="123"/>
        <v>744</v>
      </c>
      <c r="D60" s="9">
        <f t="shared" si="110"/>
        <v>224.46236559139786</v>
      </c>
      <c r="E60" s="5">
        <v>167</v>
      </c>
      <c r="H60" s="10"/>
      <c r="I60" s="4" t="s">
        <v>29</v>
      </c>
      <c r="J60" s="11">
        <v>1.01</v>
      </c>
      <c r="K60" s="12">
        <f t="shared" si="111"/>
        <v>226.70698924731184</v>
      </c>
      <c r="L60" s="12">
        <f t="shared" si="124"/>
        <v>168.67</v>
      </c>
      <c r="M60" s="11">
        <v>0.79</v>
      </c>
      <c r="N60" s="12">
        <f t="shared" si="112"/>
        <v>177.32526881720432</v>
      </c>
      <c r="O60" s="12">
        <f t="shared" si="125"/>
        <v>131.93</v>
      </c>
      <c r="P60" s="11">
        <v>0.94</v>
      </c>
      <c r="Q60" s="12">
        <f t="shared" si="113"/>
        <v>210.99462365591398</v>
      </c>
      <c r="R60" s="12">
        <f t="shared" si="126"/>
        <v>156.97999999999999</v>
      </c>
      <c r="S60" s="11">
        <v>0.94</v>
      </c>
      <c r="T60" s="12">
        <f t="shared" si="114"/>
        <v>210.99462365591398</v>
      </c>
      <c r="U60" s="12">
        <f t="shared" si="127"/>
        <v>156.97999999999999</v>
      </c>
      <c r="W60" s="4" t="s">
        <v>29</v>
      </c>
      <c r="X60" s="10"/>
      <c r="Y60" s="10"/>
      <c r="Z60" s="11">
        <v>0.84</v>
      </c>
      <c r="AA60" s="12">
        <f t="shared" si="128"/>
        <v>188.54838709677418</v>
      </c>
      <c r="AB60" s="12">
        <f t="shared" si="115"/>
        <v>140.28</v>
      </c>
      <c r="AC60" s="11">
        <v>0.39</v>
      </c>
      <c r="AD60" s="12">
        <f t="shared" si="129"/>
        <v>87.540322580645167</v>
      </c>
      <c r="AE60" s="12">
        <f t="shared" si="116"/>
        <v>65.13</v>
      </c>
      <c r="AF60" s="11">
        <v>0.79</v>
      </c>
      <c r="AG60" s="12">
        <f t="shared" si="130"/>
        <v>177.32526881720432</v>
      </c>
      <c r="AH60" s="12">
        <f t="shared" si="117"/>
        <v>131.93</v>
      </c>
      <c r="AI60" s="11">
        <v>0.79</v>
      </c>
      <c r="AJ60" s="12">
        <f t="shared" si="131"/>
        <v>177.32526881720432</v>
      </c>
      <c r="AK60" s="12">
        <f t="shared" si="118"/>
        <v>131.93</v>
      </c>
      <c r="AM60" s="4" t="s">
        <v>29</v>
      </c>
      <c r="AN60" s="26">
        <f t="shared" si="132"/>
        <v>207.62768817204301</v>
      </c>
      <c r="AO60" s="26">
        <f t="shared" si="133"/>
        <v>154.47499999999999</v>
      </c>
      <c r="AP60" s="26">
        <f t="shared" si="134"/>
        <v>132.43279569892474</v>
      </c>
      <c r="AQ60" s="26">
        <f t="shared" si="135"/>
        <v>98.53</v>
      </c>
      <c r="AR60" s="26">
        <f t="shared" si="136"/>
        <v>194.15994623655916</v>
      </c>
      <c r="AS60" s="26">
        <f t="shared" si="137"/>
        <v>144.45499999999998</v>
      </c>
      <c r="AT60" s="26">
        <f t="shared" si="138"/>
        <v>194.15994623655916</v>
      </c>
      <c r="AU60" s="26">
        <f t="shared" si="139"/>
        <v>144.45499999999998</v>
      </c>
      <c r="AW60" s="4" t="s">
        <v>67</v>
      </c>
      <c r="AX60" s="11">
        <v>0.55000000000000004</v>
      </c>
      <c r="AY60" s="12">
        <f t="shared" si="140"/>
        <v>123.45430107526883</v>
      </c>
      <c r="AZ60" s="12">
        <f t="shared" si="119"/>
        <v>91.850000000000009</v>
      </c>
      <c r="BA60" s="11">
        <v>0.3</v>
      </c>
      <c r="BB60" s="12">
        <f t="shared" si="141"/>
        <v>67.338709677419359</v>
      </c>
      <c r="BC60" s="12">
        <f t="shared" si="120"/>
        <v>50.1</v>
      </c>
      <c r="BD60" s="11">
        <v>0.56999999999999995</v>
      </c>
      <c r="BE60" s="12">
        <f t="shared" si="142"/>
        <v>127.94354838709677</v>
      </c>
      <c r="BF60" s="12">
        <f t="shared" si="121"/>
        <v>95.19</v>
      </c>
      <c r="BG60" s="11">
        <v>0.56999999999999995</v>
      </c>
      <c r="BH60" s="12">
        <f t="shared" si="143"/>
        <v>127.94354838709677</v>
      </c>
      <c r="BI60" s="12">
        <f t="shared" si="122"/>
        <v>95.19</v>
      </c>
    </row>
    <row r="61" spans="1:61" ht="14.4" x14ac:dyDescent="0.3">
      <c r="A61" s="13" t="s">
        <v>23</v>
      </c>
      <c r="B61" s="5">
        <v>30</v>
      </c>
      <c r="C61" s="5">
        <f t="shared" si="123"/>
        <v>720</v>
      </c>
      <c r="D61" s="9">
        <f t="shared" si="110"/>
        <v>251.38888888888889</v>
      </c>
      <c r="E61" s="5">
        <v>181</v>
      </c>
      <c r="H61" s="10"/>
      <c r="J61" s="11">
        <v>0.97</v>
      </c>
      <c r="K61" s="12">
        <f t="shared" si="111"/>
        <v>243.8472222222222</v>
      </c>
      <c r="L61" s="12">
        <f t="shared" si="124"/>
        <v>175.57</v>
      </c>
      <c r="M61" s="11">
        <v>0.82</v>
      </c>
      <c r="N61" s="12">
        <f t="shared" si="112"/>
        <v>206.13888888888889</v>
      </c>
      <c r="O61" s="12">
        <f t="shared" si="125"/>
        <v>148.41999999999999</v>
      </c>
      <c r="P61" s="11">
        <v>0.93</v>
      </c>
      <c r="Q61" s="12">
        <f t="shared" si="113"/>
        <v>233.79166666666669</v>
      </c>
      <c r="R61" s="12">
        <f t="shared" si="126"/>
        <v>168.33</v>
      </c>
      <c r="S61" s="11">
        <v>0.93</v>
      </c>
      <c r="T61" s="12">
        <f t="shared" si="114"/>
        <v>233.79166666666669</v>
      </c>
      <c r="U61" s="12">
        <f t="shared" si="127"/>
        <v>168.33</v>
      </c>
      <c r="X61" s="10"/>
      <c r="Y61" s="10"/>
      <c r="Z61" s="11">
        <v>0.78</v>
      </c>
      <c r="AA61" s="12">
        <f t="shared" si="128"/>
        <v>196.08333333333334</v>
      </c>
      <c r="AB61" s="12">
        <f t="shared" si="115"/>
        <v>141.18</v>
      </c>
      <c r="AC61" s="11">
        <v>0.45</v>
      </c>
      <c r="AD61" s="12">
        <f t="shared" si="129"/>
        <v>113.125</v>
      </c>
      <c r="AE61" s="12">
        <f t="shared" si="116"/>
        <v>81.45</v>
      </c>
      <c r="AF61" s="11">
        <v>0.78</v>
      </c>
      <c r="AG61" s="12">
        <f t="shared" si="130"/>
        <v>196.08333333333334</v>
      </c>
      <c r="AH61" s="12">
        <f t="shared" si="117"/>
        <v>141.18</v>
      </c>
      <c r="AI61" s="11">
        <v>0.78</v>
      </c>
      <c r="AJ61" s="12">
        <f t="shared" si="131"/>
        <v>196.08333333333334</v>
      </c>
      <c r="AK61" s="12">
        <f t="shared" si="118"/>
        <v>141.18</v>
      </c>
      <c r="AN61" s="26">
        <f t="shared" si="132"/>
        <v>219.96527777777777</v>
      </c>
      <c r="AO61" s="26">
        <f t="shared" si="133"/>
        <v>158.375</v>
      </c>
      <c r="AP61" s="26">
        <f t="shared" si="134"/>
        <v>159.63194444444446</v>
      </c>
      <c r="AQ61" s="26">
        <f t="shared" si="135"/>
        <v>114.935</v>
      </c>
      <c r="AR61" s="26">
        <f t="shared" si="136"/>
        <v>214.9375</v>
      </c>
      <c r="AS61" s="26">
        <f t="shared" si="137"/>
        <v>154.755</v>
      </c>
      <c r="AT61" s="26">
        <f t="shared" si="138"/>
        <v>214.9375</v>
      </c>
      <c r="AU61" s="26">
        <f>(U61+AK61)/2</f>
        <v>154.755</v>
      </c>
      <c r="AW61" s="4" t="s">
        <v>21</v>
      </c>
      <c r="AX61" s="11">
        <v>0.49</v>
      </c>
      <c r="AY61" s="12">
        <f t="shared" si="140"/>
        <v>123.18055555555556</v>
      </c>
      <c r="AZ61" s="12">
        <f t="shared" si="119"/>
        <v>88.69</v>
      </c>
      <c r="BA61" s="11">
        <v>0.31</v>
      </c>
      <c r="BB61" s="12">
        <f t="shared" si="141"/>
        <v>77.930555555555557</v>
      </c>
      <c r="BC61" s="12">
        <f t="shared" si="120"/>
        <v>56.11</v>
      </c>
      <c r="BD61" s="11">
        <v>0.55000000000000004</v>
      </c>
      <c r="BE61" s="12">
        <f t="shared" si="142"/>
        <v>138.26388888888889</v>
      </c>
      <c r="BF61" s="12">
        <f t="shared" si="121"/>
        <v>99.550000000000011</v>
      </c>
      <c r="BG61" s="11">
        <v>0.55000000000000004</v>
      </c>
      <c r="BH61" s="12">
        <f t="shared" si="143"/>
        <v>138.26388888888889</v>
      </c>
      <c r="BI61" s="12">
        <f t="shared" si="122"/>
        <v>99.550000000000011</v>
      </c>
    </row>
    <row r="62" spans="1:61" ht="14.4" x14ac:dyDescent="0.3">
      <c r="A62" s="13" t="s">
        <v>24</v>
      </c>
      <c r="B62" s="5">
        <v>31</v>
      </c>
      <c r="C62" s="5">
        <f t="shared" si="123"/>
        <v>744</v>
      </c>
      <c r="D62" s="9">
        <f t="shared" si="110"/>
        <v>233.87096774193549</v>
      </c>
      <c r="E62" s="5">
        <v>174</v>
      </c>
      <c r="H62" s="10"/>
      <c r="J62" s="11">
        <v>0.98</v>
      </c>
      <c r="K62" s="12">
        <f t="shared" si="111"/>
        <v>229.19354838709677</v>
      </c>
      <c r="L62" s="12">
        <f t="shared" si="124"/>
        <v>170.52</v>
      </c>
      <c r="M62" s="11">
        <v>0.81</v>
      </c>
      <c r="N62" s="12">
        <f t="shared" si="112"/>
        <v>189.43548387096774</v>
      </c>
      <c r="O62" s="12">
        <f t="shared" si="125"/>
        <v>140.94</v>
      </c>
      <c r="P62" s="11">
        <v>0.93</v>
      </c>
      <c r="Q62" s="12">
        <f t="shared" si="113"/>
        <v>217.50000000000003</v>
      </c>
      <c r="R62" s="12">
        <f t="shared" si="126"/>
        <v>161.82000000000002</v>
      </c>
      <c r="S62" s="11">
        <v>0.93</v>
      </c>
      <c r="T62" s="12">
        <f t="shared" si="114"/>
        <v>217.50000000000003</v>
      </c>
      <c r="U62" s="12">
        <f t="shared" si="127"/>
        <v>161.82000000000002</v>
      </c>
      <c r="X62" s="10"/>
      <c r="Y62" s="10"/>
      <c r="Z62" s="11">
        <v>0.81</v>
      </c>
      <c r="AA62" s="12">
        <f t="shared" si="128"/>
        <v>189.43548387096774</v>
      </c>
      <c r="AB62" s="12">
        <f t="shared" si="115"/>
        <v>140.94</v>
      </c>
      <c r="AC62" s="11">
        <v>0.42</v>
      </c>
      <c r="AD62" s="12">
        <f t="shared" si="129"/>
        <v>98.225806451612897</v>
      </c>
      <c r="AE62" s="12">
        <f t="shared" si="116"/>
        <v>73.08</v>
      </c>
      <c r="AF62" s="11">
        <v>0.78</v>
      </c>
      <c r="AG62" s="12">
        <f t="shared" si="130"/>
        <v>182.41935483870969</v>
      </c>
      <c r="AH62" s="12">
        <f t="shared" si="117"/>
        <v>135.72</v>
      </c>
      <c r="AI62" s="11">
        <v>0.78</v>
      </c>
      <c r="AJ62" s="12">
        <f t="shared" si="131"/>
        <v>182.41935483870969</v>
      </c>
      <c r="AK62" s="12">
        <f t="shared" si="118"/>
        <v>135.72</v>
      </c>
      <c r="AN62" s="26">
        <f t="shared" si="132"/>
        <v>209.31451612903226</v>
      </c>
      <c r="AO62" s="26">
        <f t="shared" si="133"/>
        <v>155.73000000000002</v>
      </c>
      <c r="AP62" s="26">
        <f t="shared" si="134"/>
        <v>143.83064516129031</v>
      </c>
      <c r="AQ62" s="26">
        <f t="shared" si="135"/>
        <v>107.00999999999999</v>
      </c>
      <c r="AR62" s="26">
        <f t="shared" si="136"/>
        <v>199.95967741935488</v>
      </c>
      <c r="AS62" s="26">
        <f t="shared" si="137"/>
        <v>148.77000000000001</v>
      </c>
      <c r="AT62" s="26">
        <f t="shared" si="138"/>
        <v>199.95967741935488</v>
      </c>
      <c r="AU62" s="26">
        <f t="shared" ref="AU62:AU63" si="144">(U62+AK62)/2</f>
        <v>148.77000000000001</v>
      </c>
      <c r="AX62" s="11">
        <v>0.51</v>
      </c>
      <c r="AY62" s="12">
        <f t="shared" si="140"/>
        <v>119.2741935483871</v>
      </c>
      <c r="AZ62" s="12">
        <f t="shared" si="119"/>
        <v>88.74</v>
      </c>
      <c r="BA62" s="11">
        <v>0.3</v>
      </c>
      <c r="BB62" s="12">
        <f t="shared" si="141"/>
        <v>70.161290322580641</v>
      </c>
      <c r="BC62" s="12">
        <f t="shared" si="120"/>
        <v>52.199999999999996</v>
      </c>
      <c r="BD62" s="11">
        <v>0.55000000000000004</v>
      </c>
      <c r="BE62" s="12">
        <f t="shared" si="142"/>
        <v>128.62903225806454</v>
      </c>
      <c r="BF62" s="12">
        <f t="shared" si="121"/>
        <v>95.7</v>
      </c>
      <c r="BG62" s="11">
        <v>0.55000000000000004</v>
      </c>
      <c r="BH62" s="12">
        <f t="shared" si="143"/>
        <v>128.62903225806454</v>
      </c>
      <c r="BI62" s="12">
        <f t="shared" si="122"/>
        <v>95.7</v>
      </c>
    </row>
    <row r="63" spans="1:61" ht="14.4" x14ac:dyDescent="0.3">
      <c r="A63" s="13" t="s">
        <v>25</v>
      </c>
      <c r="B63" s="5">
        <v>31</v>
      </c>
      <c r="C63" s="5">
        <f t="shared" si="123"/>
        <v>744</v>
      </c>
      <c r="D63" s="9">
        <f t="shared" si="110"/>
        <v>202.95698924731184</v>
      </c>
      <c r="E63" s="5">
        <v>151</v>
      </c>
      <c r="H63" s="10"/>
      <c r="J63" s="11">
        <v>1.05</v>
      </c>
      <c r="K63" s="12">
        <f t="shared" si="111"/>
        <v>213.10483870967744</v>
      </c>
      <c r="L63" s="12">
        <f t="shared" si="124"/>
        <v>158.55000000000001</v>
      </c>
      <c r="M63" s="11">
        <v>0.73</v>
      </c>
      <c r="N63" s="12">
        <f t="shared" si="112"/>
        <v>148.15860215053763</v>
      </c>
      <c r="O63" s="12">
        <f t="shared" si="125"/>
        <v>110.23</v>
      </c>
      <c r="P63" s="11">
        <v>0.93</v>
      </c>
      <c r="Q63" s="12">
        <f t="shared" si="113"/>
        <v>188.75000000000003</v>
      </c>
      <c r="R63" s="12">
        <f t="shared" si="126"/>
        <v>140.43</v>
      </c>
      <c r="S63" s="11">
        <v>0.93</v>
      </c>
      <c r="T63" s="12">
        <f t="shared" si="114"/>
        <v>188.75000000000003</v>
      </c>
      <c r="U63" s="12">
        <f t="shared" si="127"/>
        <v>140.43</v>
      </c>
      <c r="X63" s="10"/>
      <c r="Y63" s="10"/>
      <c r="Z63" s="11">
        <v>0.91</v>
      </c>
      <c r="AA63" s="12">
        <f t="shared" si="128"/>
        <v>184.69086021505379</v>
      </c>
      <c r="AB63" s="12">
        <f t="shared" si="115"/>
        <v>137.41</v>
      </c>
      <c r="AC63" s="11">
        <v>0.34</v>
      </c>
      <c r="AD63" s="12">
        <f t="shared" si="129"/>
        <v>69.005376344086031</v>
      </c>
      <c r="AE63" s="12">
        <f t="shared" si="116"/>
        <v>51.34</v>
      </c>
      <c r="AF63" s="11">
        <v>0.79</v>
      </c>
      <c r="AG63" s="12">
        <f t="shared" si="130"/>
        <v>160.33602150537635</v>
      </c>
      <c r="AH63" s="12">
        <f t="shared" si="117"/>
        <v>119.29</v>
      </c>
      <c r="AI63" s="11">
        <v>0.79</v>
      </c>
      <c r="AJ63" s="12">
        <f t="shared" si="131"/>
        <v>160.33602150537635</v>
      </c>
      <c r="AK63" s="12">
        <f t="shared" si="118"/>
        <v>119.29</v>
      </c>
      <c r="AN63" s="26">
        <f t="shared" si="132"/>
        <v>198.89784946236563</v>
      </c>
      <c r="AO63" s="26">
        <f>(L63+AB63)/2</f>
        <v>147.98000000000002</v>
      </c>
      <c r="AP63" s="26">
        <f t="shared" si="134"/>
        <v>108.58198924731184</v>
      </c>
      <c r="AQ63" s="26">
        <f>(O63+AE63)/2</f>
        <v>80.784999999999997</v>
      </c>
      <c r="AR63" s="26">
        <f t="shared" si="136"/>
        <v>174.54301075268819</v>
      </c>
      <c r="AS63" s="26">
        <f t="shared" si="137"/>
        <v>129.86000000000001</v>
      </c>
      <c r="AT63" s="26">
        <f t="shared" si="138"/>
        <v>174.54301075268819</v>
      </c>
      <c r="AU63" s="26">
        <f t="shared" si="144"/>
        <v>129.86000000000001</v>
      </c>
      <c r="AX63" s="11">
        <v>0.62</v>
      </c>
      <c r="AY63" s="12">
        <f t="shared" si="140"/>
        <v>125.83333333333334</v>
      </c>
      <c r="AZ63" s="12">
        <f t="shared" si="119"/>
        <v>93.62</v>
      </c>
      <c r="BA63" s="11">
        <v>0.28999999999999998</v>
      </c>
      <c r="BB63" s="12">
        <f t="shared" si="141"/>
        <v>58.857526881720432</v>
      </c>
      <c r="BC63" s="12">
        <f t="shared" si="120"/>
        <v>43.79</v>
      </c>
      <c r="BD63" s="11">
        <v>0.57999999999999996</v>
      </c>
      <c r="BE63" s="12">
        <f t="shared" si="142"/>
        <v>117.71505376344086</v>
      </c>
      <c r="BF63" s="12">
        <f t="shared" si="121"/>
        <v>87.58</v>
      </c>
      <c r="BG63" s="11">
        <v>0.57999999999999996</v>
      </c>
      <c r="BH63" s="12">
        <f t="shared" si="143"/>
        <v>117.71505376344086</v>
      </c>
      <c r="BI63" s="12">
        <f t="shared" si="122"/>
        <v>87.58</v>
      </c>
    </row>
    <row r="64" spans="1:61" ht="14.4" x14ac:dyDescent="0.3">
      <c r="A64" s="13" t="s">
        <v>26</v>
      </c>
      <c r="B64" s="5">
        <v>30</v>
      </c>
      <c r="C64" s="5">
        <f t="shared" si="123"/>
        <v>720</v>
      </c>
      <c r="D64" s="9">
        <f t="shared" si="110"/>
        <v>154.16666666666666</v>
      </c>
      <c r="E64" s="5">
        <v>111</v>
      </c>
      <c r="H64" s="10"/>
      <c r="J64" s="11">
        <v>1.18</v>
      </c>
      <c r="K64" s="12">
        <f t="shared" si="111"/>
        <v>181.91666666666666</v>
      </c>
      <c r="L64" s="12">
        <f t="shared" si="124"/>
        <v>130.97999999999999</v>
      </c>
      <c r="M64" s="11">
        <v>0.57999999999999996</v>
      </c>
      <c r="N64" s="12">
        <f t="shared" si="112"/>
        <v>89.416666666666657</v>
      </c>
      <c r="O64" s="12">
        <f t="shared" si="125"/>
        <v>64.38</v>
      </c>
      <c r="P64" s="11">
        <v>0.95</v>
      </c>
      <c r="Q64" s="12">
        <f t="shared" si="113"/>
        <v>146.45833333333331</v>
      </c>
      <c r="R64" s="12">
        <f t="shared" si="126"/>
        <v>105.44999999999999</v>
      </c>
      <c r="S64" s="11">
        <v>0.95</v>
      </c>
      <c r="T64" s="12">
        <f t="shared" si="114"/>
        <v>146.45833333333331</v>
      </c>
      <c r="U64" s="12">
        <f t="shared" si="127"/>
        <v>105.44999999999999</v>
      </c>
      <c r="X64" s="10"/>
      <c r="Y64" s="10"/>
      <c r="Z64" s="11">
        <v>1.1200000000000001</v>
      </c>
      <c r="AA64" s="12">
        <f t="shared" si="128"/>
        <v>172.66666666666669</v>
      </c>
      <c r="AB64" s="12">
        <f t="shared" si="115"/>
        <v>124.32000000000001</v>
      </c>
      <c r="AC64" s="11">
        <v>0.3</v>
      </c>
      <c r="AD64" s="12">
        <f t="shared" si="129"/>
        <v>46.249999999999993</v>
      </c>
      <c r="AE64" s="12">
        <f t="shared" si="116"/>
        <v>33.299999999999997</v>
      </c>
      <c r="AF64" s="11">
        <v>0.81</v>
      </c>
      <c r="AG64" s="12">
        <f t="shared" si="130"/>
        <v>124.875</v>
      </c>
      <c r="AH64" s="12">
        <f t="shared" si="117"/>
        <v>89.910000000000011</v>
      </c>
      <c r="AI64" s="11">
        <v>0.81</v>
      </c>
      <c r="AJ64" s="12">
        <f t="shared" si="131"/>
        <v>124.875</v>
      </c>
      <c r="AK64" s="12">
        <f t="shared" si="118"/>
        <v>89.910000000000011</v>
      </c>
      <c r="AN64" s="26">
        <f t="shared" si="132"/>
        <v>177.29166666666669</v>
      </c>
      <c r="AO64" s="26">
        <f t="shared" ref="AO64:AO67" si="145">(L64+AB64)/2</f>
        <v>127.65</v>
      </c>
      <c r="AP64" s="26">
        <f t="shared" si="134"/>
        <v>67.833333333333329</v>
      </c>
      <c r="AQ64" s="26">
        <f t="shared" ref="AQ64:AQ67" si="146">(O64+AE64)/2</f>
        <v>48.839999999999996</v>
      </c>
      <c r="AR64" s="26">
        <f t="shared" si="136"/>
        <v>135.66666666666666</v>
      </c>
      <c r="AS64" s="26">
        <f t="shared" si="137"/>
        <v>97.68</v>
      </c>
      <c r="AT64" s="26">
        <f t="shared" si="138"/>
        <v>135.66666666666666</v>
      </c>
      <c r="AU64" s="26">
        <f>(U64+AK64)/2</f>
        <v>97.68</v>
      </c>
      <c r="AX64" s="11">
        <v>0.85</v>
      </c>
      <c r="AY64" s="12">
        <f t="shared" si="140"/>
        <v>131.04166666666666</v>
      </c>
      <c r="AZ64" s="12">
        <f t="shared" si="119"/>
        <v>94.35</v>
      </c>
      <c r="BA64" s="11">
        <v>0.27</v>
      </c>
      <c r="BB64" s="12">
        <f t="shared" si="141"/>
        <v>41.625</v>
      </c>
      <c r="BC64" s="12">
        <f t="shared" si="120"/>
        <v>29.970000000000002</v>
      </c>
      <c r="BD64" s="11">
        <v>0.6</v>
      </c>
      <c r="BE64" s="12">
        <f t="shared" si="142"/>
        <v>92.499999999999986</v>
      </c>
      <c r="BF64" s="12">
        <f t="shared" si="121"/>
        <v>66.599999999999994</v>
      </c>
      <c r="BG64" s="11">
        <v>0.6</v>
      </c>
      <c r="BH64" s="12">
        <f t="shared" si="143"/>
        <v>92.499999999999986</v>
      </c>
      <c r="BI64" s="12">
        <f t="shared" si="122"/>
        <v>66.599999999999994</v>
      </c>
    </row>
    <row r="65" spans="1:61" ht="14.4" x14ac:dyDescent="0.3">
      <c r="A65" s="13" t="s">
        <v>5</v>
      </c>
      <c r="B65" s="5">
        <v>31</v>
      </c>
      <c r="C65" s="5">
        <f t="shared" si="123"/>
        <v>744</v>
      </c>
      <c r="D65" s="9">
        <f t="shared" si="110"/>
        <v>86.021505376344081</v>
      </c>
      <c r="E65" s="5">
        <v>64</v>
      </c>
      <c r="H65" s="10"/>
      <c r="J65" s="11">
        <v>1.35</v>
      </c>
      <c r="K65" s="12">
        <f t="shared" si="111"/>
        <v>116.12903225806451</v>
      </c>
      <c r="L65" s="12">
        <f t="shared" si="124"/>
        <v>86.4</v>
      </c>
      <c r="M65" s="11">
        <v>0.43</v>
      </c>
      <c r="N65" s="12">
        <f t="shared" si="112"/>
        <v>36.989247311827953</v>
      </c>
      <c r="O65" s="12">
        <f t="shared" si="125"/>
        <v>27.52</v>
      </c>
      <c r="P65" s="11">
        <v>0.96</v>
      </c>
      <c r="Q65" s="12">
        <f t="shared" si="113"/>
        <v>82.58064516129032</v>
      </c>
      <c r="R65" s="12">
        <f t="shared" si="126"/>
        <v>61.44</v>
      </c>
      <c r="S65" s="11">
        <v>0.96</v>
      </c>
      <c r="T65" s="12">
        <f t="shared" si="114"/>
        <v>82.58064516129032</v>
      </c>
      <c r="U65" s="12">
        <f t="shared" si="127"/>
        <v>61.44</v>
      </c>
      <c r="X65" s="10"/>
      <c r="Y65" s="10"/>
      <c r="Z65" s="11">
        <v>1.43</v>
      </c>
      <c r="AA65" s="12">
        <f t="shared" si="128"/>
        <v>123.01075268817203</v>
      </c>
      <c r="AB65" s="12">
        <f t="shared" si="115"/>
        <v>91.52</v>
      </c>
      <c r="AC65" s="11">
        <v>0.33</v>
      </c>
      <c r="AD65" s="12">
        <f t="shared" si="129"/>
        <v>28.387096774193548</v>
      </c>
      <c r="AE65" s="12">
        <f t="shared" si="116"/>
        <v>21.12</v>
      </c>
      <c r="AF65" s="11">
        <v>0.84</v>
      </c>
      <c r="AG65" s="12">
        <f t="shared" si="130"/>
        <v>72.258064516129025</v>
      </c>
      <c r="AH65" s="12">
        <f t="shared" si="117"/>
        <v>53.76</v>
      </c>
      <c r="AI65" s="11">
        <v>0.84</v>
      </c>
      <c r="AJ65" s="12">
        <f t="shared" si="131"/>
        <v>72.258064516129025</v>
      </c>
      <c r="AK65" s="12">
        <f t="shared" si="118"/>
        <v>53.76</v>
      </c>
      <c r="AN65" s="26">
        <f t="shared" si="132"/>
        <v>119.56989247311827</v>
      </c>
      <c r="AO65" s="26">
        <f t="shared" si="145"/>
        <v>88.960000000000008</v>
      </c>
      <c r="AP65" s="26">
        <f t="shared" si="134"/>
        <v>32.688172043010752</v>
      </c>
      <c r="AQ65" s="26">
        <f t="shared" si="146"/>
        <v>24.32</v>
      </c>
      <c r="AR65" s="26">
        <f t="shared" si="136"/>
        <v>77.419354838709666</v>
      </c>
      <c r="AS65" s="26">
        <f t="shared" si="137"/>
        <v>57.599999999999994</v>
      </c>
      <c r="AT65" s="26">
        <f t="shared" si="138"/>
        <v>77.419354838709666</v>
      </c>
      <c r="AU65" s="26">
        <f t="shared" ref="AU65:AU67" si="147">(U65+AK65)/2</f>
        <v>57.599999999999994</v>
      </c>
      <c r="AX65" s="11">
        <v>1.22</v>
      </c>
      <c r="AY65" s="12">
        <f t="shared" si="140"/>
        <v>104.94623655913978</v>
      </c>
      <c r="AZ65" s="12">
        <f t="shared" si="119"/>
        <v>78.08</v>
      </c>
      <c r="BA65" s="11">
        <v>0.28999999999999998</v>
      </c>
      <c r="BB65" s="12">
        <f t="shared" si="141"/>
        <v>24.946236559139781</v>
      </c>
      <c r="BC65" s="12">
        <f t="shared" si="120"/>
        <v>18.559999999999999</v>
      </c>
      <c r="BD65" s="11">
        <v>0.64</v>
      </c>
      <c r="BE65" s="12">
        <f t="shared" si="142"/>
        <v>55.053763440860216</v>
      </c>
      <c r="BF65" s="12">
        <f t="shared" si="121"/>
        <v>40.96</v>
      </c>
      <c r="BG65" s="11">
        <v>0.64</v>
      </c>
      <c r="BH65" s="12">
        <f t="shared" si="143"/>
        <v>55.053763440860216</v>
      </c>
      <c r="BI65" s="12">
        <f t="shared" si="122"/>
        <v>40.96</v>
      </c>
    </row>
    <row r="66" spans="1:61" ht="14.4" x14ac:dyDescent="0.3">
      <c r="A66" s="13" t="s">
        <v>6</v>
      </c>
      <c r="B66" s="5">
        <v>30</v>
      </c>
      <c r="C66" s="5">
        <f t="shared" si="123"/>
        <v>720</v>
      </c>
      <c r="D66" s="9">
        <f t="shared" si="110"/>
        <v>41.666666666666664</v>
      </c>
      <c r="E66" s="5">
        <v>30</v>
      </c>
      <c r="H66" s="10"/>
      <c r="J66" s="11">
        <v>1.53</v>
      </c>
      <c r="K66" s="12">
        <f t="shared" si="111"/>
        <v>63.75</v>
      </c>
      <c r="L66" s="12">
        <f t="shared" si="124"/>
        <v>45.9</v>
      </c>
      <c r="M66" s="11">
        <v>0.45</v>
      </c>
      <c r="N66" s="12">
        <f t="shared" si="112"/>
        <v>18.75</v>
      </c>
      <c r="O66" s="12">
        <f t="shared" si="125"/>
        <v>13.5</v>
      </c>
      <c r="P66" s="11">
        <v>0.98</v>
      </c>
      <c r="Q66" s="12">
        <f t="shared" si="113"/>
        <v>40.833333333333329</v>
      </c>
      <c r="R66" s="12">
        <f t="shared" si="126"/>
        <v>29.4</v>
      </c>
      <c r="S66" s="11">
        <v>0.98</v>
      </c>
      <c r="T66" s="12">
        <f t="shared" si="114"/>
        <v>40.833333333333329</v>
      </c>
      <c r="U66" s="12">
        <f t="shared" si="127"/>
        <v>29.4</v>
      </c>
      <c r="X66" s="10"/>
      <c r="Y66" s="10"/>
      <c r="Z66" s="11">
        <v>1.76</v>
      </c>
      <c r="AA66" s="12">
        <f t="shared" si="128"/>
        <v>73.333333333333329</v>
      </c>
      <c r="AB66" s="12">
        <f t="shared" si="115"/>
        <v>52.8</v>
      </c>
      <c r="AC66" s="11">
        <v>0.39</v>
      </c>
      <c r="AD66" s="12">
        <f t="shared" si="129"/>
        <v>16.25</v>
      </c>
      <c r="AE66" s="12">
        <f t="shared" si="116"/>
        <v>11.700000000000001</v>
      </c>
      <c r="AF66" s="11">
        <v>0.85</v>
      </c>
      <c r="AG66" s="12">
        <f t="shared" si="130"/>
        <v>35.416666666666664</v>
      </c>
      <c r="AH66" s="12">
        <f t="shared" si="117"/>
        <v>25.5</v>
      </c>
      <c r="AI66" s="11">
        <v>0.85</v>
      </c>
      <c r="AJ66" s="12">
        <f t="shared" si="131"/>
        <v>35.416666666666664</v>
      </c>
      <c r="AK66" s="12">
        <f t="shared" si="118"/>
        <v>25.5</v>
      </c>
      <c r="AN66" s="26">
        <f t="shared" si="132"/>
        <v>68.541666666666657</v>
      </c>
      <c r="AO66" s="26">
        <f t="shared" si="145"/>
        <v>49.349999999999994</v>
      </c>
      <c r="AP66" s="26">
        <f t="shared" si="134"/>
        <v>17.5</v>
      </c>
      <c r="AQ66" s="26">
        <f t="shared" si="146"/>
        <v>12.600000000000001</v>
      </c>
      <c r="AR66" s="26">
        <f t="shared" si="136"/>
        <v>38.125</v>
      </c>
      <c r="AS66" s="26">
        <f t="shared" si="137"/>
        <v>27.45</v>
      </c>
      <c r="AT66" s="26">
        <f t="shared" si="138"/>
        <v>38.125</v>
      </c>
      <c r="AU66" s="26">
        <f t="shared" si="147"/>
        <v>27.45</v>
      </c>
      <c r="AX66" s="11">
        <v>1.62</v>
      </c>
      <c r="AY66" s="12">
        <f t="shared" si="140"/>
        <v>67.5</v>
      </c>
      <c r="AZ66" s="12">
        <f t="shared" si="119"/>
        <v>48.6</v>
      </c>
      <c r="BA66" s="11">
        <v>0.35</v>
      </c>
      <c r="BB66" s="12">
        <f t="shared" si="141"/>
        <v>14.583333333333332</v>
      </c>
      <c r="BC66" s="12">
        <f t="shared" si="120"/>
        <v>10.5</v>
      </c>
      <c r="BD66" s="11">
        <v>0.64</v>
      </c>
      <c r="BE66" s="12">
        <f t="shared" si="142"/>
        <v>26.666666666666664</v>
      </c>
      <c r="BF66" s="12">
        <f t="shared" si="121"/>
        <v>19.2</v>
      </c>
      <c r="BG66" s="11">
        <v>0.64</v>
      </c>
      <c r="BH66" s="12">
        <f t="shared" si="143"/>
        <v>26.666666666666664</v>
      </c>
      <c r="BI66" s="12">
        <f t="shared" si="122"/>
        <v>19.2</v>
      </c>
    </row>
    <row r="67" spans="1:61" ht="15" thickBot="1" x14ac:dyDescent="0.35">
      <c r="A67" s="14" t="s">
        <v>7</v>
      </c>
      <c r="B67" s="5">
        <v>31</v>
      </c>
      <c r="C67" s="5">
        <f t="shared" si="123"/>
        <v>744</v>
      </c>
      <c r="D67" s="9">
        <f t="shared" si="110"/>
        <v>26.881720430107528</v>
      </c>
      <c r="E67" s="5">
        <v>20</v>
      </c>
      <c r="H67" s="10"/>
      <c r="J67" s="11">
        <v>1.81</v>
      </c>
      <c r="K67" s="12">
        <f t="shared" si="111"/>
        <v>48.655913978494624</v>
      </c>
      <c r="L67" s="12">
        <f t="shared" si="124"/>
        <v>36.200000000000003</v>
      </c>
      <c r="M67" s="11">
        <v>0.45</v>
      </c>
      <c r="N67" s="12">
        <f t="shared" si="112"/>
        <v>12.096774193548388</v>
      </c>
      <c r="O67" s="12">
        <f t="shared" si="125"/>
        <v>9</v>
      </c>
      <c r="P67" s="11">
        <v>1</v>
      </c>
      <c r="Q67" s="12">
        <f t="shared" si="113"/>
        <v>26.881720430107528</v>
      </c>
      <c r="R67" s="12">
        <f t="shared" si="126"/>
        <v>20</v>
      </c>
      <c r="S67" s="11">
        <v>1</v>
      </c>
      <c r="T67" s="12">
        <f t="shared" si="114"/>
        <v>26.881720430107528</v>
      </c>
      <c r="U67" s="12">
        <f t="shared" si="127"/>
        <v>20</v>
      </c>
      <c r="X67" s="10"/>
      <c r="Y67" s="10"/>
      <c r="Z67" s="11">
        <v>2.23</v>
      </c>
      <c r="AA67" s="12">
        <f t="shared" si="128"/>
        <v>59.946236559139784</v>
      </c>
      <c r="AB67" s="12">
        <f t="shared" si="115"/>
        <v>44.6</v>
      </c>
      <c r="AC67" s="11">
        <v>0.42</v>
      </c>
      <c r="AD67" s="12">
        <f t="shared" si="129"/>
        <v>11.290322580645162</v>
      </c>
      <c r="AE67" s="12">
        <f t="shared" si="116"/>
        <v>8.4</v>
      </c>
      <c r="AF67" s="11">
        <v>0.9</v>
      </c>
      <c r="AG67" s="12">
        <f t="shared" si="130"/>
        <v>24.193548387096776</v>
      </c>
      <c r="AH67" s="12">
        <f t="shared" si="117"/>
        <v>18</v>
      </c>
      <c r="AI67" s="11">
        <v>0.9</v>
      </c>
      <c r="AJ67" s="12">
        <f t="shared" si="131"/>
        <v>24.193548387096776</v>
      </c>
      <c r="AK67" s="12">
        <f t="shared" si="118"/>
        <v>18</v>
      </c>
      <c r="AN67" s="26">
        <f t="shared" si="132"/>
        <v>54.3010752688172</v>
      </c>
      <c r="AO67" s="26">
        <f t="shared" si="145"/>
        <v>40.400000000000006</v>
      </c>
      <c r="AP67" s="26">
        <f t="shared" si="134"/>
        <v>11.693548387096776</v>
      </c>
      <c r="AQ67" s="26">
        <f t="shared" si="146"/>
        <v>8.6999999999999993</v>
      </c>
      <c r="AR67" s="26">
        <f t="shared" si="136"/>
        <v>25.537634408602152</v>
      </c>
      <c r="AS67" s="26">
        <f t="shared" si="137"/>
        <v>19</v>
      </c>
      <c r="AT67" s="26">
        <f t="shared" si="138"/>
        <v>25.537634408602152</v>
      </c>
      <c r="AU67" s="26">
        <f t="shared" si="147"/>
        <v>19</v>
      </c>
      <c r="AX67" s="11">
        <v>2.19</v>
      </c>
      <c r="AY67" s="12">
        <f t="shared" si="140"/>
        <v>58.870967741935488</v>
      </c>
      <c r="AZ67" s="12">
        <f t="shared" si="119"/>
        <v>43.8</v>
      </c>
      <c r="BA67" s="11">
        <v>0.43</v>
      </c>
      <c r="BB67" s="12">
        <f t="shared" si="141"/>
        <v>11.559139784946236</v>
      </c>
      <c r="BC67" s="12">
        <f t="shared" si="120"/>
        <v>8.6</v>
      </c>
      <c r="BD67" s="11">
        <v>0.75</v>
      </c>
      <c r="BE67" s="12">
        <f t="shared" si="142"/>
        <v>20.161290322580648</v>
      </c>
      <c r="BF67" s="12">
        <f t="shared" si="121"/>
        <v>15</v>
      </c>
      <c r="BG67" s="11">
        <v>0.75</v>
      </c>
      <c r="BH67" s="12">
        <f t="shared" si="143"/>
        <v>20.161290322580648</v>
      </c>
      <c r="BI67" s="12">
        <f t="shared" si="122"/>
        <v>15</v>
      </c>
    </row>
    <row r="69" spans="1:61" x14ac:dyDescent="0.25">
      <c r="A69" s="15" t="s">
        <v>44</v>
      </c>
      <c r="B69" s="7" t="s">
        <v>10</v>
      </c>
      <c r="C69" s="7" t="s">
        <v>11</v>
      </c>
      <c r="E69" s="7" t="s">
        <v>12</v>
      </c>
      <c r="F69" s="7"/>
      <c r="G69" s="7"/>
      <c r="J69" s="36" t="s">
        <v>15</v>
      </c>
      <c r="K69" s="37"/>
      <c r="L69" s="38"/>
      <c r="M69" s="36" t="s">
        <v>16</v>
      </c>
      <c r="N69" s="37"/>
      <c r="O69" s="38"/>
      <c r="P69" s="36" t="s">
        <v>17</v>
      </c>
      <c r="Q69" s="37"/>
      <c r="R69" s="37"/>
      <c r="S69" s="34" t="s">
        <v>18</v>
      </c>
      <c r="T69" s="34"/>
      <c r="U69" s="34"/>
      <c r="Z69" s="36" t="s">
        <v>15</v>
      </c>
      <c r="AA69" s="37"/>
      <c r="AB69" s="38"/>
      <c r="AC69" s="36" t="s">
        <v>16</v>
      </c>
      <c r="AD69" s="37"/>
      <c r="AE69" s="38"/>
      <c r="AF69" s="36" t="s">
        <v>17</v>
      </c>
      <c r="AG69" s="37"/>
      <c r="AH69" s="37"/>
      <c r="AI69" s="34" t="s">
        <v>18</v>
      </c>
      <c r="AJ69" s="34"/>
      <c r="AK69" s="34"/>
      <c r="AN69" s="32" t="s">
        <v>15</v>
      </c>
      <c r="AO69" s="33"/>
      <c r="AP69" s="32" t="s">
        <v>16</v>
      </c>
      <c r="AQ69" s="33"/>
      <c r="AR69" s="32" t="s">
        <v>19</v>
      </c>
      <c r="AS69" s="33"/>
      <c r="AT69" s="34" t="s">
        <v>18</v>
      </c>
      <c r="AU69" s="34"/>
      <c r="AX69" s="36" t="s">
        <v>15</v>
      </c>
      <c r="AY69" s="37"/>
      <c r="AZ69" s="38"/>
      <c r="BA69" s="36" t="s">
        <v>16</v>
      </c>
      <c r="BB69" s="37"/>
      <c r="BC69" s="38"/>
      <c r="BD69" s="36" t="s">
        <v>17</v>
      </c>
      <c r="BE69" s="37"/>
      <c r="BF69" s="37"/>
      <c r="BG69" s="34" t="s">
        <v>18</v>
      </c>
      <c r="BH69" s="34"/>
      <c r="BI69" s="34"/>
    </row>
    <row r="70" spans="1:61" ht="13.8" thickBot="1" x14ac:dyDescent="0.3">
      <c r="D70" s="5" t="s">
        <v>14</v>
      </c>
      <c r="E70" s="5" t="s">
        <v>13</v>
      </c>
      <c r="J70" s="4" t="s">
        <v>48</v>
      </c>
      <c r="K70" s="4" t="s">
        <v>14</v>
      </c>
      <c r="L70" s="4" t="s">
        <v>13</v>
      </c>
      <c r="M70" s="4" t="s">
        <v>48</v>
      </c>
      <c r="N70" s="4" t="s">
        <v>14</v>
      </c>
      <c r="O70" s="4" t="s">
        <v>13</v>
      </c>
      <c r="P70" s="4" t="s">
        <v>48</v>
      </c>
      <c r="Q70" s="4" t="s">
        <v>14</v>
      </c>
      <c r="R70" s="4" t="s">
        <v>13</v>
      </c>
      <c r="S70" s="24" t="s">
        <v>48</v>
      </c>
      <c r="T70" s="24" t="s">
        <v>14</v>
      </c>
      <c r="U70" s="24" t="s">
        <v>13</v>
      </c>
      <c r="Z70" s="4" t="s">
        <v>48</v>
      </c>
      <c r="AA70" s="4" t="s">
        <v>14</v>
      </c>
      <c r="AB70" s="4" t="s">
        <v>13</v>
      </c>
      <c r="AC70" s="4" t="s">
        <v>48</v>
      </c>
      <c r="AD70" s="4" t="s">
        <v>14</v>
      </c>
      <c r="AE70" s="4" t="s">
        <v>13</v>
      </c>
      <c r="AF70" s="4" t="s">
        <v>48</v>
      </c>
      <c r="AG70" s="4" t="s">
        <v>14</v>
      </c>
      <c r="AH70" s="4" t="s">
        <v>13</v>
      </c>
      <c r="AI70" s="24" t="s">
        <v>48</v>
      </c>
      <c r="AJ70" s="24" t="s">
        <v>14</v>
      </c>
      <c r="AK70" s="24" t="s">
        <v>13</v>
      </c>
      <c r="AN70" s="24" t="s">
        <v>14</v>
      </c>
      <c r="AO70" s="24" t="s">
        <v>13</v>
      </c>
      <c r="AP70" s="24" t="s">
        <v>14</v>
      </c>
      <c r="AQ70" s="24" t="s">
        <v>13</v>
      </c>
      <c r="AR70" s="24" t="s">
        <v>14</v>
      </c>
      <c r="AS70" s="24" t="s">
        <v>13</v>
      </c>
      <c r="AT70" s="24" t="s">
        <v>14</v>
      </c>
      <c r="AU70" s="24" t="s">
        <v>13</v>
      </c>
      <c r="AX70" s="4" t="s">
        <v>48</v>
      </c>
      <c r="AY70" s="4" t="s">
        <v>14</v>
      </c>
      <c r="AZ70" s="4" t="s">
        <v>13</v>
      </c>
      <c r="BA70" s="4" t="s">
        <v>48</v>
      </c>
      <c r="BB70" s="4" t="s">
        <v>14</v>
      </c>
      <c r="BC70" s="4" t="s">
        <v>13</v>
      </c>
      <c r="BD70" s="4" t="s">
        <v>48</v>
      </c>
      <c r="BE70" s="4" t="s">
        <v>14</v>
      </c>
      <c r="BF70" s="4" t="s">
        <v>13</v>
      </c>
      <c r="BG70" s="24" t="s">
        <v>48</v>
      </c>
      <c r="BH70" s="24" t="s">
        <v>14</v>
      </c>
      <c r="BI70" s="24" t="s">
        <v>13</v>
      </c>
    </row>
    <row r="71" spans="1:61" ht="14.4" x14ac:dyDescent="0.3">
      <c r="A71" s="8" t="s">
        <v>1</v>
      </c>
      <c r="B71" s="5">
        <v>31</v>
      </c>
      <c r="C71" s="5">
        <f>B71*24</f>
        <v>744</v>
      </c>
      <c r="D71" s="9">
        <f t="shared" ref="D71:D82" si="148">E71*1000/C71</f>
        <v>32.258064516129032</v>
      </c>
      <c r="E71" s="5">
        <v>24</v>
      </c>
      <c r="H71" s="10"/>
      <c r="J71" s="11">
        <v>1.61</v>
      </c>
      <c r="K71" s="12">
        <f t="shared" ref="K71:K82" si="149">J71*D71</f>
        <v>51.935483870967744</v>
      </c>
      <c r="L71" s="12">
        <f>$E71*J71</f>
        <v>38.64</v>
      </c>
      <c r="M71" s="11">
        <v>0.52</v>
      </c>
      <c r="N71" s="12">
        <f t="shared" ref="N71:N82" si="150">M71*D71</f>
        <v>16.774193548387096</v>
      </c>
      <c r="O71" s="12">
        <f>$E71*M71</f>
        <v>12.48</v>
      </c>
      <c r="P71" s="11">
        <v>1</v>
      </c>
      <c r="Q71" s="12">
        <f t="shared" ref="Q71:Q82" si="151">P71*D71</f>
        <v>32.258064516129032</v>
      </c>
      <c r="R71" s="12">
        <f>$E71*P71</f>
        <v>24</v>
      </c>
      <c r="S71" s="11">
        <v>1</v>
      </c>
      <c r="T71" s="12">
        <f t="shared" ref="T71:T82" si="152">S71*D71</f>
        <v>32.258064516129032</v>
      </c>
      <c r="U71" s="12">
        <f>$E71*S71</f>
        <v>24</v>
      </c>
      <c r="X71" s="10"/>
      <c r="Y71" s="10"/>
      <c r="Z71" s="11">
        <v>1.94</v>
      </c>
      <c r="AA71" s="12">
        <f>Z71*$D71</f>
        <v>62.58064516129032</v>
      </c>
      <c r="AB71" s="12">
        <f t="shared" ref="AB71:AB82" si="153">$E71*Z71</f>
        <v>46.56</v>
      </c>
      <c r="AC71" s="11">
        <v>0.51</v>
      </c>
      <c r="AD71" s="12">
        <f>AC71*$D71</f>
        <v>16.451612903225808</v>
      </c>
      <c r="AE71" s="12">
        <f t="shared" ref="AE71:AE82" si="154">$E71*AC71</f>
        <v>12.24</v>
      </c>
      <c r="AF71" s="11">
        <v>0.95</v>
      </c>
      <c r="AG71" s="12">
        <f>AF71*$D71</f>
        <v>30.64516129032258</v>
      </c>
      <c r="AH71" s="12">
        <f t="shared" ref="AH71:AH82" si="155">$E71*AF71</f>
        <v>22.799999999999997</v>
      </c>
      <c r="AI71" s="11">
        <v>0.95</v>
      </c>
      <c r="AJ71" s="12">
        <f>AI71*$D71</f>
        <v>30.64516129032258</v>
      </c>
      <c r="AK71" s="12">
        <f t="shared" ref="AK71:AK82" si="156">$E71*AI71</f>
        <v>22.799999999999997</v>
      </c>
      <c r="AN71" s="26">
        <f>(K71+AA71)/2</f>
        <v>57.258064516129032</v>
      </c>
      <c r="AO71" s="26">
        <f>(L71+AB71)/2</f>
        <v>42.6</v>
      </c>
      <c r="AP71" s="26">
        <f>(N71+AD71)/2</f>
        <v>16.612903225806452</v>
      </c>
      <c r="AQ71" s="26">
        <f>(O71+AE71)/2</f>
        <v>12.36</v>
      </c>
      <c r="AR71" s="26">
        <f>(Q71+AG71)/2</f>
        <v>31.451612903225808</v>
      </c>
      <c r="AS71" s="26">
        <f>(R71+AH71)/2</f>
        <v>23.4</v>
      </c>
      <c r="AT71" s="26">
        <f>(T71+AJ71)/2</f>
        <v>31.451612903225808</v>
      </c>
      <c r="AU71" s="26">
        <f>(U71+AK71)/2</f>
        <v>23.4</v>
      </c>
      <c r="AX71" s="11">
        <v>1.92</v>
      </c>
      <c r="AY71" s="12">
        <f>AX71*$D71</f>
        <v>61.935483870967737</v>
      </c>
      <c r="AZ71" s="12">
        <f t="shared" ref="AZ71:AZ82" si="157">$E71*AX71</f>
        <v>46.08</v>
      </c>
      <c r="BA71" s="11">
        <v>0.55000000000000004</v>
      </c>
      <c r="BB71" s="12">
        <f>BA71*$D71</f>
        <v>17.741935483870968</v>
      </c>
      <c r="BC71" s="12">
        <f t="shared" ref="BC71:BC82" si="158">$E71*BA71</f>
        <v>13.200000000000001</v>
      </c>
      <c r="BD71" s="11">
        <v>0.85</v>
      </c>
      <c r="BE71" s="12">
        <f>BD71*$D71</f>
        <v>27.419354838709676</v>
      </c>
      <c r="BF71" s="12">
        <f t="shared" ref="BF71:BF82" si="159">$E71*BD71</f>
        <v>20.399999999999999</v>
      </c>
      <c r="BG71" s="11">
        <v>0.85</v>
      </c>
      <c r="BH71" s="12">
        <f>BG71*$D71</f>
        <v>27.419354838709676</v>
      </c>
      <c r="BI71" s="12">
        <f t="shared" ref="BI71:BI82" si="160">$E71*BG71</f>
        <v>20.399999999999999</v>
      </c>
    </row>
    <row r="72" spans="1:61" ht="14.4" x14ac:dyDescent="0.3">
      <c r="A72" s="13" t="s">
        <v>2</v>
      </c>
      <c r="B72" s="5">
        <v>28</v>
      </c>
      <c r="C72" s="5">
        <f t="shared" ref="C72:C82" si="161">B72*24</f>
        <v>672</v>
      </c>
      <c r="D72" s="9">
        <f t="shared" si="148"/>
        <v>71.428571428571431</v>
      </c>
      <c r="E72" s="5">
        <v>48</v>
      </c>
      <c r="H72" s="10"/>
      <c r="J72" s="11">
        <v>1.45</v>
      </c>
      <c r="K72" s="12">
        <f t="shared" si="149"/>
        <v>103.57142857142857</v>
      </c>
      <c r="L72" s="12">
        <f t="shared" ref="L72:L82" si="162">$E72*J72</f>
        <v>69.599999999999994</v>
      </c>
      <c r="M72" s="11">
        <v>0.45</v>
      </c>
      <c r="N72" s="12">
        <f t="shared" si="150"/>
        <v>32.142857142857146</v>
      </c>
      <c r="O72" s="12">
        <f t="shared" ref="O72:O82" si="163">$E72*M72</f>
        <v>21.6</v>
      </c>
      <c r="P72" s="11">
        <v>0.98</v>
      </c>
      <c r="Q72" s="12">
        <f t="shared" si="151"/>
        <v>70</v>
      </c>
      <c r="R72" s="12">
        <f t="shared" ref="R72:R82" si="164">$E72*P72</f>
        <v>47.04</v>
      </c>
      <c r="S72" s="11">
        <v>0.98</v>
      </c>
      <c r="T72" s="12">
        <f t="shared" si="152"/>
        <v>70</v>
      </c>
      <c r="U72" s="12">
        <f t="shared" ref="U72:U82" si="165">$E72*S72</f>
        <v>47.04</v>
      </c>
      <c r="X72" s="10"/>
      <c r="Y72" s="10"/>
      <c r="Z72" s="11">
        <v>1.64</v>
      </c>
      <c r="AA72" s="12">
        <f t="shared" ref="AA72:AA82" si="166">Z72*$D72</f>
        <v>117.14285714285714</v>
      </c>
      <c r="AB72" s="12">
        <f t="shared" si="153"/>
        <v>78.72</v>
      </c>
      <c r="AC72" s="11">
        <v>0.44</v>
      </c>
      <c r="AD72" s="12">
        <f t="shared" ref="AD72:AD82" si="167">AC72*$D72</f>
        <v>31.428571428571431</v>
      </c>
      <c r="AE72" s="12">
        <f t="shared" si="154"/>
        <v>21.12</v>
      </c>
      <c r="AF72" s="11">
        <v>0.92</v>
      </c>
      <c r="AG72" s="12">
        <f t="shared" ref="AG72:AG82" si="168">AF72*$D72</f>
        <v>65.714285714285722</v>
      </c>
      <c r="AH72" s="12">
        <f t="shared" si="155"/>
        <v>44.160000000000004</v>
      </c>
      <c r="AI72" s="11">
        <v>0.92</v>
      </c>
      <c r="AJ72" s="12">
        <f t="shared" ref="AJ72:AJ82" si="169">AI72*$D72</f>
        <v>65.714285714285722</v>
      </c>
      <c r="AK72" s="12">
        <f t="shared" si="156"/>
        <v>44.160000000000004</v>
      </c>
      <c r="AN72" s="26">
        <f t="shared" ref="AN72:AN82" si="170">(K72+AA72)/2</f>
        <v>110.35714285714286</v>
      </c>
      <c r="AO72" s="26">
        <f t="shared" ref="AO72:AO77" si="171">(L72+AB72)/2</f>
        <v>74.16</v>
      </c>
      <c r="AP72" s="26">
        <f t="shared" ref="AP72:AP82" si="172">(N72+AD72)/2</f>
        <v>31.785714285714288</v>
      </c>
      <c r="AQ72" s="26">
        <f t="shared" ref="AQ72:AQ77" si="173">(O72+AE72)/2</f>
        <v>21.36</v>
      </c>
      <c r="AR72" s="26">
        <f t="shared" ref="AR72:AR82" si="174">(Q72+AG72)/2</f>
        <v>67.857142857142861</v>
      </c>
      <c r="AS72" s="26">
        <f t="shared" ref="AS72:AS82" si="175">(R72+AH72)/2</f>
        <v>45.6</v>
      </c>
      <c r="AT72" s="26">
        <f t="shared" ref="AT72:AT82" si="176">(T72+AJ72)/2</f>
        <v>67.857142857142861</v>
      </c>
      <c r="AU72" s="26">
        <f t="shared" ref="AU72:AU75" si="177">(U72+AK72)/2</f>
        <v>45.6</v>
      </c>
      <c r="AX72" s="11">
        <v>1.54</v>
      </c>
      <c r="AY72" s="12">
        <f t="shared" ref="AY72:AY82" si="178">AX72*$D72</f>
        <v>110</v>
      </c>
      <c r="AZ72" s="12">
        <f t="shared" si="157"/>
        <v>73.92</v>
      </c>
      <c r="BA72" s="11">
        <v>0.47</v>
      </c>
      <c r="BB72" s="12">
        <f t="shared" ref="BB72:BB82" si="179">BA72*$D72</f>
        <v>33.571428571428569</v>
      </c>
      <c r="BC72" s="12">
        <f t="shared" si="158"/>
        <v>22.56</v>
      </c>
      <c r="BD72" s="11">
        <v>0.8</v>
      </c>
      <c r="BE72" s="12">
        <f t="shared" ref="BE72:BE82" si="180">BD72*$D72</f>
        <v>57.142857142857146</v>
      </c>
      <c r="BF72" s="12">
        <f t="shared" si="159"/>
        <v>38.400000000000006</v>
      </c>
      <c r="BG72" s="11">
        <v>0.8</v>
      </c>
      <c r="BH72" s="12">
        <f t="shared" ref="BH72:BH82" si="181">BG72*$D72</f>
        <v>57.142857142857146</v>
      </c>
      <c r="BI72" s="12">
        <f t="shared" si="160"/>
        <v>38.400000000000006</v>
      </c>
    </row>
    <row r="73" spans="1:61" ht="14.4" x14ac:dyDescent="0.3">
      <c r="A73" s="13" t="s">
        <v>3</v>
      </c>
      <c r="B73" s="5">
        <v>31</v>
      </c>
      <c r="C73" s="5">
        <f t="shared" si="161"/>
        <v>744</v>
      </c>
      <c r="D73" s="9">
        <f t="shared" si="148"/>
        <v>112.90322580645162</v>
      </c>
      <c r="E73" s="5">
        <v>84</v>
      </c>
      <c r="H73" s="10"/>
      <c r="J73" s="11">
        <v>1.25</v>
      </c>
      <c r="K73" s="12">
        <f t="shared" si="149"/>
        <v>141.12903225806451</v>
      </c>
      <c r="L73" s="12">
        <f t="shared" si="162"/>
        <v>105</v>
      </c>
      <c r="M73" s="11">
        <v>0.52</v>
      </c>
      <c r="N73" s="12">
        <f t="shared" si="150"/>
        <v>58.70967741935484</v>
      </c>
      <c r="O73" s="12">
        <f t="shared" si="163"/>
        <v>43.68</v>
      </c>
      <c r="P73" s="11">
        <v>0.96</v>
      </c>
      <c r="Q73" s="12">
        <f t="shared" si="151"/>
        <v>108.38709677419355</v>
      </c>
      <c r="R73" s="12">
        <f t="shared" si="164"/>
        <v>80.64</v>
      </c>
      <c r="S73" s="11">
        <v>0.96</v>
      </c>
      <c r="T73" s="12">
        <f t="shared" si="152"/>
        <v>108.38709677419355</v>
      </c>
      <c r="U73" s="12">
        <f t="shared" si="165"/>
        <v>80.64</v>
      </c>
      <c r="X73" s="10"/>
      <c r="Y73" s="10"/>
      <c r="Z73" s="11">
        <v>1.28</v>
      </c>
      <c r="AA73" s="12">
        <f t="shared" si="166"/>
        <v>144.51612903225808</v>
      </c>
      <c r="AB73" s="12">
        <f t="shared" si="153"/>
        <v>107.52</v>
      </c>
      <c r="AC73" s="11">
        <v>0.35</v>
      </c>
      <c r="AD73" s="12">
        <f t="shared" si="167"/>
        <v>39.516129032258064</v>
      </c>
      <c r="AE73" s="12">
        <f t="shared" si="154"/>
        <v>29.4</v>
      </c>
      <c r="AF73" s="11">
        <v>0.85</v>
      </c>
      <c r="AG73" s="12">
        <f t="shared" si="168"/>
        <v>95.967741935483872</v>
      </c>
      <c r="AH73" s="12">
        <f t="shared" si="155"/>
        <v>71.399999999999991</v>
      </c>
      <c r="AI73" s="11">
        <v>0.85</v>
      </c>
      <c r="AJ73" s="12">
        <f t="shared" si="169"/>
        <v>95.967741935483872</v>
      </c>
      <c r="AK73" s="12">
        <f t="shared" si="156"/>
        <v>71.399999999999991</v>
      </c>
      <c r="AN73" s="26">
        <f t="shared" si="170"/>
        <v>142.82258064516128</v>
      </c>
      <c r="AO73" s="26">
        <f t="shared" si="171"/>
        <v>106.25999999999999</v>
      </c>
      <c r="AP73" s="26">
        <f t="shared" si="172"/>
        <v>49.112903225806448</v>
      </c>
      <c r="AQ73" s="26">
        <f t="shared" si="173"/>
        <v>36.54</v>
      </c>
      <c r="AR73" s="26">
        <f t="shared" si="174"/>
        <v>102.17741935483872</v>
      </c>
      <c r="AS73" s="26">
        <f t="shared" si="175"/>
        <v>76.02</v>
      </c>
      <c r="AT73" s="26">
        <f t="shared" si="176"/>
        <v>102.17741935483872</v>
      </c>
      <c r="AU73" s="26">
        <f t="shared" si="177"/>
        <v>76.02</v>
      </c>
      <c r="AX73" s="11">
        <v>1.06</v>
      </c>
      <c r="AY73" s="12">
        <f t="shared" si="178"/>
        <v>119.67741935483872</v>
      </c>
      <c r="AZ73" s="12">
        <f t="shared" si="157"/>
        <v>89.04</v>
      </c>
      <c r="BA73" s="11">
        <v>0.34</v>
      </c>
      <c r="BB73" s="12">
        <f t="shared" si="179"/>
        <v>38.387096774193552</v>
      </c>
      <c r="BC73" s="12">
        <f t="shared" si="158"/>
        <v>28.560000000000002</v>
      </c>
      <c r="BD73" s="11">
        <v>0.67</v>
      </c>
      <c r="BE73" s="12">
        <f t="shared" si="180"/>
        <v>75.645161290322591</v>
      </c>
      <c r="BF73" s="12">
        <f t="shared" si="159"/>
        <v>56.28</v>
      </c>
      <c r="BG73" s="11">
        <v>0.67</v>
      </c>
      <c r="BH73" s="12">
        <f t="shared" si="181"/>
        <v>75.645161290322591</v>
      </c>
      <c r="BI73" s="12">
        <f t="shared" si="160"/>
        <v>56.28</v>
      </c>
    </row>
    <row r="74" spans="1:61" ht="14.4" x14ac:dyDescent="0.3">
      <c r="A74" s="13" t="s">
        <v>4</v>
      </c>
      <c r="B74" s="5">
        <v>30</v>
      </c>
      <c r="C74" s="5">
        <f t="shared" si="161"/>
        <v>720</v>
      </c>
      <c r="D74" s="9">
        <f t="shared" si="148"/>
        <v>172.22222222222223</v>
      </c>
      <c r="E74" s="5">
        <v>124</v>
      </c>
      <c r="H74" s="10"/>
      <c r="J74" s="11">
        <v>1.0900000000000001</v>
      </c>
      <c r="K74" s="12">
        <f t="shared" si="149"/>
        <v>187.72222222222226</v>
      </c>
      <c r="L74" s="12">
        <f t="shared" si="162"/>
        <v>135.16</v>
      </c>
      <c r="M74" s="11">
        <v>0.68</v>
      </c>
      <c r="N74" s="12">
        <f t="shared" si="150"/>
        <v>117.11111111111113</v>
      </c>
      <c r="O74" s="12">
        <f t="shared" si="163"/>
        <v>84.320000000000007</v>
      </c>
      <c r="P74" s="11">
        <v>0.94</v>
      </c>
      <c r="Q74" s="12">
        <f t="shared" si="151"/>
        <v>161.88888888888889</v>
      </c>
      <c r="R74" s="12">
        <f t="shared" si="164"/>
        <v>116.55999999999999</v>
      </c>
      <c r="S74" s="11">
        <v>0.94</v>
      </c>
      <c r="T74" s="12">
        <f t="shared" si="152"/>
        <v>161.88888888888889</v>
      </c>
      <c r="U74" s="12">
        <f t="shared" si="165"/>
        <v>116.55999999999999</v>
      </c>
      <c r="X74" s="10"/>
      <c r="Y74" s="10"/>
      <c r="Z74" s="11">
        <v>0.99</v>
      </c>
      <c r="AA74" s="12">
        <f>Z74*$D74</f>
        <v>170.5</v>
      </c>
      <c r="AB74" s="12">
        <f t="shared" si="153"/>
        <v>122.76</v>
      </c>
      <c r="AC74" s="11">
        <v>0.34</v>
      </c>
      <c r="AD74" s="12">
        <f>AC74*$D74</f>
        <v>58.555555555555564</v>
      </c>
      <c r="AE74" s="12">
        <f t="shared" si="154"/>
        <v>42.160000000000004</v>
      </c>
      <c r="AF74" s="11">
        <v>0.81</v>
      </c>
      <c r="AG74" s="12">
        <f>AF74*$D74</f>
        <v>139.50000000000003</v>
      </c>
      <c r="AH74" s="12">
        <f t="shared" si="155"/>
        <v>100.44000000000001</v>
      </c>
      <c r="AI74" s="11">
        <v>0.81</v>
      </c>
      <c r="AJ74" s="12">
        <f>AI74*$D74</f>
        <v>139.50000000000003</v>
      </c>
      <c r="AK74" s="12">
        <f t="shared" si="156"/>
        <v>100.44000000000001</v>
      </c>
      <c r="AN74" s="26">
        <f t="shared" si="170"/>
        <v>179.11111111111114</v>
      </c>
      <c r="AO74" s="26">
        <f t="shared" si="171"/>
        <v>128.96</v>
      </c>
      <c r="AP74" s="26">
        <f t="shared" si="172"/>
        <v>87.833333333333343</v>
      </c>
      <c r="AQ74" s="26">
        <f t="shared" si="173"/>
        <v>63.240000000000009</v>
      </c>
      <c r="AR74" s="26">
        <f t="shared" si="174"/>
        <v>150.69444444444446</v>
      </c>
      <c r="AS74" s="26">
        <f t="shared" si="175"/>
        <v>108.5</v>
      </c>
      <c r="AT74" s="26">
        <f t="shared" si="176"/>
        <v>150.69444444444446</v>
      </c>
      <c r="AU74" s="26">
        <f t="shared" si="177"/>
        <v>108.5</v>
      </c>
      <c r="AX74" s="11">
        <v>0.72</v>
      </c>
      <c r="AY74" s="12">
        <f>AX74*$D74</f>
        <v>124</v>
      </c>
      <c r="AZ74" s="12">
        <f t="shared" si="157"/>
        <v>89.28</v>
      </c>
      <c r="BA74" s="11">
        <v>0.3</v>
      </c>
      <c r="BB74" s="12">
        <f>BA74*$D74</f>
        <v>51.666666666666664</v>
      </c>
      <c r="BC74" s="12">
        <f t="shared" si="158"/>
        <v>37.199999999999996</v>
      </c>
      <c r="BD74" s="11">
        <v>0.59</v>
      </c>
      <c r="BE74" s="12">
        <f>BD74*$D74</f>
        <v>101.61111111111111</v>
      </c>
      <c r="BF74" s="12">
        <f t="shared" si="159"/>
        <v>73.16</v>
      </c>
      <c r="BG74" s="11">
        <v>0.59</v>
      </c>
      <c r="BH74" s="12">
        <f>BG74*$D74</f>
        <v>101.61111111111111</v>
      </c>
      <c r="BI74" s="12">
        <f t="shared" si="160"/>
        <v>73.16</v>
      </c>
    </row>
    <row r="75" spans="1:61" ht="14.4" x14ac:dyDescent="0.3">
      <c r="A75" s="13" t="s">
        <v>22</v>
      </c>
      <c r="B75" s="5">
        <v>31</v>
      </c>
      <c r="C75" s="5">
        <f t="shared" si="161"/>
        <v>744</v>
      </c>
      <c r="D75" s="9">
        <f t="shared" si="148"/>
        <v>205.64516129032259</v>
      </c>
      <c r="E75" s="5">
        <v>153</v>
      </c>
      <c r="H75" s="10"/>
      <c r="I75" s="4" t="s">
        <v>30</v>
      </c>
      <c r="J75" s="11">
        <v>1.01</v>
      </c>
      <c r="K75" s="12">
        <f t="shared" si="149"/>
        <v>207.70161290322582</v>
      </c>
      <c r="L75" s="12">
        <f t="shared" si="162"/>
        <v>154.53</v>
      </c>
      <c r="M75" s="11">
        <v>0.79</v>
      </c>
      <c r="N75" s="12">
        <f t="shared" si="150"/>
        <v>162.45967741935485</v>
      </c>
      <c r="O75" s="12">
        <f t="shared" si="163"/>
        <v>120.87</v>
      </c>
      <c r="P75" s="11">
        <v>0.94</v>
      </c>
      <c r="Q75" s="12">
        <f t="shared" si="151"/>
        <v>193.30645161290323</v>
      </c>
      <c r="R75" s="12">
        <f t="shared" si="164"/>
        <v>143.82</v>
      </c>
      <c r="S75" s="11">
        <v>0.94</v>
      </c>
      <c r="T75" s="12">
        <f t="shared" si="152"/>
        <v>193.30645161290323</v>
      </c>
      <c r="U75" s="12">
        <f t="shared" si="165"/>
        <v>143.82</v>
      </c>
      <c r="W75" s="4" t="s">
        <v>30</v>
      </c>
      <c r="X75" s="10"/>
      <c r="Y75" s="10"/>
      <c r="Z75" s="11">
        <v>0.84</v>
      </c>
      <c r="AA75" s="12">
        <f t="shared" si="166"/>
        <v>172.74193548387098</v>
      </c>
      <c r="AB75" s="12">
        <f t="shared" si="153"/>
        <v>128.51999999999998</v>
      </c>
      <c r="AC75" s="11">
        <v>0.4</v>
      </c>
      <c r="AD75" s="12">
        <f t="shared" si="167"/>
        <v>82.258064516129039</v>
      </c>
      <c r="AE75" s="12">
        <f t="shared" si="154"/>
        <v>61.2</v>
      </c>
      <c r="AF75" s="11">
        <v>0.79</v>
      </c>
      <c r="AG75" s="12">
        <f t="shared" si="168"/>
        <v>162.45967741935485</v>
      </c>
      <c r="AH75" s="12">
        <f t="shared" si="155"/>
        <v>120.87</v>
      </c>
      <c r="AI75" s="11">
        <v>0.79</v>
      </c>
      <c r="AJ75" s="12">
        <f t="shared" si="169"/>
        <v>162.45967741935485</v>
      </c>
      <c r="AK75" s="12">
        <f t="shared" si="156"/>
        <v>120.87</v>
      </c>
      <c r="AM75" s="4" t="s">
        <v>30</v>
      </c>
      <c r="AN75" s="26">
        <f t="shared" si="170"/>
        <v>190.22177419354841</v>
      </c>
      <c r="AO75" s="26">
        <f t="shared" si="171"/>
        <v>141.52499999999998</v>
      </c>
      <c r="AP75" s="26">
        <f t="shared" si="172"/>
        <v>122.35887096774195</v>
      </c>
      <c r="AQ75" s="26">
        <f t="shared" si="173"/>
        <v>91.034999999999997</v>
      </c>
      <c r="AR75" s="26">
        <f t="shared" si="174"/>
        <v>177.88306451612902</v>
      </c>
      <c r="AS75" s="26">
        <f t="shared" si="175"/>
        <v>132.345</v>
      </c>
      <c r="AT75" s="26">
        <f t="shared" si="176"/>
        <v>177.88306451612902</v>
      </c>
      <c r="AU75" s="26">
        <f t="shared" si="177"/>
        <v>132.345</v>
      </c>
      <c r="AW75" s="4" t="s">
        <v>68</v>
      </c>
      <c r="AX75" s="11">
        <v>0.55000000000000004</v>
      </c>
      <c r="AY75" s="12">
        <f t="shared" si="178"/>
        <v>113.10483870967744</v>
      </c>
      <c r="AZ75" s="12">
        <f t="shared" si="157"/>
        <v>84.15</v>
      </c>
      <c r="BA75" s="11">
        <v>0.3</v>
      </c>
      <c r="BB75" s="12">
        <f t="shared" si="179"/>
        <v>61.693548387096776</v>
      </c>
      <c r="BC75" s="12">
        <f t="shared" si="158"/>
        <v>45.9</v>
      </c>
      <c r="BD75" s="11">
        <v>0.56000000000000005</v>
      </c>
      <c r="BE75" s="12">
        <f t="shared" si="180"/>
        <v>115.16129032258065</v>
      </c>
      <c r="BF75" s="12">
        <f t="shared" si="159"/>
        <v>85.68</v>
      </c>
      <c r="BG75" s="11">
        <v>0.56000000000000005</v>
      </c>
      <c r="BH75" s="12">
        <f t="shared" si="181"/>
        <v>115.16129032258065</v>
      </c>
      <c r="BI75" s="12">
        <f t="shared" si="160"/>
        <v>85.68</v>
      </c>
    </row>
    <row r="76" spans="1:61" ht="14.4" x14ac:dyDescent="0.3">
      <c r="A76" s="13" t="s">
        <v>23</v>
      </c>
      <c r="B76" s="5">
        <v>30</v>
      </c>
      <c r="C76" s="5">
        <f t="shared" si="161"/>
        <v>720</v>
      </c>
      <c r="D76" s="9">
        <f t="shared" si="148"/>
        <v>225</v>
      </c>
      <c r="E76" s="5">
        <v>162</v>
      </c>
      <c r="H76" s="10"/>
      <c r="J76" s="11">
        <v>0.97</v>
      </c>
      <c r="K76" s="12">
        <f t="shared" si="149"/>
        <v>218.25</v>
      </c>
      <c r="L76" s="12">
        <f t="shared" si="162"/>
        <v>157.13999999999999</v>
      </c>
      <c r="M76" s="11">
        <v>0.82</v>
      </c>
      <c r="N76" s="12">
        <f t="shared" si="150"/>
        <v>184.5</v>
      </c>
      <c r="O76" s="12">
        <f t="shared" si="163"/>
        <v>132.84</v>
      </c>
      <c r="P76" s="11">
        <v>0.93</v>
      </c>
      <c r="Q76" s="12">
        <f t="shared" si="151"/>
        <v>209.25</v>
      </c>
      <c r="R76" s="12">
        <f t="shared" si="164"/>
        <v>150.66</v>
      </c>
      <c r="S76" s="11">
        <v>0.93</v>
      </c>
      <c r="T76" s="12">
        <f t="shared" si="152"/>
        <v>209.25</v>
      </c>
      <c r="U76" s="12">
        <f t="shared" si="165"/>
        <v>150.66</v>
      </c>
      <c r="X76" s="10"/>
      <c r="Y76" s="10"/>
      <c r="Z76" s="11">
        <v>0.78</v>
      </c>
      <c r="AA76" s="12">
        <f t="shared" si="166"/>
        <v>175.5</v>
      </c>
      <c r="AB76" s="12">
        <f t="shared" si="153"/>
        <v>126.36</v>
      </c>
      <c r="AC76" s="11">
        <v>0.45</v>
      </c>
      <c r="AD76" s="12">
        <f t="shared" si="167"/>
        <v>101.25</v>
      </c>
      <c r="AE76" s="12">
        <f t="shared" si="154"/>
        <v>72.900000000000006</v>
      </c>
      <c r="AF76" s="11">
        <v>0.78</v>
      </c>
      <c r="AG76" s="12">
        <f t="shared" si="168"/>
        <v>175.5</v>
      </c>
      <c r="AH76" s="12">
        <f t="shared" si="155"/>
        <v>126.36</v>
      </c>
      <c r="AI76" s="11">
        <v>0.78</v>
      </c>
      <c r="AJ76" s="12">
        <f t="shared" si="169"/>
        <v>175.5</v>
      </c>
      <c r="AK76" s="12">
        <f t="shared" si="156"/>
        <v>126.36</v>
      </c>
      <c r="AN76" s="26">
        <f t="shared" si="170"/>
        <v>196.875</v>
      </c>
      <c r="AO76" s="26">
        <f t="shared" si="171"/>
        <v>141.75</v>
      </c>
      <c r="AP76" s="26">
        <f t="shared" si="172"/>
        <v>142.875</v>
      </c>
      <c r="AQ76" s="26">
        <f t="shared" si="173"/>
        <v>102.87</v>
      </c>
      <c r="AR76" s="26">
        <f t="shared" si="174"/>
        <v>192.375</v>
      </c>
      <c r="AS76" s="26">
        <f t="shared" si="175"/>
        <v>138.51</v>
      </c>
      <c r="AT76" s="26">
        <f t="shared" si="176"/>
        <v>192.375</v>
      </c>
      <c r="AU76" s="26">
        <f>(U76+AK76)/2</f>
        <v>138.51</v>
      </c>
      <c r="AW76" s="4" t="s">
        <v>65</v>
      </c>
      <c r="AX76" s="11">
        <v>0.5</v>
      </c>
      <c r="AY76" s="12">
        <f t="shared" si="178"/>
        <v>112.5</v>
      </c>
      <c r="AZ76" s="12">
        <f t="shared" si="157"/>
        <v>81</v>
      </c>
      <c r="BA76" s="11">
        <v>0.32</v>
      </c>
      <c r="BB76" s="12">
        <f t="shared" si="179"/>
        <v>72</v>
      </c>
      <c r="BC76" s="12">
        <f t="shared" si="158"/>
        <v>51.84</v>
      </c>
      <c r="BD76" s="11">
        <v>0.55000000000000004</v>
      </c>
      <c r="BE76" s="12">
        <f t="shared" si="180"/>
        <v>123.75000000000001</v>
      </c>
      <c r="BF76" s="12">
        <f t="shared" si="159"/>
        <v>89.100000000000009</v>
      </c>
      <c r="BG76" s="11">
        <v>0.55000000000000004</v>
      </c>
      <c r="BH76" s="12">
        <f t="shared" si="181"/>
        <v>123.75000000000001</v>
      </c>
      <c r="BI76" s="12">
        <f t="shared" si="160"/>
        <v>89.100000000000009</v>
      </c>
    </row>
    <row r="77" spans="1:61" ht="14.4" x14ac:dyDescent="0.3">
      <c r="A77" s="13" t="s">
        <v>24</v>
      </c>
      <c r="B77" s="5">
        <v>31</v>
      </c>
      <c r="C77" s="5">
        <f t="shared" si="161"/>
        <v>744</v>
      </c>
      <c r="D77" s="9">
        <f t="shared" si="148"/>
        <v>209.67741935483872</v>
      </c>
      <c r="E77" s="5">
        <v>156</v>
      </c>
      <c r="H77" s="10"/>
      <c r="J77" s="11">
        <v>0.98</v>
      </c>
      <c r="K77" s="12">
        <f t="shared" si="149"/>
        <v>205.48387096774195</v>
      </c>
      <c r="L77" s="12">
        <f t="shared" si="162"/>
        <v>152.88</v>
      </c>
      <c r="M77" s="11">
        <v>0.81</v>
      </c>
      <c r="N77" s="12">
        <f t="shared" si="150"/>
        <v>169.83870967741936</v>
      </c>
      <c r="O77" s="12">
        <f t="shared" si="163"/>
        <v>126.36000000000001</v>
      </c>
      <c r="P77" s="11">
        <v>0.93</v>
      </c>
      <c r="Q77" s="12">
        <f t="shared" si="151"/>
        <v>195.00000000000003</v>
      </c>
      <c r="R77" s="12">
        <f t="shared" si="164"/>
        <v>145.08000000000001</v>
      </c>
      <c r="S77" s="11">
        <v>0.93</v>
      </c>
      <c r="T77" s="12">
        <f t="shared" si="152"/>
        <v>195.00000000000003</v>
      </c>
      <c r="U77" s="12">
        <f t="shared" si="165"/>
        <v>145.08000000000001</v>
      </c>
      <c r="X77" s="10"/>
      <c r="Y77" s="10"/>
      <c r="Z77" s="11">
        <v>0.81</v>
      </c>
      <c r="AA77" s="12">
        <f t="shared" si="166"/>
        <v>169.83870967741936</v>
      </c>
      <c r="AB77" s="12">
        <f t="shared" si="153"/>
        <v>126.36000000000001</v>
      </c>
      <c r="AC77" s="11">
        <v>0.42</v>
      </c>
      <c r="AD77" s="12">
        <f t="shared" si="167"/>
        <v>88.064516129032256</v>
      </c>
      <c r="AE77" s="12">
        <f t="shared" si="154"/>
        <v>65.52</v>
      </c>
      <c r="AF77" s="11">
        <v>0.78</v>
      </c>
      <c r="AG77" s="12">
        <f t="shared" si="168"/>
        <v>163.54838709677421</v>
      </c>
      <c r="AH77" s="12">
        <f t="shared" si="155"/>
        <v>121.68</v>
      </c>
      <c r="AI77" s="11">
        <v>0.78</v>
      </c>
      <c r="AJ77" s="12">
        <f t="shared" si="169"/>
        <v>163.54838709677421</v>
      </c>
      <c r="AK77" s="12">
        <f t="shared" si="156"/>
        <v>121.68</v>
      </c>
      <c r="AN77" s="26">
        <f t="shared" si="170"/>
        <v>187.66129032258067</v>
      </c>
      <c r="AO77" s="26">
        <f t="shared" si="171"/>
        <v>139.62</v>
      </c>
      <c r="AP77" s="26">
        <f t="shared" si="172"/>
        <v>128.95161290322579</v>
      </c>
      <c r="AQ77" s="26">
        <f t="shared" si="173"/>
        <v>95.94</v>
      </c>
      <c r="AR77" s="26">
        <f t="shared" si="174"/>
        <v>179.27419354838713</v>
      </c>
      <c r="AS77" s="26">
        <f t="shared" si="175"/>
        <v>133.38</v>
      </c>
      <c r="AT77" s="26">
        <f t="shared" si="176"/>
        <v>179.27419354838713</v>
      </c>
      <c r="AU77" s="26">
        <f t="shared" ref="AU77:AU78" si="182">(U77+AK77)/2</f>
        <v>133.38</v>
      </c>
      <c r="AX77" s="11">
        <v>0.52</v>
      </c>
      <c r="AY77" s="12">
        <f t="shared" si="178"/>
        <v>109.03225806451614</v>
      </c>
      <c r="AZ77" s="12">
        <f t="shared" si="157"/>
        <v>81.12</v>
      </c>
      <c r="BA77" s="11">
        <v>0.31</v>
      </c>
      <c r="BB77" s="12">
        <f t="shared" si="179"/>
        <v>65</v>
      </c>
      <c r="BC77" s="12">
        <f t="shared" si="158"/>
        <v>48.36</v>
      </c>
      <c r="BD77" s="11">
        <v>0.55000000000000004</v>
      </c>
      <c r="BE77" s="12">
        <f t="shared" si="180"/>
        <v>115.32258064516131</v>
      </c>
      <c r="BF77" s="12">
        <f t="shared" si="159"/>
        <v>85.800000000000011</v>
      </c>
      <c r="BG77" s="11">
        <v>0.55000000000000004</v>
      </c>
      <c r="BH77" s="12">
        <f t="shared" si="181"/>
        <v>115.32258064516131</v>
      </c>
      <c r="BI77" s="12">
        <f t="shared" si="160"/>
        <v>85.800000000000011</v>
      </c>
    </row>
    <row r="78" spans="1:61" ht="14.4" x14ac:dyDescent="0.3">
      <c r="A78" s="13" t="s">
        <v>25</v>
      </c>
      <c r="B78" s="5">
        <v>31</v>
      </c>
      <c r="C78" s="5">
        <f t="shared" si="161"/>
        <v>744</v>
      </c>
      <c r="D78" s="9">
        <f t="shared" si="148"/>
        <v>180.10752688172042</v>
      </c>
      <c r="E78" s="5">
        <v>134</v>
      </c>
      <c r="H78" s="10"/>
      <c r="J78" s="11">
        <v>1.04</v>
      </c>
      <c r="K78" s="12">
        <f t="shared" si="149"/>
        <v>187.31182795698925</v>
      </c>
      <c r="L78" s="12">
        <f t="shared" si="162"/>
        <v>139.36000000000001</v>
      </c>
      <c r="M78" s="11">
        <v>0.73</v>
      </c>
      <c r="N78" s="12">
        <f t="shared" si="150"/>
        <v>131.47849462365591</v>
      </c>
      <c r="O78" s="12">
        <f t="shared" si="163"/>
        <v>97.82</v>
      </c>
      <c r="P78" s="11">
        <v>0.94</v>
      </c>
      <c r="Q78" s="12">
        <f t="shared" si="151"/>
        <v>169.30107526881719</v>
      </c>
      <c r="R78" s="12">
        <f t="shared" si="164"/>
        <v>125.96</v>
      </c>
      <c r="S78" s="11">
        <v>0.94</v>
      </c>
      <c r="T78" s="12">
        <f t="shared" si="152"/>
        <v>169.30107526881719</v>
      </c>
      <c r="U78" s="12">
        <f t="shared" si="165"/>
        <v>125.96</v>
      </c>
      <c r="X78" s="10"/>
      <c r="Y78" s="10"/>
      <c r="Z78" s="11">
        <v>0.91</v>
      </c>
      <c r="AA78" s="12">
        <f t="shared" si="166"/>
        <v>163.8978494623656</v>
      </c>
      <c r="AB78" s="12">
        <f t="shared" si="153"/>
        <v>121.94</v>
      </c>
      <c r="AC78" s="11">
        <v>0.35</v>
      </c>
      <c r="AD78" s="12">
        <f t="shared" si="167"/>
        <v>63.037634408602145</v>
      </c>
      <c r="AE78" s="12">
        <f t="shared" si="154"/>
        <v>46.9</v>
      </c>
      <c r="AF78" s="11">
        <v>0.79</v>
      </c>
      <c r="AG78" s="12">
        <f t="shared" si="168"/>
        <v>142.28494623655914</v>
      </c>
      <c r="AH78" s="12">
        <f t="shared" si="155"/>
        <v>105.86</v>
      </c>
      <c r="AI78" s="11">
        <v>0.79</v>
      </c>
      <c r="AJ78" s="12">
        <f t="shared" si="169"/>
        <v>142.28494623655914</v>
      </c>
      <c r="AK78" s="12">
        <f t="shared" si="156"/>
        <v>105.86</v>
      </c>
      <c r="AN78" s="26">
        <f t="shared" si="170"/>
        <v>175.60483870967744</v>
      </c>
      <c r="AO78" s="26">
        <f>(L78+AB78)/2</f>
        <v>130.65</v>
      </c>
      <c r="AP78" s="26">
        <f t="shared" si="172"/>
        <v>97.258064516129025</v>
      </c>
      <c r="AQ78" s="26">
        <f>(O78+AE78)/2</f>
        <v>72.36</v>
      </c>
      <c r="AR78" s="26">
        <f t="shared" si="174"/>
        <v>155.79301075268816</v>
      </c>
      <c r="AS78" s="26">
        <f t="shared" si="175"/>
        <v>115.91</v>
      </c>
      <c r="AT78" s="26">
        <f t="shared" si="176"/>
        <v>155.79301075268816</v>
      </c>
      <c r="AU78" s="26">
        <f t="shared" si="182"/>
        <v>115.91</v>
      </c>
      <c r="AX78" s="11">
        <v>0.62</v>
      </c>
      <c r="AY78" s="12">
        <f t="shared" si="178"/>
        <v>111.66666666666666</v>
      </c>
      <c r="AZ78" s="12">
        <f t="shared" si="157"/>
        <v>83.08</v>
      </c>
      <c r="BA78" s="11">
        <v>0.3</v>
      </c>
      <c r="BB78" s="12">
        <f t="shared" si="179"/>
        <v>54.032258064516121</v>
      </c>
      <c r="BC78" s="12">
        <f t="shared" si="158"/>
        <v>40.199999999999996</v>
      </c>
      <c r="BD78" s="11">
        <v>0.56999999999999995</v>
      </c>
      <c r="BE78" s="12">
        <f t="shared" si="180"/>
        <v>102.66129032258063</v>
      </c>
      <c r="BF78" s="12">
        <f t="shared" si="159"/>
        <v>76.38</v>
      </c>
      <c r="BG78" s="11">
        <v>0.56999999999999995</v>
      </c>
      <c r="BH78" s="12">
        <f t="shared" si="181"/>
        <v>102.66129032258063</v>
      </c>
      <c r="BI78" s="12">
        <f t="shared" si="160"/>
        <v>76.38</v>
      </c>
    </row>
    <row r="79" spans="1:61" ht="14.4" x14ac:dyDescent="0.3">
      <c r="A79" s="13" t="s">
        <v>26</v>
      </c>
      <c r="B79" s="5">
        <v>30</v>
      </c>
      <c r="C79" s="5">
        <f t="shared" si="161"/>
        <v>720</v>
      </c>
      <c r="D79" s="9">
        <f t="shared" si="148"/>
        <v>138.88888888888889</v>
      </c>
      <c r="E79" s="5">
        <v>100</v>
      </c>
      <c r="H79" s="10"/>
      <c r="J79" s="11">
        <v>1.17</v>
      </c>
      <c r="K79" s="12">
        <f t="shared" si="149"/>
        <v>162.5</v>
      </c>
      <c r="L79" s="12">
        <f t="shared" si="162"/>
        <v>117</v>
      </c>
      <c r="M79" s="11">
        <v>0.59</v>
      </c>
      <c r="N79" s="12">
        <f t="shared" si="150"/>
        <v>81.944444444444443</v>
      </c>
      <c r="O79" s="12">
        <f t="shared" si="163"/>
        <v>59</v>
      </c>
      <c r="P79" s="11">
        <v>0.95</v>
      </c>
      <c r="Q79" s="12">
        <f t="shared" si="151"/>
        <v>131.94444444444443</v>
      </c>
      <c r="R79" s="12">
        <f t="shared" si="164"/>
        <v>95</v>
      </c>
      <c r="S79" s="11">
        <v>0.95</v>
      </c>
      <c r="T79" s="12">
        <f t="shared" si="152"/>
        <v>131.94444444444443</v>
      </c>
      <c r="U79" s="12">
        <f t="shared" si="165"/>
        <v>95</v>
      </c>
      <c r="X79" s="10"/>
      <c r="Y79" s="10"/>
      <c r="Z79" s="11">
        <v>1.1100000000000001</v>
      </c>
      <c r="AA79" s="12">
        <f t="shared" si="166"/>
        <v>154.16666666666669</v>
      </c>
      <c r="AB79" s="12">
        <f t="shared" si="153"/>
        <v>111.00000000000001</v>
      </c>
      <c r="AC79" s="11">
        <v>0.31</v>
      </c>
      <c r="AD79" s="12">
        <f t="shared" si="167"/>
        <v>43.055555555555557</v>
      </c>
      <c r="AE79" s="12">
        <f t="shared" si="154"/>
        <v>31</v>
      </c>
      <c r="AF79" s="11">
        <v>0.81</v>
      </c>
      <c r="AG79" s="12">
        <f t="shared" si="168"/>
        <v>112.5</v>
      </c>
      <c r="AH79" s="12">
        <f t="shared" si="155"/>
        <v>81</v>
      </c>
      <c r="AI79" s="11">
        <v>0.81</v>
      </c>
      <c r="AJ79" s="12">
        <f t="shared" si="169"/>
        <v>112.5</v>
      </c>
      <c r="AK79" s="12">
        <f t="shared" si="156"/>
        <v>81</v>
      </c>
      <c r="AN79" s="26">
        <f t="shared" si="170"/>
        <v>158.33333333333334</v>
      </c>
      <c r="AO79" s="26">
        <f t="shared" ref="AO79:AO82" si="183">(L79+AB79)/2</f>
        <v>114</v>
      </c>
      <c r="AP79" s="26">
        <f t="shared" si="172"/>
        <v>62.5</v>
      </c>
      <c r="AQ79" s="26">
        <f t="shared" ref="AQ79:AQ82" si="184">(O79+AE79)/2</f>
        <v>45</v>
      </c>
      <c r="AR79" s="26">
        <f t="shared" si="174"/>
        <v>122.22222222222221</v>
      </c>
      <c r="AS79" s="26">
        <f t="shared" si="175"/>
        <v>88</v>
      </c>
      <c r="AT79" s="26">
        <f t="shared" si="176"/>
        <v>122.22222222222221</v>
      </c>
      <c r="AU79" s="26">
        <f>(U79+AK79)/2</f>
        <v>88</v>
      </c>
      <c r="AX79" s="11">
        <v>0.85</v>
      </c>
      <c r="AY79" s="12">
        <f t="shared" si="178"/>
        <v>118.05555555555554</v>
      </c>
      <c r="AZ79" s="12">
        <f t="shared" si="157"/>
        <v>85</v>
      </c>
      <c r="BA79" s="11">
        <v>0.28000000000000003</v>
      </c>
      <c r="BB79" s="12">
        <f t="shared" si="179"/>
        <v>38.888888888888893</v>
      </c>
      <c r="BC79" s="12">
        <f t="shared" si="158"/>
        <v>28.000000000000004</v>
      </c>
      <c r="BD79" s="11">
        <v>0.6</v>
      </c>
      <c r="BE79" s="12">
        <f t="shared" si="180"/>
        <v>83.333333333333329</v>
      </c>
      <c r="BF79" s="12">
        <f t="shared" si="159"/>
        <v>60</v>
      </c>
      <c r="BG79" s="11">
        <v>0.6</v>
      </c>
      <c r="BH79" s="12">
        <f t="shared" si="181"/>
        <v>83.333333333333329</v>
      </c>
      <c r="BI79" s="12">
        <f t="shared" si="160"/>
        <v>60</v>
      </c>
    </row>
    <row r="80" spans="1:61" ht="14.4" x14ac:dyDescent="0.3">
      <c r="A80" s="13" t="s">
        <v>5</v>
      </c>
      <c r="B80" s="5">
        <v>31</v>
      </c>
      <c r="C80" s="5">
        <f t="shared" si="161"/>
        <v>744</v>
      </c>
      <c r="D80" s="9">
        <f t="shared" si="148"/>
        <v>79.3010752688172</v>
      </c>
      <c r="E80" s="5">
        <v>59</v>
      </c>
      <c r="H80" s="10"/>
      <c r="J80" s="11">
        <v>1.33</v>
      </c>
      <c r="K80" s="12">
        <f t="shared" si="149"/>
        <v>105.47043010752688</v>
      </c>
      <c r="L80" s="12">
        <f t="shared" si="162"/>
        <v>78.47</v>
      </c>
      <c r="M80" s="11">
        <v>0.45</v>
      </c>
      <c r="N80" s="12">
        <f t="shared" si="150"/>
        <v>35.685483870967744</v>
      </c>
      <c r="O80" s="12">
        <f t="shared" si="163"/>
        <v>26.55</v>
      </c>
      <c r="P80" s="11">
        <v>0.96</v>
      </c>
      <c r="Q80" s="12">
        <f t="shared" si="151"/>
        <v>76.129032258064512</v>
      </c>
      <c r="R80" s="12">
        <f t="shared" si="164"/>
        <v>56.64</v>
      </c>
      <c r="S80" s="11">
        <v>0.96</v>
      </c>
      <c r="T80" s="12">
        <f t="shared" si="152"/>
        <v>76.129032258064512</v>
      </c>
      <c r="U80" s="12">
        <f t="shared" si="165"/>
        <v>56.64</v>
      </c>
      <c r="X80" s="10"/>
      <c r="Y80" s="10"/>
      <c r="Z80" s="11">
        <v>1.4</v>
      </c>
      <c r="AA80" s="12">
        <f t="shared" si="166"/>
        <v>111.02150537634408</v>
      </c>
      <c r="AB80" s="12">
        <f t="shared" si="153"/>
        <v>82.6</v>
      </c>
      <c r="AC80" s="11">
        <v>0.34</v>
      </c>
      <c r="AD80" s="12">
        <f t="shared" si="167"/>
        <v>26.962365591397852</v>
      </c>
      <c r="AE80" s="12">
        <f t="shared" si="154"/>
        <v>20.060000000000002</v>
      </c>
      <c r="AF80" s="11">
        <v>0.84</v>
      </c>
      <c r="AG80" s="12">
        <f t="shared" si="168"/>
        <v>66.612903225806448</v>
      </c>
      <c r="AH80" s="12">
        <f t="shared" si="155"/>
        <v>49.559999999999995</v>
      </c>
      <c r="AI80" s="11">
        <v>0.84</v>
      </c>
      <c r="AJ80" s="12">
        <f t="shared" si="169"/>
        <v>66.612903225806448</v>
      </c>
      <c r="AK80" s="12">
        <f t="shared" si="156"/>
        <v>49.559999999999995</v>
      </c>
      <c r="AN80" s="26">
        <f t="shared" si="170"/>
        <v>108.24596774193549</v>
      </c>
      <c r="AO80" s="26">
        <f t="shared" si="183"/>
        <v>80.534999999999997</v>
      </c>
      <c r="AP80" s="26">
        <f t="shared" si="172"/>
        <v>31.3239247311828</v>
      </c>
      <c r="AQ80" s="26">
        <f t="shared" si="184"/>
        <v>23.305</v>
      </c>
      <c r="AR80" s="26">
        <f t="shared" si="174"/>
        <v>71.370967741935488</v>
      </c>
      <c r="AS80" s="26">
        <f t="shared" si="175"/>
        <v>53.099999999999994</v>
      </c>
      <c r="AT80" s="26">
        <f t="shared" si="176"/>
        <v>71.370967741935488</v>
      </c>
      <c r="AU80" s="26">
        <f t="shared" ref="AU80:AU82" si="185">(U80+AK80)/2</f>
        <v>53.099999999999994</v>
      </c>
      <c r="AX80" s="11">
        <v>1.19</v>
      </c>
      <c r="AY80" s="12">
        <f t="shared" si="178"/>
        <v>94.368279569892465</v>
      </c>
      <c r="AZ80" s="12">
        <f t="shared" si="157"/>
        <v>70.209999999999994</v>
      </c>
      <c r="BA80" s="11">
        <v>0.3</v>
      </c>
      <c r="BB80" s="12">
        <f t="shared" si="179"/>
        <v>23.79032258064516</v>
      </c>
      <c r="BC80" s="12">
        <f t="shared" si="158"/>
        <v>17.7</v>
      </c>
      <c r="BD80" s="11">
        <v>0.63</v>
      </c>
      <c r="BE80" s="12">
        <f t="shared" si="180"/>
        <v>49.95967741935484</v>
      </c>
      <c r="BF80" s="12">
        <f t="shared" si="159"/>
        <v>37.17</v>
      </c>
      <c r="BG80" s="11">
        <v>0.63</v>
      </c>
      <c r="BH80" s="12">
        <f t="shared" si="181"/>
        <v>49.95967741935484</v>
      </c>
      <c r="BI80" s="12">
        <f t="shared" si="160"/>
        <v>37.17</v>
      </c>
    </row>
    <row r="81" spans="1:61" ht="14.4" x14ac:dyDescent="0.3">
      <c r="A81" s="13" t="s">
        <v>6</v>
      </c>
      <c r="B81" s="5">
        <v>30</v>
      </c>
      <c r="C81" s="5">
        <f t="shared" si="161"/>
        <v>720</v>
      </c>
      <c r="D81" s="9">
        <f t="shared" si="148"/>
        <v>40.277777777777779</v>
      </c>
      <c r="E81" s="5">
        <v>29</v>
      </c>
      <c r="H81" s="10"/>
      <c r="J81" s="11">
        <v>1.52</v>
      </c>
      <c r="K81" s="12">
        <f t="shared" si="149"/>
        <v>61.222222222222221</v>
      </c>
      <c r="L81" s="12">
        <f t="shared" si="162"/>
        <v>44.08</v>
      </c>
      <c r="M81" s="11">
        <v>0.47</v>
      </c>
      <c r="N81" s="12">
        <f t="shared" si="150"/>
        <v>18.930555555555554</v>
      </c>
      <c r="O81" s="12">
        <f t="shared" si="163"/>
        <v>13.629999999999999</v>
      </c>
      <c r="P81" s="11">
        <v>0.97</v>
      </c>
      <c r="Q81" s="12">
        <f t="shared" si="151"/>
        <v>39.069444444444443</v>
      </c>
      <c r="R81" s="12">
        <f t="shared" si="164"/>
        <v>28.13</v>
      </c>
      <c r="S81" s="11">
        <v>0.97</v>
      </c>
      <c r="T81" s="12">
        <f t="shared" si="152"/>
        <v>39.069444444444443</v>
      </c>
      <c r="U81" s="12">
        <f t="shared" si="165"/>
        <v>28.13</v>
      </c>
      <c r="X81" s="10"/>
      <c r="Y81" s="10"/>
      <c r="Z81" s="11">
        <v>1.75</v>
      </c>
      <c r="AA81" s="12">
        <f t="shared" si="166"/>
        <v>70.486111111111114</v>
      </c>
      <c r="AB81" s="12">
        <f t="shared" si="153"/>
        <v>50.75</v>
      </c>
      <c r="AC81" s="11">
        <v>0.4</v>
      </c>
      <c r="AD81" s="12">
        <f t="shared" si="167"/>
        <v>16.111111111111111</v>
      </c>
      <c r="AE81" s="12">
        <f t="shared" si="154"/>
        <v>11.600000000000001</v>
      </c>
      <c r="AF81" s="11">
        <v>0.86</v>
      </c>
      <c r="AG81" s="12">
        <f t="shared" si="168"/>
        <v>34.638888888888886</v>
      </c>
      <c r="AH81" s="12">
        <f t="shared" si="155"/>
        <v>24.94</v>
      </c>
      <c r="AI81" s="11">
        <v>0.86</v>
      </c>
      <c r="AJ81" s="12">
        <f t="shared" si="169"/>
        <v>34.638888888888886</v>
      </c>
      <c r="AK81" s="12">
        <f t="shared" si="156"/>
        <v>24.94</v>
      </c>
      <c r="AN81" s="26">
        <f t="shared" si="170"/>
        <v>65.854166666666671</v>
      </c>
      <c r="AO81" s="26">
        <f t="shared" si="183"/>
        <v>47.414999999999999</v>
      </c>
      <c r="AP81" s="26">
        <f t="shared" si="172"/>
        <v>17.520833333333332</v>
      </c>
      <c r="AQ81" s="26">
        <f t="shared" si="184"/>
        <v>12.615</v>
      </c>
      <c r="AR81" s="26">
        <f t="shared" si="174"/>
        <v>36.854166666666664</v>
      </c>
      <c r="AS81" s="26">
        <f t="shared" si="175"/>
        <v>26.535</v>
      </c>
      <c r="AT81" s="26">
        <f t="shared" si="176"/>
        <v>36.854166666666664</v>
      </c>
      <c r="AU81" s="26">
        <f t="shared" si="185"/>
        <v>26.535</v>
      </c>
      <c r="AX81" s="11">
        <v>1.62</v>
      </c>
      <c r="AY81" s="12">
        <f t="shared" si="178"/>
        <v>65.25</v>
      </c>
      <c r="AZ81" s="12">
        <f t="shared" si="157"/>
        <v>46.980000000000004</v>
      </c>
      <c r="BA81" s="11">
        <v>0.37</v>
      </c>
      <c r="BB81" s="12">
        <f t="shared" si="179"/>
        <v>14.902777777777779</v>
      </c>
      <c r="BC81" s="12">
        <f t="shared" si="158"/>
        <v>10.73</v>
      </c>
      <c r="BD81" s="11">
        <v>0.65</v>
      </c>
      <c r="BE81" s="12">
        <f t="shared" si="180"/>
        <v>26.180555555555557</v>
      </c>
      <c r="BF81" s="12">
        <f t="shared" si="159"/>
        <v>18.850000000000001</v>
      </c>
      <c r="BG81" s="11">
        <v>0.65</v>
      </c>
      <c r="BH81" s="12">
        <f t="shared" si="181"/>
        <v>26.180555555555557</v>
      </c>
      <c r="BI81" s="12">
        <f t="shared" si="160"/>
        <v>18.850000000000001</v>
      </c>
    </row>
    <row r="82" spans="1:61" ht="15" thickBot="1" x14ac:dyDescent="0.35">
      <c r="A82" s="14" t="s">
        <v>7</v>
      </c>
      <c r="B82" s="5">
        <v>31</v>
      </c>
      <c r="C82" s="5">
        <f t="shared" si="161"/>
        <v>744</v>
      </c>
      <c r="D82" s="9">
        <f t="shared" si="148"/>
        <v>22.849462365591396</v>
      </c>
      <c r="E82" s="5">
        <v>17</v>
      </c>
      <c r="H82" s="10"/>
      <c r="J82" s="11">
        <v>1.76</v>
      </c>
      <c r="K82" s="12">
        <f t="shared" si="149"/>
        <v>40.215053763440856</v>
      </c>
      <c r="L82" s="12">
        <f t="shared" si="162"/>
        <v>29.92</v>
      </c>
      <c r="M82" s="11">
        <v>0.48</v>
      </c>
      <c r="N82" s="12">
        <f t="shared" si="150"/>
        <v>10.96774193548387</v>
      </c>
      <c r="O82" s="12">
        <f t="shared" si="163"/>
        <v>8.16</v>
      </c>
      <c r="P82" s="11">
        <v>0.99</v>
      </c>
      <c r="Q82" s="12">
        <f t="shared" si="151"/>
        <v>22.62096774193548</v>
      </c>
      <c r="R82" s="12">
        <f t="shared" si="164"/>
        <v>16.829999999999998</v>
      </c>
      <c r="S82" s="11">
        <v>0.99</v>
      </c>
      <c r="T82" s="12">
        <f t="shared" si="152"/>
        <v>22.62096774193548</v>
      </c>
      <c r="U82" s="12">
        <f t="shared" si="165"/>
        <v>16.829999999999998</v>
      </c>
      <c r="X82" s="10"/>
      <c r="Y82" s="10"/>
      <c r="Z82" s="11">
        <v>2.15</v>
      </c>
      <c r="AA82" s="12">
        <f t="shared" si="166"/>
        <v>49.126344086021497</v>
      </c>
      <c r="AB82" s="12">
        <f t="shared" si="153"/>
        <v>36.549999999999997</v>
      </c>
      <c r="AC82" s="11">
        <v>0.46</v>
      </c>
      <c r="AD82" s="12">
        <f t="shared" si="167"/>
        <v>10.510752688172042</v>
      </c>
      <c r="AE82" s="12">
        <f t="shared" si="154"/>
        <v>7.82</v>
      </c>
      <c r="AF82" s="11">
        <v>0.9</v>
      </c>
      <c r="AG82" s="12">
        <f t="shared" si="168"/>
        <v>20.564516129032256</v>
      </c>
      <c r="AH82" s="12">
        <f t="shared" si="155"/>
        <v>15.3</v>
      </c>
      <c r="AI82" s="11">
        <v>0.9</v>
      </c>
      <c r="AJ82" s="12">
        <f t="shared" si="169"/>
        <v>20.564516129032256</v>
      </c>
      <c r="AK82" s="12">
        <f t="shared" si="156"/>
        <v>15.3</v>
      </c>
      <c r="AN82" s="26">
        <f t="shared" si="170"/>
        <v>44.670698924731177</v>
      </c>
      <c r="AO82" s="26">
        <f t="shared" si="183"/>
        <v>33.234999999999999</v>
      </c>
      <c r="AP82" s="26">
        <f t="shared" si="172"/>
        <v>10.739247311827956</v>
      </c>
      <c r="AQ82" s="26">
        <f t="shared" si="184"/>
        <v>7.99</v>
      </c>
      <c r="AR82" s="26">
        <f t="shared" si="174"/>
        <v>21.592741935483868</v>
      </c>
      <c r="AS82" s="26">
        <f t="shared" si="175"/>
        <v>16.064999999999998</v>
      </c>
      <c r="AT82" s="26">
        <f t="shared" si="176"/>
        <v>21.592741935483868</v>
      </c>
      <c r="AU82" s="26">
        <f t="shared" si="185"/>
        <v>16.064999999999998</v>
      </c>
      <c r="AX82" s="11">
        <v>2.19</v>
      </c>
      <c r="AY82" s="12">
        <f t="shared" si="178"/>
        <v>50.040322580645153</v>
      </c>
      <c r="AZ82" s="12">
        <f t="shared" si="157"/>
        <v>37.229999999999997</v>
      </c>
      <c r="BA82" s="11">
        <v>0.46</v>
      </c>
      <c r="BB82" s="12">
        <f t="shared" si="179"/>
        <v>10.510752688172042</v>
      </c>
      <c r="BC82" s="12">
        <f t="shared" si="158"/>
        <v>7.82</v>
      </c>
      <c r="BD82" s="11">
        <v>0.77</v>
      </c>
      <c r="BE82" s="12">
        <f t="shared" si="180"/>
        <v>17.594086021505376</v>
      </c>
      <c r="BF82" s="12">
        <f t="shared" si="159"/>
        <v>13.09</v>
      </c>
      <c r="BG82" s="11">
        <v>0.77</v>
      </c>
      <c r="BH82" s="12">
        <f t="shared" si="181"/>
        <v>17.594086021505376</v>
      </c>
      <c r="BI82" s="12">
        <f t="shared" si="160"/>
        <v>13.09</v>
      </c>
    </row>
    <row r="85" spans="1:61" x14ac:dyDescent="0.25">
      <c r="A85" s="15" t="s">
        <v>44</v>
      </c>
      <c r="B85" s="7" t="s">
        <v>10</v>
      </c>
      <c r="C85" s="7" t="s">
        <v>11</v>
      </c>
      <c r="E85" s="7" t="s">
        <v>12</v>
      </c>
      <c r="F85" s="7"/>
      <c r="G85" s="7"/>
      <c r="J85" s="36" t="s">
        <v>15</v>
      </c>
      <c r="K85" s="37"/>
      <c r="L85" s="38"/>
      <c r="M85" s="36" t="s">
        <v>16</v>
      </c>
      <c r="N85" s="37"/>
      <c r="O85" s="38"/>
      <c r="P85" s="36" t="s">
        <v>17</v>
      </c>
      <c r="Q85" s="37"/>
      <c r="R85" s="37"/>
      <c r="S85" s="34" t="s">
        <v>18</v>
      </c>
      <c r="T85" s="34"/>
      <c r="U85" s="34"/>
      <c r="Z85" s="36" t="s">
        <v>15</v>
      </c>
      <c r="AA85" s="37"/>
      <c r="AB85" s="38"/>
      <c r="AC85" s="36" t="s">
        <v>16</v>
      </c>
      <c r="AD85" s="37"/>
      <c r="AE85" s="38"/>
      <c r="AF85" s="36" t="s">
        <v>17</v>
      </c>
      <c r="AG85" s="37"/>
      <c r="AH85" s="37"/>
      <c r="AI85" s="34" t="s">
        <v>18</v>
      </c>
      <c r="AJ85" s="34"/>
      <c r="AK85" s="34"/>
      <c r="AN85" s="32" t="s">
        <v>15</v>
      </c>
      <c r="AO85" s="33"/>
      <c r="AP85" s="32" t="s">
        <v>16</v>
      </c>
      <c r="AQ85" s="33"/>
      <c r="AR85" s="32" t="s">
        <v>19</v>
      </c>
      <c r="AS85" s="33"/>
      <c r="AT85" s="34" t="s">
        <v>18</v>
      </c>
      <c r="AU85" s="34"/>
      <c r="AX85" s="36" t="s">
        <v>15</v>
      </c>
      <c r="AY85" s="37"/>
      <c r="AZ85" s="38"/>
      <c r="BA85" s="36" t="s">
        <v>16</v>
      </c>
      <c r="BB85" s="37"/>
      <c r="BC85" s="38"/>
      <c r="BD85" s="36" t="s">
        <v>17</v>
      </c>
      <c r="BE85" s="37"/>
      <c r="BF85" s="37"/>
      <c r="BG85" s="34" t="s">
        <v>18</v>
      </c>
      <c r="BH85" s="34"/>
      <c r="BI85" s="34"/>
    </row>
    <row r="86" spans="1:61" ht="13.8" thickBot="1" x14ac:dyDescent="0.3">
      <c r="D86" s="5" t="s">
        <v>14</v>
      </c>
      <c r="E86" s="5" t="s">
        <v>13</v>
      </c>
      <c r="J86" s="4" t="s">
        <v>48</v>
      </c>
      <c r="K86" s="4" t="s">
        <v>14</v>
      </c>
      <c r="L86" s="4" t="s">
        <v>13</v>
      </c>
      <c r="M86" s="4" t="s">
        <v>48</v>
      </c>
      <c r="N86" s="4" t="s">
        <v>14</v>
      </c>
      <c r="O86" s="4" t="s">
        <v>13</v>
      </c>
      <c r="P86" s="4" t="s">
        <v>48</v>
      </c>
      <c r="Q86" s="4" t="s">
        <v>14</v>
      </c>
      <c r="R86" s="4" t="s">
        <v>13</v>
      </c>
      <c r="S86" s="24" t="s">
        <v>48</v>
      </c>
      <c r="T86" s="24" t="s">
        <v>14</v>
      </c>
      <c r="U86" s="24" t="s">
        <v>13</v>
      </c>
      <c r="Z86" s="4" t="s">
        <v>48</v>
      </c>
      <c r="AA86" s="4" t="s">
        <v>14</v>
      </c>
      <c r="AB86" s="4" t="s">
        <v>13</v>
      </c>
      <c r="AC86" s="4" t="s">
        <v>48</v>
      </c>
      <c r="AD86" s="4" t="s">
        <v>14</v>
      </c>
      <c r="AE86" s="4" t="s">
        <v>13</v>
      </c>
      <c r="AF86" s="4" t="s">
        <v>48</v>
      </c>
      <c r="AG86" s="4" t="s">
        <v>14</v>
      </c>
      <c r="AH86" s="4" t="s">
        <v>13</v>
      </c>
      <c r="AI86" s="24" t="s">
        <v>48</v>
      </c>
      <c r="AJ86" s="24" t="s">
        <v>14</v>
      </c>
      <c r="AK86" s="24" t="s">
        <v>13</v>
      </c>
      <c r="AN86" s="24" t="s">
        <v>14</v>
      </c>
      <c r="AO86" s="24" t="s">
        <v>13</v>
      </c>
      <c r="AP86" s="24" t="s">
        <v>14</v>
      </c>
      <c r="AQ86" s="24" t="s">
        <v>13</v>
      </c>
      <c r="AR86" s="24" t="s">
        <v>14</v>
      </c>
      <c r="AS86" s="24" t="s">
        <v>13</v>
      </c>
      <c r="AT86" s="24" t="s">
        <v>14</v>
      </c>
      <c r="AU86" s="24" t="s">
        <v>13</v>
      </c>
      <c r="AX86" s="4" t="s">
        <v>48</v>
      </c>
      <c r="AY86" s="4" t="s">
        <v>14</v>
      </c>
      <c r="AZ86" s="4" t="s">
        <v>13</v>
      </c>
      <c r="BA86" s="4" t="s">
        <v>48</v>
      </c>
      <c r="BB86" s="4" t="s">
        <v>14</v>
      </c>
      <c r="BC86" s="4" t="s">
        <v>13</v>
      </c>
      <c r="BD86" s="4" t="s">
        <v>48</v>
      </c>
      <c r="BE86" s="4" t="s">
        <v>14</v>
      </c>
      <c r="BF86" s="4" t="s">
        <v>13</v>
      </c>
      <c r="BG86" s="24" t="s">
        <v>48</v>
      </c>
      <c r="BH86" s="24" t="s">
        <v>14</v>
      </c>
      <c r="BI86" s="24" t="s">
        <v>13</v>
      </c>
    </row>
    <row r="87" spans="1:61" ht="14.4" x14ac:dyDescent="0.3">
      <c r="A87" s="8" t="s">
        <v>1</v>
      </c>
      <c r="B87" s="5">
        <v>31</v>
      </c>
      <c r="C87" s="5">
        <f>B87*24</f>
        <v>744</v>
      </c>
      <c r="D87" s="9">
        <f t="shared" ref="D87:D98" si="186">E87*1000/C87</f>
        <v>37.634408602150536</v>
      </c>
      <c r="E87" s="5">
        <v>28</v>
      </c>
      <c r="H87" s="10"/>
      <c r="J87" s="11">
        <v>1.61</v>
      </c>
      <c r="K87" s="12">
        <f t="shared" ref="K87:K98" si="187">J87*D87</f>
        <v>60.591397849462368</v>
      </c>
      <c r="L87" s="12">
        <f>$E87*J87</f>
        <v>45.080000000000005</v>
      </c>
      <c r="M87" s="11">
        <v>0.52</v>
      </c>
      <c r="N87" s="12">
        <f t="shared" ref="N87:N98" si="188">M87*D87</f>
        <v>19.56989247311828</v>
      </c>
      <c r="O87" s="12">
        <f>$E87*M87</f>
        <v>14.56</v>
      </c>
      <c r="P87" s="11">
        <v>1</v>
      </c>
      <c r="Q87" s="12">
        <f t="shared" ref="Q87:Q98" si="189">P87*D87</f>
        <v>37.634408602150536</v>
      </c>
      <c r="R87" s="12">
        <f>$E87*P87</f>
        <v>28</v>
      </c>
      <c r="S87" s="11">
        <v>1</v>
      </c>
      <c r="T87" s="12">
        <f t="shared" ref="T87:T98" si="190">S87*D87</f>
        <v>37.634408602150536</v>
      </c>
      <c r="U87" s="12">
        <f>$E87*S87</f>
        <v>28</v>
      </c>
      <c r="X87" s="10"/>
      <c r="Y87" s="10"/>
      <c r="Z87" s="11">
        <v>1.94</v>
      </c>
      <c r="AA87" s="12">
        <f>Z87*$D87</f>
        <v>73.010752688172033</v>
      </c>
      <c r="AB87" s="12">
        <f t="shared" ref="AB87:AB98" si="191">$E87*Z87</f>
        <v>54.32</v>
      </c>
      <c r="AC87" s="11">
        <v>0.51</v>
      </c>
      <c r="AD87" s="12">
        <f>AC87*$D87</f>
        <v>19.193548387096772</v>
      </c>
      <c r="AE87" s="12">
        <f t="shared" ref="AE87:AE98" si="192">$E87*AC87</f>
        <v>14.280000000000001</v>
      </c>
      <c r="AF87" s="11">
        <v>0.95</v>
      </c>
      <c r="AG87" s="12">
        <f>AF87*$D87</f>
        <v>35.752688172043008</v>
      </c>
      <c r="AH87" s="12">
        <f t="shared" ref="AH87:AH98" si="193">$E87*AF87</f>
        <v>26.599999999999998</v>
      </c>
      <c r="AI87" s="11">
        <v>0.95</v>
      </c>
      <c r="AJ87" s="12">
        <f>AI87*$D87</f>
        <v>35.752688172043008</v>
      </c>
      <c r="AK87" s="12">
        <f t="shared" ref="AK87:AK98" si="194">$E87*AI87</f>
        <v>26.599999999999998</v>
      </c>
      <c r="AN87" s="26">
        <f>(K87+AA87)/2</f>
        <v>66.8010752688172</v>
      </c>
      <c r="AO87" s="26">
        <f>(L87+AB87)/2</f>
        <v>49.7</v>
      </c>
      <c r="AP87" s="26">
        <f>(N87+AD87)/2</f>
        <v>19.381720430107528</v>
      </c>
      <c r="AQ87" s="26">
        <f>(O87+AE87)/2</f>
        <v>14.420000000000002</v>
      </c>
      <c r="AR87" s="26">
        <f>(Q87+AG87)/2</f>
        <v>36.693548387096769</v>
      </c>
      <c r="AS87" s="26">
        <f>(R87+AH87)/2</f>
        <v>27.299999999999997</v>
      </c>
      <c r="AT87" s="26">
        <f>(T87+AJ87)/2</f>
        <v>36.693548387096769</v>
      </c>
      <c r="AU87" s="26">
        <f>(U87+AK87)/2</f>
        <v>27.299999999999997</v>
      </c>
      <c r="AX87" s="11">
        <v>1.92</v>
      </c>
      <c r="AY87" s="12">
        <f>AX87*$D87</f>
        <v>72.258064516129025</v>
      </c>
      <c r="AZ87" s="12">
        <f t="shared" ref="AZ87:AZ98" si="195">$E87*AX87</f>
        <v>53.76</v>
      </c>
      <c r="BA87" s="11">
        <v>0.55000000000000004</v>
      </c>
      <c r="BB87" s="12">
        <f>BA87*$D87</f>
        <v>20.698924731182796</v>
      </c>
      <c r="BC87" s="12">
        <f t="shared" ref="BC87:BC98" si="196">$E87*BA87</f>
        <v>15.400000000000002</v>
      </c>
      <c r="BD87" s="11">
        <v>0.85</v>
      </c>
      <c r="BE87" s="12">
        <f>BD87*$D87</f>
        <v>31.989247311827956</v>
      </c>
      <c r="BF87" s="12">
        <f t="shared" ref="BF87:BF98" si="197">$E87*BD87</f>
        <v>23.8</v>
      </c>
      <c r="BG87" s="11">
        <v>0.85</v>
      </c>
      <c r="BH87" s="12">
        <f>BG87*$D87</f>
        <v>31.989247311827956</v>
      </c>
      <c r="BI87" s="12">
        <f t="shared" ref="BI87:BI98" si="198">$E87*BG87</f>
        <v>23.8</v>
      </c>
    </row>
    <row r="88" spans="1:61" ht="14.4" x14ac:dyDescent="0.3">
      <c r="A88" s="13" t="s">
        <v>2</v>
      </c>
      <c r="B88" s="5">
        <v>28</v>
      </c>
      <c r="C88" s="5">
        <f t="shared" ref="C88:C98" si="199">B88*24</f>
        <v>672</v>
      </c>
      <c r="D88" s="9">
        <f t="shared" si="186"/>
        <v>75.892857142857139</v>
      </c>
      <c r="E88" s="5">
        <v>51</v>
      </c>
      <c r="H88" s="10"/>
      <c r="J88" s="11">
        <v>1.45</v>
      </c>
      <c r="K88" s="12">
        <f t="shared" si="187"/>
        <v>110.04464285714285</v>
      </c>
      <c r="L88" s="12">
        <f t="shared" ref="L88:L98" si="200">$E88*J88</f>
        <v>73.95</v>
      </c>
      <c r="M88" s="11">
        <v>0.45</v>
      </c>
      <c r="N88" s="12">
        <f t="shared" si="188"/>
        <v>34.151785714285715</v>
      </c>
      <c r="O88" s="12">
        <f t="shared" ref="O88:O98" si="201">$E88*M88</f>
        <v>22.95</v>
      </c>
      <c r="P88" s="11">
        <v>0.98</v>
      </c>
      <c r="Q88" s="12">
        <f t="shared" si="189"/>
        <v>74.375</v>
      </c>
      <c r="R88" s="12">
        <f t="shared" ref="R88:R98" si="202">$E88*P88</f>
        <v>49.98</v>
      </c>
      <c r="S88" s="11">
        <v>0.98</v>
      </c>
      <c r="T88" s="12">
        <f t="shared" si="190"/>
        <v>74.375</v>
      </c>
      <c r="U88" s="12">
        <f t="shared" ref="U88:U98" si="203">$E88*S88</f>
        <v>49.98</v>
      </c>
      <c r="X88" s="10"/>
      <c r="Y88" s="10"/>
      <c r="Z88" s="11">
        <v>1.64</v>
      </c>
      <c r="AA88" s="12">
        <f t="shared" ref="AA88:AA98" si="204">Z88*$D88</f>
        <v>124.46428571428569</v>
      </c>
      <c r="AB88" s="12">
        <f t="shared" si="191"/>
        <v>83.64</v>
      </c>
      <c r="AC88" s="11">
        <v>0.44</v>
      </c>
      <c r="AD88" s="12">
        <f t="shared" ref="AD88:AD98" si="205">AC88*$D88</f>
        <v>33.392857142857139</v>
      </c>
      <c r="AE88" s="12">
        <f t="shared" si="192"/>
        <v>22.44</v>
      </c>
      <c r="AF88" s="11">
        <v>0.92</v>
      </c>
      <c r="AG88" s="12">
        <f t="shared" ref="AG88:AG98" si="206">AF88*$D88</f>
        <v>69.821428571428569</v>
      </c>
      <c r="AH88" s="12">
        <f t="shared" si="193"/>
        <v>46.92</v>
      </c>
      <c r="AI88" s="11">
        <v>0.92</v>
      </c>
      <c r="AJ88" s="12">
        <f t="shared" ref="AJ88:AJ98" si="207">AI88*$D88</f>
        <v>69.821428571428569</v>
      </c>
      <c r="AK88" s="12">
        <f t="shared" si="194"/>
        <v>46.92</v>
      </c>
      <c r="AN88" s="26">
        <f t="shared" ref="AN88:AN98" si="208">(K88+AA88)/2</f>
        <v>117.25446428571428</v>
      </c>
      <c r="AO88" s="26">
        <f t="shared" ref="AO88:AO93" si="209">(L88+AB88)/2</f>
        <v>78.795000000000002</v>
      </c>
      <c r="AP88" s="26">
        <f t="shared" ref="AP88:AP98" si="210">(N88+AD88)/2</f>
        <v>33.772321428571431</v>
      </c>
      <c r="AQ88" s="26">
        <f t="shared" ref="AQ88:AQ93" si="211">(O88+AE88)/2</f>
        <v>22.695</v>
      </c>
      <c r="AR88" s="26">
        <f t="shared" ref="AR88:AR98" si="212">(Q88+AG88)/2</f>
        <v>72.098214285714278</v>
      </c>
      <c r="AS88" s="26">
        <f t="shared" ref="AS88:AS98" si="213">(R88+AH88)/2</f>
        <v>48.45</v>
      </c>
      <c r="AT88" s="26">
        <f t="shared" ref="AT88:AT98" si="214">(T88+AJ88)/2</f>
        <v>72.098214285714278</v>
      </c>
      <c r="AU88" s="26">
        <f t="shared" ref="AU88:AU91" si="215">(U88+AK88)/2</f>
        <v>48.45</v>
      </c>
      <c r="AX88" s="11">
        <v>1.54</v>
      </c>
      <c r="AY88" s="12">
        <f t="shared" ref="AY88:AY98" si="216">AX88*$D88</f>
        <v>116.875</v>
      </c>
      <c r="AZ88" s="12">
        <f t="shared" si="195"/>
        <v>78.540000000000006</v>
      </c>
      <c r="BA88" s="11">
        <v>0.47</v>
      </c>
      <c r="BB88" s="12">
        <f t="shared" ref="BB88:BB98" si="217">BA88*$D88</f>
        <v>35.669642857142854</v>
      </c>
      <c r="BC88" s="12">
        <f t="shared" si="196"/>
        <v>23.97</v>
      </c>
      <c r="BD88" s="11">
        <v>0.8</v>
      </c>
      <c r="BE88" s="12">
        <f t="shared" ref="BE88:BE98" si="218">BD88*$D88</f>
        <v>60.714285714285715</v>
      </c>
      <c r="BF88" s="12">
        <f t="shared" si="197"/>
        <v>40.800000000000004</v>
      </c>
      <c r="BG88" s="11">
        <v>0.8</v>
      </c>
      <c r="BH88" s="12">
        <f t="shared" ref="BH88:BH98" si="219">BG88*$D88</f>
        <v>60.714285714285715</v>
      </c>
      <c r="BI88" s="12">
        <f t="shared" si="198"/>
        <v>40.800000000000004</v>
      </c>
    </row>
    <row r="89" spans="1:61" ht="14.4" x14ac:dyDescent="0.3">
      <c r="A89" s="13" t="s">
        <v>3</v>
      </c>
      <c r="B89" s="5">
        <v>31</v>
      </c>
      <c r="C89" s="5">
        <f t="shared" si="199"/>
        <v>744</v>
      </c>
      <c r="D89" s="9">
        <f t="shared" si="186"/>
        <v>115.59139784946237</v>
      </c>
      <c r="E89" s="5">
        <v>86</v>
      </c>
      <c r="H89" s="10"/>
      <c r="J89" s="11">
        <v>1.25</v>
      </c>
      <c r="K89" s="12">
        <f t="shared" si="187"/>
        <v>144.48924731182797</v>
      </c>
      <c r="L89" s="12">
        <f t="shared" si="200"/>
        <v>107.5</v>
      </c>
      <c r="M89" s="11">
        <v>0.52</v>
      </c>
      <c r="N89" s="12">
        <f t="shared" si="188"/>
        <v>60.107526881720432</v>
      </c>
      <c r="O89" s="12">
        <f t="shared" si="201"/>
        <v>44.72</v>
      </c>
      <c r="P89" s="11">
        <v>0.96</v>
      </c>
      <c r="Q89" s="12">
        <f t="shared" si="189"/>
        <v>110.96774193548387</v>
      </c>
      <c r="R89" s="12">
        <f t="shared" si="202"/>
        <v>82.56</v>
      </c>
      <c r="S89" s="11">
        <v>0.96</v>
      </c>
      <c r="T89" s="12">
        <f t="shared" si="190"/>
        <v>110.96774193548387</v>
      </c>
      <c r="U89" s="12">
        <f t="shared" si="203"/>
        <v>82.56</v>
      </c>
      <c r="X89" s="10"/>
      <c r="Y89" s="10"/>
      <c r="Z89" s="11">
        <v>1.28</v>
      </c>
      <c r="AA89" s="12">
        <f t="shared" si="204"/>
        <v>147.95698924731184</v>
      </c>
      <c r="AB89" s="12">
        <f t="shared" si="191"/>
        <v>110.08</v>
      </c>
      <c r="AC89" s="11">
        <v>0.35</v>
      </c>
      <c r="AD89" s="12">
        <f t="shared" si="205"/>
        <v>40.456989247311824</v>
      </c>
      <c r="AE89" s="12">
        <f t="shared" si="192"/>
        <v>30.099999999999998</v>
      </c>
      <c r="AF89" s="11">
        <v>0.85</v>
      </c>
      <c r="AG89" s="12">
        <f t="shared" si="206"/>
        <v>98.252688172043008</v>
      </c>
      <c r="AH89" s="12">
        <f t="shared" si="193"/>
        <v>73.099999999999994</v>
      </c>
      <c r="AI89" s="11">
        <v>0.85</v>
      </c>
      <c r="AJ89" s="12">
        <f t="shared" si="207"/>
        <v>98.252688172043008</v>
      </c>
      <c r="AK89" s="12">
        <f t="shared" si="194"/>
        <v>73.099999999999994</v>
      </c>
      <c r="AN89" s="26">
        <f t="shared" si="208"/>
        <v>146.22311827956992</v>
      </c>
      <c r="AO89" s="26">
        <f t="shared" si="209"/>
        <v>108.78999999999999</v>
      </c>
      <c r="AP89" s="26">
        <f t="shared" si="210"/>
        <v>50.282258064516128</v>
      </c>
      <c r="AQ89" s="26">
        <f t="shared" si="211"/>
        <v>37.409999999999997</v>
      </c>
      <c r="AR89" s="26">
        <f t="shared" si="212"/>
        <v>104.61021505376344</v>
      </c>
      <c r="AS89" s="26">
        <f t="shared" si="213"/>
        <v>77.83</v>
      </c>
      <c r="AT89" s="26">
        <f t="shared" si="214"/>
        <v>104.61021505376344</v>
      </c>
      <c r="AU89" s="26">
        <f t="shared" si="215"/>
        <v>77.83</v>
      </c>
      <c r="AX89" s="11">
        <v>1.06</v>
      </c>
      <c r="AY89" s="12">
        <f t="shared" si="216"/>
        <v>122.52688172043011</v>
      </c>
      <c r="AZ89" s="12">
        <f t="shared" si="195"/>
        <v>91.160000000000011</v>
      </c>
      <c r="BA89" s="11">
        <v>0.34</v>
      </c>
      <c r="BB89" s="12">
        <f t="shared" si="217"/>
        <v>39.301075268817208</v>
      </c>
      <c r="BC89" s="12">
        <f t="shared" si="196"/>
        <v>29.240000000000002</v>
      </c>
      <c r="BD89" s="11">
        <v>0.67</v>
      </c>
      <c r="BE89" s="12">
        <f t="shared" si="218"/>
        <v>77.446236559139791</v>
      </c>
      <c r="BF89" s="12">
        <f t="shared" si="197"/>
        <v>57.620000000000005</v>
      </c>
      <c r="BG89" s="11">
        <v>0.67</v>
      </c>
      <c r="BH89" s="12">
        <f t="shared" si="219"/>
        <v>77.446236559139791</v>
      </c>
      <c r="BI89" s="12">
        <f t="shared" si="198"/>
        <v>57.620000000000005</v>
      </c>
    </row>
    <row r="90" spans="1:61" ht="14.4" x14ac:dyDescent="0.3">
      <c r="A90" s="13" t="s">
        <v>4</v>
      </c>
      <c r="B90" s="5">
        <v>30</v>
      </c>
      <c r="C90" s="5">
        <f t="shared" si="199"/>
        <v>720</v>
      </c>
      <c r="D90" s="9">
        <f t="shared" si="186"/>
        <v>176.38888888888889</v>
      </c>
      <c r="E90" s="5">
        <v>127</v>
      </c>
      <c r="H90" s="10"/>
      <c r="J90" s="11">
        <v>1.0900000000000001</v>
      </c>
      <c r="K90" s="12">
        <f t="shared" si="187"/>
        <v>192.26388888888889</v>
      </c>
      <c r="L90" s="12">
        <f t="shared" si="200"/>
        <v>138.43</v>
      </c>
      <c r="M90" s="11">
        <v>0.68</v>
      </c>
      <c r="N90" s="12">
        <f t="shared" si="188"/>
        <v>119.94444444444446</v>
      </c>
      <c r="O90" s="12">
        <f t="shared" si="201"/>
        <v>86.36</v>
      </c>
      <c r="P90" s="11">
        <v>0.94</v>
      </c>
      <c r="Q90" s="12">
        <f t="shared" si="189"/>
        <v>165.80555555555554</v>
      </c>
      <c r="R90" s="12">
        <f t="shared" si="202"/>
        <v>119.38</v>
      </c>
      <c r="S90" s="11">
        <v>0.94</v>
      </c>
      <c r="T90" s="12">
        <f t="shared" si="190"/>
        <v>165.80555555555554</v>
      </c>
      <c r="U90" s="12">
        <f t="shared" si="203"/>
        <v>119.38</v>
      </c>
      <c r="X90" s="10"/>
      <c r="Y90" s="10"/>
      <c r="Z90" s="11">
        <v>0.99</v>
      </c>
      <c r="AA90" s="12">
        <f>Z90*$D90</f>
        <v>174.625</v>
      </c>
      <c r="AB90" s="12">
        <f t="shared" si="191"/>
        <v>125.73</v>
      </c>
      <c r="AC90" s="11">
        <v>0.34</v>
      </c>
      <c r="AD90" s="12">
        <f>AC90*$D90</f>
        <v>59.972222222222229</v>
      </c>
      <c r="AE90" s="12">
        <f t="shared" si="192"/>
        <v>43.18</v>
      </c>
      <c r="AF90" s="11">
        <v>0.81</v>
      </c>
      <c r="AG90" s="12">
        <f>AF90*$D90</f>
        <v>142.875</v>
      </c>
      <c r="AH90" s="12">
        <f t="shared" si="193"/>
        <v>102.87</v>
      </c>
      <c r="AI90" s="11">
        <v>0.81</v>
      </c>
      <c r="AJ90" s="12">
        <f>AI90*$D90</f>
        <v>142.875</v>
      </c>
      <c r="AK90" s="12">
        <f t="shared" si="194"/>
        <v>102.87</v>
      </c>
      <c r="AN90" s="26">
        <f t="shared" si="208"/>
        <v>183.44444444444446</v>
      </c>
      <c r="AO90" s="26">
        <f t="shared" si="209"/>
        <v>132.08000000000001</v>
      </c>
      <c r="AP90" s="26">
        <f t="shared" si="210"/>
        <v>89.958333333333343</v>
      </c>
      <c r="AQ90" s="26">
        <f t="shared" si="211"/>
        <v>64.77</v>
      </c>
      <c r="AR90" s="26">
        <f t="shared" si="212"/>
        <v>154.34027777777777</v>
      </c>
      <c r="AS90" s="26">
        <f t="shared" si="213"/>
        <v>111.125</v>
      </c>
      <c r="AT90" s="26">
        <f t="shared" si="214"/>
        <v>154.34027777777777</v>
      </c>
      <c r="AU90" s="26">
        <f t="shared" si="215"/>
        <v>111.125</v>
      </c>
      <c r="AX90" s="11">
        <v>0.72</v>
      </c>
      <c r="AY90" s="12">
        <f>AX90*$D90</f>
        <v>127</v>
      </c>
      <c r="AZ90" s="12">
        <f t="shared" si="195"/>
        <v>91.44</v>
      </c>
      <c r="BA90" s="11">
        <v>0.3</v>
      </c>
      <c r="BB90" s="12">
        <f>BA90*$D90</f>
        <v>52.916666666666664</v>
      </c>
      <c r="BC90" s="12">
        <f t="shared" si="196"/>
        <v>38.1</v>
      </c>
      <c r="BD90" s="11">
        <v>0.59</v>
      </c>
      <c r="BE90" s="12">
        <f>BD90*$D90</f>
        <v>104.06944444444444</v>
      </c>
      <c r="BF90" s="12">
        <f t="shared" si="197"/>
        <v>74.929999999999993</v>
      </c>
      <c r="BG90" s="11">
        <v>0.59</v>
      </c>
      <c r="BH90" s="12">
        <f>BG90*$D90</f>
        <v>104.06944444444444</v>
      </c>
      <c r="BI90" s="12">
        <f t="shared" si="198"/>
        <v>74.929999999999993</v>
      </c>
    </row>
    <row r="91" spans="1:61" ht="14.4" x14ac:dyDescent="0.3">
      <c r="A91" s="13" t="s">
        <v>22</v>
      </c>
      <c r="B91" s="5">
        <v>31</v>
      </c>
      <c r="C91" s="5">
        <f t="shared" si="199"/>
        <v>744</v>
      </c>
      <c r="D91" s="9">
        <f t="shared" si="186"/>
        <v>201.61290322580646</v>
      </c>
      <c r="E91" s="5">
        <v>150</v>
      </c>
      <c r="H91" s="10"/>
      <c r="J91" s="11">
        <v>1.01</v>
      </c>
      <c r="K91" s="12">
        <f t="shared" si="187"/>
        <v>203.62903225806454</v>
      </c>
      <c r="L91" s="12">
        <f t="shared" si="200"/>
        <v>151.5</v>
      </c>
      <c r="M91" s="11">
        <v>0.79</v>
      </c>
      <c r="N91" s="12">
        <f t="shared" si="188"/>
        <v>159.2741935483871</v>
      </c>
      <c r="O91" s="12">
        <f t="shared" si="201"/>
        <v>118.5</v>
      </c>
      <c r="P91" s="11">
        <v>0.94</v>
      </c>
      <c r="Q91" s="12">
        <f t="shared" si="189"/>
        <v>189.51612903225808</v>
      </c>
      <c r="R91" s="12">
        <f t="shared" si="202"/>
        <v>141</v>
      </c>
      <c r="S91" s="11">
        <v>0.94</v>
      </c>
      <c r="T91" s="12">
        <f t="shared" si="190"/>
        <v>189.51612903225808</v>
      </c>
      <c r="U91" s="12">
        <f t="shared" si="203"/>
        <v>141</v>
      </c>
      <c r="X91" s="10"/>
      <c r="Y91" s="10"/>
      <c r="Z91" s="11">
        <v>0.84</v>
      </c>
      <c r="AA91" s="12">
        <f t="shared" si="204"/>
        <v>169.35483870967741</v>
      </c>
      <c r="AB91" s="12">
        <f t="shared" si="191"/>
        <v>126</v>
      </c>
      <c r="AC91" s="11">
        <v>0.4</v>
      </c>
      <c r="AD91" s="12">
        <f t="shared" si="205"/>
        <v>80.645161290322591</v>
      </c>
      <c r="AE91" s="12">
        <f t="shared" si="192"/>
        <v>60</v>
      </c>
      <c r="AF91" s="11">
        <v>0.79</v>
      </c>
      <c r="AG91" s="12">
        <f t="shared" si="206"/>
        <v>159.2741935483871</v>
      </c>
      <c r="AH91" s="12">
        <f t="shared" si="193"/>
        <v>118.5</v>
      </c>
      <c r="AI91" s="11">
        <v>0.79</v>
      </c>
      <c r="AJ91" s="12">
        <f t="shared" si="207"/>
        <v>159.2741935483871</v>
      </c>
      <c r="AK91" s="12">
        <f t="shared" si="194"/>
        <v>118.5</v>
      </c>
      <c r="AN91" s="26">
        <f t="shared" si="208"/>
        <v>186.49193548387098</v>
      </c>
      <c r="AO91" s="26">
        <f t="shared" si="209"/>
        <v>138.75</v>
      </c>
      <c r="AP91" s="26">
        <f t="shared" si="210"/>
        <v>119.95967741935485</v>
      </c>
      <c r="AQ91" s="26">
        <f t="shared" si="211"/>
        <v>89.25</v>
      </c>
      <c r="AR91" s="26">
        <f t="shared" si="212"/>
        <v>174.39516129032259</v>
      </c>
      <c r="AS91" s="26">
        <f t="shared" si="213"/>
        <v>129.75</v>
      </c>
      <c r="AT91" s="26">
        <f t="shared" si="214"/>
        <v>174.39516129032259</v>
      </c>
      <c r="AU91" s="26">
        <f t="shared" si="215"/>
        <v>129.75</v>
      </c>
      <c r="AX91" s="11">
        <v>0.55000000000000004</v>
      </c>
      <c r="AY91" s="12">
        <f t="shared" si="216"/>
        <v>110.88709677419357</v>
      </c>
      <c r="AZ91" s="12">
        <f t="shared" si="195"/>
        <v>82.5</v>
      </c>
      <c r="BA91" s="11">
        <v>0.3</v>
      </c>
      <c r="BB91" s="12">
        <f t="shared" si="217"/>
        <v>60.483870967741936</v>
      </c>
      <c r="BC91" s="12">
        <f t="shared" si="196"/>
        <v>45</v>
      </c>
      <c r="BD91" s="11">
        <v>0.56000000000000005</v>
      </c>
      <c r="BE91" s="12">
        <f t="shared" si="218"/>
        <v>112.90322580645163</v>
      </c>
      <c r="BF91" s="12">
        <f t="shared" si="197"/>
        <v>84.000000000000014</v>
      </c>
      <c r="BG91" s="11">
        <v>0.56000000000000005</v>
      </c>
      <c r="BH91" s="12">
        <f t="shared" si="219"/>
        <v>112.90322580645163</v>
      </c>
      <c r="BI91" s="12">
        <f t="shared" si="198"/>
        <v>84.000000000000014</v>
      </c>
    </row>
    <row r="92" spans="1:61" ht="14.4" x14ac:dyDescent="0.3">
      <c r="A92" s="13" t="s">
        <v>23</v>
      </c>
      <c r="B92" s="5">
        <v>30</v>
      </c>
      <c r="C92" s="5">
        <f t="shared" si="199"/>
        <v>720</v>
      </c>
      <c r="D92" s="9">
        <f t="shared" si="186"/>
        <v>218.05555555555554</v>
      </c>
      <c r="E92" s="5">
        <v>157</v>
      </c>
      <c r="H92" s="10"/>
      <c r="I92" s="4" t="s">
        <v>31</v>
      </c>
      <c r="J92" s="11">
        <v>0.97</v>
      </c>
      <c r="K92" s="12">
        <f t="shared" si="187"/>
        <v>211.51388888888886</v>
      </c>
      <c r="L92" s="12">
        <f t="shared" si="200"/>
        <v>152.29</v>
      </c>
      <c r="M92" s="11">
        <v>0.82</v>
      </c>
      <c r="N92" s="12">
        <f t="shared" si="188"/>
        <v>178.80555555555554</v>
      </c>
      <c r="O92" s="12">
        <f t="shared" si="201"/>
        <v>128.73999999999998</v>
      </c>
      <c r="P92" s="11">
        <v>0.93</v>
      </c>
      <c r="Q92" s="12">
        <f t="shared" si="189"/>
        <v>202.79166666666666</v>
      </c>
      <c r="R92" s="12">
        <f t="shared" si="202"/>
        <v>146.01000000000002</v>
      </c>
      <c r="S92" s="11">
        <v>0.93</v>
      </c>
      <c r="T92" s="12">
        <f t="shared" si="190"/>
        <v>202.79166666666666</v>
      </c>
      <c r="U92" s="12">
        <f t="shared" si="203"/>
        <v>146.01000000000002</v>
      </c>
      <c r="W92" s="4" t="s">
        <v>31</v>
      </c>
      <c r="X92" s="10"/>
      <c r="Y92" s="10"/>
      <c r="Z92" s="11">
        <v>0.78</v>
      </c>
      <c r="AA92" s="12">
        <f t="shared" si="204"/>
        <v>170.08333333333334</v>
      </c>
      <c r="AB92" s="12">
        <f t="shared" si="191"/>
        <v>122.46000000000001</v>
      </c>
      <c r="AC92" s="11">
        <v>0.45</v>
      </c>
      <c r="AD92" s="12">
        <f t="shared" si="205"/>
        <v>98.125</v>
      </c>
      <c r="AE92" s="12">
        <f t="shared" si="192"/>
        <v>70.650000000000006</v>
      </c>
      <c r="AF92" s="11">
        <v>0.78</v>
      </c>
      <c r="AG92" s="12">
        <f t="shared" si="206"/>
        <v>170.08333333333334</v>
      </c>
      <c r="AH92" s="12">
        <f t="shared" si="193"/>
        <v>122.46000000000001</v>
      </c>
      <c r="AI92" s="11">
        <v>0.78</v>
      </c>
      <c r="AJ92" s="12">
        <f t="shared" si="207"/>
        <v>170.08333333333334</v>
      </c>
      <c r="AK92" s="12">
        <f t="shared" si="194"/>
        <v>122.46000000000001</v>
      </c>
      <c r="AM92" s="4" t="s">
        <v>31</v>
      </c>
      <c r="AN92" s="26">
        <f t="shared" si="208"/>
        <v>190.79861111111109</v>
      </c>
      <c r="AO92" s="26">
        <f t="shared" si="209"/>
        <v>137.375</v>
      </c>
      <c r="AP92" s="26">
        <f t="shared" si="210"/>
        <v>138.46527777777777</v>
      </c>
      <c r="AQ92" s="26">
        <f t="shared" si="211"/>
        <v>99.694999999999993</v>
      </c>
      <c r="AR92" s="26">
        <f t="shared" si="212"/>
        <v>186.4375</v>
      </c>
      <c r="AS92" s="26">
        <f t="shared" si="213"/>
        <v>134.23500000000001</v>
      </c>
      <c r="AT92" s="26">
        <f t="shared" si="214"/>
        <v>186.4375</v>
      </c>
      <c r="AU92" s="26">
        <f>(U92+AK92)/2</f>
        <v>134.23500000000001</v>
      </c>
      <c r="AW92" s="4" t="s">
        <v>31</v>
      </c>
      <c r="AX92" s="11">
        <v>0.5</v>
      </c>
      <c r="AY92" s="12">
        <f t="shared" si="216"/>
        <v>109.02777777777777</v>
      </c>
      <c r="AZ92" s="12">
        <f t="shared" si="195"/>
        <v>78.5</v>
      </c>
      <c r="BA92" s="11">
        <v>0.32</v>
      </c>
      <c r="BB92" s="12">
        <f t="shared" si="217"/>
        <v>69.777777777777771</v>
      </c>
      <c r="BC92" s="12">
        <f t="shared" si="196"/>
        <v>50.24</v>
      </c>
      <c r="BD92" s="11">
        <v>0.55000000000000004</v>
      </c>
      <c r="BE92" s="12">
        <f t="shared" si="218"/>
        <v>119.93055555555556</v>
      </c>
      <c r="BF92" s="12">
        <f t="shared" si="197"/>
        <v>86.350000000000009</v>
      </c>
      <c r="BG92" s="11">
        <v>0.55000000000000004</v>
      </c>
      <c r="BH92" s="12">
        <f t="shared" si="219"/>
        <v>119.93055555555556</v>
      </c>
      <c r="BI92" s="12">
        <f t="shared" si="198"/>
        <v>86.350000000000009</v>
      </c>
    </row>
    <row r="93" spans="1:61" ht="14.4" x14ac:dyDescent="0.3">
      <c r="A93" s="13" t="s">
        <v>24</v>
      </c>
      <c r="B93" s="5">
        <v>31</v>
      </c>
      <c r="C93" s="5">
        <f t="shared" si="199"/>
        <v>744</v>
      </c>
      <c r="D93" s="9">
        <f t="shared" si="186"/>
        <v>202.95698924731184</v>
      </c>
      <c r="E93" s="5">
        <v>151</v>
      </c>
      <c r="H93" s="10"/>
      <c r="I93" s="4">
        <v>2</v>
      </c>
      <c r="J93" s="11">
        <v>0.98</v>
      </c>
      <c r="K93" s="12">
        <f t="shared" si="187"/>
        <v>198.8978494623656</v>
      </c>
      <c r="L93" s="12">
        <f t="shared" si="200"/>
        <v>147.97999999999999</v>
      </c>
      <c r="M93" s="11">
        <v>0.81</v>
      </c>
      <c r="N93" s="12">
        <f t="shared" si="188"/>
        <v>164.39516129032259</v>
      </c>
      <c r="O93" s="12">
        <f t="shared" si="201"/>
        <v>122.31</v>
      </c>
      <c r="P93" s="11">
        <v>0.93</v>
      </c>
      <c r="Q93" s="12">
        <f t="shared" si="189"/>
        <v>188.75000000000003</v>
      </c>
      <c r="R93" s="12">
        <f t="shared" si="202"/>
        <v>140.43</v>
      </c>
      <c r="S93" s="11">
        <v>0.93</v>
      </c>
      <c r="T93" s="12">
        <f t="shared" si="190"/>
        <v>188.75000000000003</v>
      </c>
      <c r="U93" s="12">
        <f t="shared" si="203"/>
        <v>140.43</v>
      </c>
      <c r="W93" s="4">
        <v>2</v>
      </c>
      <c r="X93" s="10"/>
      <c r="Y93" s="10"/>
      <c r="Z93" s="11">
        <v>0.81</v>
      </c>
      <c r="AA93" s="12">
        <f t="shared" si="204"/>
        <v>164.39516129032259</v>
      </c>
      <c r="AB93" s="12">
        <f t="shared" si="191"/>
        <v>122.31</v>
      </c>
      <c r="AC93" s="11">
        <v>0.42</v>
      </c>
      <c r="AD93" s="12">
        <f t="shared" si="205"/>
        <v>85.241935483870975</v>
      </c>
      <c r="AE93" s="12">
        <f t="shared" si="192"/>
        <v>63.419999999999995</v>
      </c>
      <c r="AF93" s="11">
        <v>0.78</v>
      </c>
      <c r="AG93" s="12">
        <f t="shared" si="206"/>
        <v>158.30645161290323</v>
      </c>
      <c r="AH93" s="12">
        <f t="shared" si="193"/>
        <v>117.78</v>
      </c>
      <c r="AI93" s="11">
        <v>0.78</v>
      </c>
      <c r="AJ93" s="12">
        <f t="shared" si="207"/>
        <v>158.30645161290323</v>
      </c>
      <c r="AK93" s="12">
        <f t="shared" si="194"/>
        <v>117.78</v>
      </c>
      <c r="AM93" s="4">
        <v>2</v>
      </c>
      <c r="AN93" s="26">
        <f t="shared" si="208"/>
        <v>181.64650537634409</v>
      </c>
      <c r="AO93" s="26">
        <f t="shared" si="209"/>
        <v>135.14499999999998</v>
      </c>
      <c r="AP93" s="26">
        <f t="shared" si="210"/>
        <v>124.81854838709678</v>
      </c>
      <c r="AQ93" s="26">
        <f t="shared" si="211"/>
        <v>92.864999999999995</v>
      </c>
      <c r="AR93" s="26">
        <f t="shared" si="212"/>
        <v>173.52822580645164</v>
      </c>
      <c r="AS93" s="26">
        <f t="shared" si="213"/>
        <v>129.10500000000002</v>
      </c>
      <c r="AT93" s="26">
        <f t="shared" si="214"/>
        <v>173.52822580645164</v>
      </c>
      <c r="AU93" s="26">
        <f t="shared" ref="AU93:AU94" si="220">(U93+AK93)/2</f>
        <v>129.10500000000002</v>
      </c>
      <c r="AW93" s="4" t="s">
        <v>65</v>
      </c>
      <c r="AX93" s="11">
        <v>0.52</v>
      </c>
      <c r="AY93" s="12">
        <f t="shared" si="216"/>
        <v>105.53763440860216</v>
      </c>
      <c r="AZ93" s="12">
        <f t="shared" si="195"/>
        <v>78.52</v>
      </c>
      <c r="BA93" s="11">
        <v>0.31</v>
      </c>
      <c r="BB93" s="12">
        <f t="shared" si="217"/>
        <v>62.916666666666671</v>
      </c>
      <c r="BC93" s="12">
        <f t="shared" si="196"/>
        <v>46.81</v>
      </c>
      <c r="BD93" s="11">
        <v>0.55000000000000004</v>
      </c>
      <c r="BE93" s="12">
        <f t="shared" si="218"/>
        <v>111.62634408602152</v>
      </c>
      <c r="BF93" s="12">
        <f t="shared" si="197"/>
        <v>83.050000000000011</v>
      </c>
      <c r="BG93" s="11">
        <v>0.55000000000000004</v>
      </c>
      <c r="BH93" s="12">
        <f t="shared" si="219"/>
        <v>111.62634408602152</v>
      </c>
      <c r="BI93" s="12">
        <f t="shared" si="198"/>
        <v>83.050000000000011</v>
      </c>
    </row>
    <row r="94" spans="1:61" ht="14.4" x14ac:dyDescent="0.3">
      <c r="A94" s="13" t="s">
        <v>25</v>
      </c>
      <c r="B94" s="5">
        <v>31</v>
      </c>
      <c r="C94" s="5">
        <f t="shared" si="199"/>
        <v>744</v>
      </c>
      <c r="D94" s="9">
        <f t="shared" si="186"/>
        <v>162.63440860215053</v>
      </c>
      <c r="E94" s="5">
        <v>121</v>
      </c>
      <c r="H94" s="10"/>
      <c r="J94" s="11">
        <v>1.04</v>
      </c>
      <c r="K94" s="12">
        <f t="shared" si="187"/>
        <v>169.13978494623655</v>
      </c>
      <c r="L94" s="12">
        <f t="shared" si="200"/>
        <v>125.84</v>
      </c>
      <c r="M94" s="11">
        <v>0.73</v>
      </c>
      <c r="N94" s="12">
        <f t="shared" si="188"/>
        <v>118.72311827956989</v>
      </c>
      <c r="O94" s="12">
        <f t="shared" si="201"/>
        <v>88.33</v>
      </c>
      <c r="P94" s="11">
        <v>0.94</v>
      </c>
      <c r="Q94" s="12">
        <f t="shared" si="189"/>
        <v>152.87634408602148</v>
      </c>
      <c r="R94" s="12">
        <f t="shared" si="202"/>
        <v>113.74</v>
      </c>
      <c r="S94" s="11">
        <v>0.94</v>
      </c>
      <c r="T94" s="12">
        <f t="shared" si="190"/>
        <v>152.87634408602148</v>
      </c>
      <c r="U94" s="12">
        <f t="shared" si="203"/>
        <v>113.74</v>
      </c>
      <c r="X94" s="10"/>
      <c r="Y94" s="10"/>
      <c r="Z94" s="11">
        <v>0.91</v>
      </c>
      <c r="AA94" s="12">
        <f t="shared" si="204"/>
        <v>147.99731182795699</v>
      </c>
      <c r="AB94" s="12">
        <f t="shared" si="191"/>
        <v>110.11</v>
      </c>
      <c r="AC94" s="11">
        <v>0.35</v>
      </c>
      <c r="AD94" s="12">
        <f t="shared" si="205"/>
        <v>56.922043010752681</v>
      </c>
      <c r="AE94" s="12">
        <f t="shared" si="192"/>
        <v>42.349999999999994</v>
      </c>
      <c r="AF94" s="11">
        <v>0.79</v>
      </c>
      <c r="AG94" s="12">
        <f t="shared" si="206"/>
        <v>128.48118279569891</v>
      </c>
      <c r="AH94" s="12">
        <f t="shared" si="193"/>
        <v>95.59</v>
      </c>
      <c r="AI94" s="11">
        <v>0.79</v>
      </c>
      <c r="AJ94" s="12">
        <f t="shared" si="207"/>
        <v>128.48118279569891</v>
      </c>
      <c r="AK94" s="12">
        <f t="shared" si="194"/>
        <v>95.59</v>
      </c>
      <c r="AN94" s="26">
        <f t="shared" si="208"/>
        <v>158.56854838709677</v>
      </c>
      <c r="AO94" s="26">
        <f>(L94+AB94)/2</f>
        <v>117.97499999999999</v>
      </c>
      <c r="AP94" s="26">
        <f t="shared" si="210"/>
        <v>87.822580645161281</v>
      </c>
      <c r="AQ94" s="26">
        <f>(O94+AE94)/2</f>
        <v>65.34</v>
      </c>
      <c r="AR94" s="26">
        <f t="shared" si="212"/>
        <v>140.67876344086019</v>
      </c>
      <c r="AS94" s="26">
        <f t="shared" si="213"/>
        <v>104.66499999999999</v>
      </c>
      <c r="AT94" s="26">
        <f t="shared" si="214"/>
        <v>140.67876344086019</v>
      </c>
      <c r="AU94" s="26">
        <f t="shared" si="220"/>
        <v>104.66499999999999</v>
      </c>
      <c r="AX94" s="11">
        <v>0.62</v>
      </c>
      <c r="AY94" s="12">
        <f t="shared" si="216"/>
        <v>100.83333333333333</v>
      </c>
      <c r="AZ94" s="12">
        <f t="shared" si="195"/>
        <v>75.02</v>
      </c>
      <c r="BA94" s="11">
        <v>0.3</v>
      </c>
      <c r="BB94" s="12">
        <f t="shared" si="217"/>
        <v>48.79032258064516</v>
      </c>
      <c r="BC94" s="12">
        <f t="shared" si="196"/>
        <v>36.299999999999997</v>
      </c>
      <c r="BD94" s="11">
        <v>0.56999999999999995</v>
      </c>
      <c r="BE94" s="12">
        <f t="shared" si="218"/>
        <v>92.701612903225794</v>
      </c>
      <c r="BF94" s="12">
        <f t="shared" si="197"/>
        <v>68.97</v>
      </c>
      <c r="BG94" s="11">
        <v>0.56999999999999995</v>
      </c>
      <c r="BH94" s="12">
        <f t="shared" si="219"/>
        <v>92.701612903225794</v>
      </c>
      <c r="BI94" s="12">
        <f t="shared" si="198"/>
        <v>68.97</v>
      </c>
    </row>
    <row r="95" spans="1:61" ht="14.4" x14ac:dyDescent="0.3">
      <c r="A95" s="13" t="s">
        <v>26</v>
      </c>
      <c r="B95" s="5">
        <v>30</v>
      </c>
      <c r="C95" s="5">
        <f t="shared" si="199"/>
        <v>720</v>
      </c>
      <c r="D95" s="9">
        <f t="shared" si="186"/>
        <v>134.72222222222223</v>
      </c>
      <c r="E95" s="5">
        <v>97</v>
      </c>
      <c r="H95" s="10"/>
      <c r="J95" s="11">
        <v>1.17</v>
      </c>
      <c r="K95" s="12">
        <f t="shared" si="187"/>
        <v>157.625</v>
      </c>
      <c r="L95" s="12">
        <f t="shared" si="200"/>
        <v>113.49</v>
      </c>
      <c r="M95" s="11">
        <v>0.59</v>
      </c>
      <c r="N95" s="12">
        <f t="shared" si="188"/>
        <v>79.486111111111114</v>
      </c>
      <c r="O95" s="12">
        <f t="shared" si="201"/>
        <v>57.23</v>
      </c>
      <c r="P95" s="11">
        <v>0.95</v>
      </c>
      <c r="Q95" s="12">
        <f t="shared" si="189"/>
        <v>127.98611111111111</v>
      </c>
      <c r="R95" s="12">
        <f t="shared" si="202"/>
        <v>92.149999999999991</v>
      </c>
      <c r="S95" s="11">
        <v>0.95</v>
      </c>
      <c r="T95" s="12">
        <f t="shared" si="190"/>
        <v>127.98611111111111</v>
      </c>
      <c r="U95" s="12">
        <f t="shared" si="203"/>
        <v>92.149999999999991</v>
      </c>
      <c r="X95" s="10"/>
      <c r="Y95" s="10"/>
      <c r="Z95" s="11">
        <v>1.1100000000000001</v>
      </c>
      <c r="AA95" s="12">
        <f t="shared" si="204"/>
        <v>149.54166666666669</v>
      </c>
      <c r="AB95" s="12">
        <f t="shared" si="191"/>
        <v>107.67000000000002</v>
      </c>
      <c r="AC95" s="11">
        <v>0.31</v>
      </c>
      <c r="AD95" s="12">
        <f t="shared" si="205"/>
        <v>41.763888888888893</v>
      </c>
      <c r="AE95" s="12">
        <f t="shared" si="192"/>
        <v>30.07</v>
      </c>
      <c r="AF95" s="11">
        <v>0.81</v>
      </c>
      <c r="AG95" s="12">
        <f t="shared" si="206"/>
        <v>109.12500000000001</v>
      </c>
      <c r="AH95" s="12">
        <f t="shared" si="193"/>
        <v>78.570000000000007</v>
      </c>
      <c r="AI95" s="11">
        <v>0.81</v>
      </c>
      <c r="AJ95" s="12">
        <f t="shared" si="207"/>
        <v>109.12500000000001</v>
      </c>
      <c r="AK95" s="12">
        <f t="shared" si="194"/>
        <v>78.570000000000007</v>
      </c>
      <c r="AN95" s="26">
        <f t="shared" si="208"/>
        <v>153.58333333333334</v>
      </c>
      <c r="AO95" s="26">
        <f t="shared" ref="AO95:AO98" si="221">(L95+AB95)/2</f>
        <v>110.58000000000001</v>
      </c>
      <c r="AP95" s="26">
        <f t="shared" si="210"/>
        <v>60.625</v>
      </c>
      <c r="AQ95" s="26">
        <f t="shared" ref="AQ95:AQ98" si="222">(O95+AE95)/2</f>
        <v>43.65</v>
      </c>
      <c r="AR95" s="26">
        <f t="shared" si="212"/>
        <v>118.55555555555557</v>
      </c>
      <c r="AS95" s="26">
        <f t="shared" si="213"/>
        <v>85.36</v>
      </c>
      <c r="AT95" s="26">
        <f t="shared" si="214"/>
        <v>118.55555555555557</v>
      </c>
      <c r="AU95" s="26">
        <f>(U95+AK95)/2</f>
        <v>85.36</v>
      </c>
      <c r="AX95" s="11">
        <v>0.85</v>
      </c>
      <c r="AY95" s="12">
        <f t="shared" si="216"/>
        <v>114.51388888888889</v>
      </c>
      <c r="AZ95" s="12">
        <f t="shared" si="195"/>
        <v>82.45</v>
      </c>
      <c r="BA95" s="11">
        <v>0.28000000000000003</v>
      </c>
      <c r="BB95" s="12">
        <f t="shared" si="217"/>
        <v>37.722222222222229</v>
      </c>
      <c r="BC95" s="12">
        <f t="shared" si="196"/>
        <v>27.160000000000004</v>
      </c>
      <c r="BD95" s="11">
        <v>0.6</v>
      </c>
      <c r="BE95" s="12">
        <f t="shared" si="218"/>
        <v>80.833333333333329</v>
      </c>
      <c r="BF95" s="12">
        <f t="shared" si="197"/>
        <v>58.199999999999996</v>
      </c>
      <c r="BG95" s="11">
        <v>0.6</v>
      </c>
      <c r="BH95" s="12">
        <f t="shared" si="219"/>
        <v>80.833333333333329</v>
      </c>
      <c r="BI95" s="12">
        <f t="shared" si="198"/>
        <v>58.199999999999996</v>
      </c>
    </row>
    <row r="96" spans="1:61" ht="14.4" x14ac:dyDescent="0.3">
      <c r="A96" s="13" t="s">
        <v>5</v>
      </c>
      <c r="B96" s="5">
        <v>31</v>
      </c>
      <c r="C96" s="5">
        <f t="shared" si="199"/>
        <v>744</v>
      </c>
      <c r="D96" s="9">
        <f t="shared" si="186"/>
        <v>77.956989247311824</v>
      </c>
      <c r="E96" s="5">
        <v>58</v>
      </c>
      <c r="H96" s="10"/>
      <c r="J96" s="11">
        <v>1.33</v>
      </c>
      <c r="K96" s="12">
        <f t="shared" si="187"/>
        <v>103.68279569892474</v>
      </c>
      <c r="L96" s="12">
        <f t="shared" si="200"/>
        <v>77.14</v>
      </c>
      <c r="M96" s="11">
        <v>0.45</v>
      </c>
      <c r="N96" s="12">
        <f t="shared" si="188"/>
        <v>35.08064516129032</v>
      </c>
      <c r="O96" s="12">
        <f t="shared" si="201"/>
        <v>26.1</v>
      </c>
      <c r="P96" s="11">
        <v>0.96</v>
      </c>
      <c r="Q96" s="12">
        <f t="shared" si="189"/>
        <v>74.838709677419345</v>
      </c>
      <c r="R96" s="12">
        <f t="shared" si="202"/>
        <v>55.68</v>
      </c>
      <c r="S96" s="11">
        <v>0.96</v>
      </c>
      <c r="T96" s="12">
        <f t="shared" si="190"/>
        <v>74.838709677419345</v>
      </c>
      <c r="U96" s="12">
        <f t="shared" si="203"/>
        <v>55.68</v>
      </c>
      <c r="X96" s="10"/>
      <c r="Y96" s="10"/>
      <c r="Z96" s="11">
        <v>1.4</v>
      </c>
      <c r="AA96" s="12">
        <f t="shared" si="204"/>
        <v>109.13978494623655</v>
      </c>
      <c r="AB96" s="12">
        <f t="shared" si="191"/>
        <v>81.199999999999989</v>
      </c>
      <c r="AC96" s="11">
        <v>0.34</v>
      </c>
      <c r="AD96" s="12">
        <f t="shared" si="205"/>
        <v>26.505376344086024</v>
      </c>
      <c r="AE96" s="12">
        <f t="shared" si="192"/>
        <v>19.720000000000002</v>
      </c>
      <c r="AF96" s="11">
        <v>0.84</v>
      </c>
      <c r="AG96" s="12">
        <f t="shared" si="206"/>
        <v>65.483870967741936</v>
      </c>
      <c r="AH96" s="12">
        <f t="shared" si="193"/>
        <v>48.72</v>
      </c>
      <c r="AI96" s="11">
        <v>0.84</v>
      </c>
      <c r="AJ96" s="12">
        <f t="shared" si="207"/>
        <v>65.483870967741936</v>
      </c>
      <c r="AK96" s="12">
        <f t="shared" si="194"/>
        <v>48.72</v>
      </c>
      <c r="AN96" s="26">
        <f t="shared" si="208"/>
        <v>106.41129032258064</v>
      </c>
      <c r="AO96" s="26">
        <f t="shared" si="221"/>
        <v>79.169999999999987</v>
      </c>
      <c r="AP96" s="26">
        <f t="shared" si="210"/>
        <v>30.793010752688172</v>
      </c>
      <c r="AQ96" s="26">
        <f t="shared" si="222"/>
        <v>22.910000000000004</v>
      </c>
      <c r="AR96" s="26">
        <f t="shared" si="212"/>
        <v>70.161290322580641</v>
      </c>
      <c r="AS96" s="26">
        <f t="shared" si="213"/>
        <v>52.2</v>
      </c>
      <c r="AT96" s="26">
        <f t="shared" si="214"/>
        <v>70.161290322580641</v>
      </c>
      <c r="AU96" s="26">
        <f t="shared" ref="AU96:AU98" si="223">(U96+AK96)/2</f>
        <v>52.2</v>
      </c>
      <c r="AX96" s="11">
        <v>1.19</v>
      </c>
      <c r="AY96" s="12">
        <f t="shared" si="216"/>
        <v>92.768817204301072</v>
      </c>
      <c r="AZ96" s="12">
        <f t="shared" si="195"/>
        <v>69.02</v>
      </c>
      <c r="BA96" s="11">
        <v>0.3</v>
      </c>
      <c r="BB96" s="12">
        <f t="shared" si="217"/>
        <v>23.387096774193548</v>
      </c>
      <c r="BC96" s="12">
        <f t="shared" si="196"/>
        <v>17.399999999999999</v>
      </c>
      <c r="BD96" s="11">
        <v>0.63</v>
      </c>
      <c r="BE96" s="12">
        <f t="shared" si="218"/>
        <v>49.112903225806448</v>
      </c>
      <c r="BF96" s="12">
        <f t="shared" si="197"/>
        <v>36.54</v>
      </c>
      <c r="BG96" s="11">
        <v>0.63</v>
      </c>
      <c r="BH96" s="12">
        <f t="shared" si="219"/>
        <v>49.112903225806448</v>
      </c>
      <c r="BI96" s="12">
        <f t="shared" si="198"/>
        <v>36.54</v>
      </c>
    </row>
    <row r="97" spans="1:61" ht="14.4" x14ac:dyDescent="0.3">
      <c r="A97" s="13" t="s">
        <v>6</v>
      </c>
      <c r="B97" s="5">
        <v>30</v>
      </c>
      <c r="C97" s="5">
        <f t="shared" si="199"/>
        <v>720</v>
      </c>
      <c r="D97" s="9">
        <f t="shared" si="186"/>
        <v>41.666666666666664</v>
      </c>
      <c r="E97" s="5">
        <v>30</v>
      </c>
      <c r="H97" s="10"/>
      <c r="J97" s="11">
        <v>1.52</v>
      </c>
      <c r="K97" s="12">
        <f t="shared" si="187"/>
        <v>63.333333333333329</v>
      </c>
      <c r="L97" s="12">
        <f t="shared" si="200"/>
        <v>45.6</v>
      </c>
      <c r="M97" s="11">
        <v>0.47</v>
      </c>
      <c r="N97" s="12">
        <f t="shared" si="188"/>
        <v>19.583333333333332</v>
      </c>
      <c r="O97" s="12">
        <f t="shared" si="201"/>
        <v>14.1</v>
      </c>
      <c r="P97" s="11">
        <v>0.97</v>
      </c>
      <c r="Q97" s="12">
        <f t="shared" si="189"/>
        <v>40.416666666666664</v>
      </c>
      <c r="R97" s="12">
        <f t="shared" si="202"/>
        <v>29.099999999999998</v>
      </c>
      <c r="S97" s="11">
        <v>0.97</v>
      </c>
      <c r="T97" s="12">
        <f t="shared" si="190"/>
        <v>40.416666666666664</v>
      </c>
      <c r="U97" s="12">
        <f t="shared" si="203"/>
        <v>29.099999999999998</v>
      </c>
      <c r="X97" s="10"/>
      <c r="Y97" s="10"/>
      <c r="Z97" s="11">
        <v>1.75</v>
      </c>
      <c r="AA97" s="12">
        <f t="shared" si="204"/>
        <v>72.916666666666657</v>
      </c>
      <c r="AB97" s="12">
        <f t="shared" si="191"/>
        <v>52.5</v>
      </c>
      <c r="AC97" s="11">
        <v>0.4</v>
      </c>
      <c r="AD97" s="12">
        <f t="shared" si="205"/>
        <v>16.666666666666668</v>
      </c>
      <c r="AE97" s="12">
        <f t="shared" si="192"/>
        <v>12</v>
      </c>
      <c r="AF97" s="11">
        <v>0.86</v>
      </c>
      <c r="AG97" s="12">
        <f t="shared" si="206"/>
        <v>35.833333333333329</v>
      </c>
      <c r="AH97" s="12">
        <f t="shared" si="193"/>
        <v>25.8</v>
      </c>
      <c r="AI97" s="11">
        <v>0.86</v>
      </c>
      <c r="AJ97" s="12">
        <f t="shared" si="207"/>
        <v>35.833333333333329</v>
      </c>
      <c r="AK97" s="12">
        <f t="shared" si="194"/>
        <v>25.8</v>
      </c>
      <c r="AN97" s="26">
        <f t="shared" si="208"/>
        <v>68.125</v>
      </c>
      <c r="AO97" s="26">
        <f t="shared" si="221"/>
        <v>49.05</v>
      </c>
      <c r="AP97" s="26">
        <f t="shared" si="210"/>
        <v>18.125</v>
      </c>
      <c r="AQ97" s="26">
        <f t="shared" si="222"/>
        <v>13.05</v>
      </c>
      <c r="AR97" s="26">
        <f t="shared" si="212"/>
        <v>38.125</v>
      </c>
      <c r="AS97" s="26">
        <f t="shared" si="213"/>
        <v>27.45</v>
      </c>
      <c r="AT97" s="26">
        <f t="shared" si="214"/>
        <v>38.125</v>
      </c>
      <c r="AU97" s="26">
        <f t="shared" si="223"/>
        <v>27.45</v>
      </c>
      <c r="AX97" s="11">
        <v>1.62</v>
      </c>
      <c r="AY97" s="12">
        <f t="shared" si="216"/>
        <v>67.5</v>
      </c>
      <c r="AZ97" s="12">
        <f t="shared" si="195"/>
        <v>48.6</v>
      </c>
      <c r="BA97" s="11">
        <v>0.37</v>
      </c>
      <c r="BB97" s="12">
        <f t="shared" si="217"/>
        <v>15.416666666666666</v>
      </c>
      <c r="BC97" s="12">
        <f t="shared" si="196"/>
        <v>11.1</v>
      </c>
      <c r="BD97" s="11">
        <v>0.65</v>
      </c>
      <c r="BE97" s="12">
        <f t="shared" si="218"/>
        <v>27.083333333333332</v>
      </c>
      <c r="BF97" s="12">
        <f t="shared" si="197"/>
        <v>19.5</v>
      </c>
      <c r="BG97" s="11">
        <v>0.65</v>
      </c>
      <c r="BH97" s="12">
        <f t="shared" si="219"/>
        <v>27.083333333333332</v>
      </c>
      <c r="BI97" s="12">
        <f t="shared" si="198"/>
        <v>19.5</v>
      </c>
    </row>
    <row r="98" spans="1:61" ht="15" thickBot="1" x14ac:dyDescent="0.35">
      <c r="A98" s="14" t="s">
        <v>7</v>
      </c>
      <c r="B98" s="5">
        <v>31</v>
      </c>
      <c r="C98" s="5">
        <f t="shared" si="199"/>
        <v>744</v>
      </c>
      <c r="D98" s="9">
        <f t="shared" si="186"/>
        <v>28.225806451612904</v>
      </c>
      <c r="E98" s="5">
        <v>21</v>
      </c>
      <c r="H98" s="10"/>
      <c r="J98" s="11">
        <v>1.76</v>
      </c>
      <c r="K98" s="12">
        <f t="shared" si="187"/>
        <v>49.677419354838712</v>
      </c>
      <c r="L98" s="12">
        <f t="shared" si="200"/>
        <v>36.96</v>
      </c>
      <c r="M98" s="11">
        <v>0.48</v>
      </c>
      <c r="N98" s="12">
        <f t="shared" si="188"/>
        <v>13.548387096774194</v>
      </c>
      <c r="O98" s="12">
        <f t="shared" si="201"/>
        <v>10.08</v>
      </c>
      <c r="P98" s="11">
        <v>0.99</v>
      </c>
      <c r="Q98" s="12">
        <f t="shared" si="189"/>
        <v>27.943548387096776</v>
      </c>
      <c r="R98" s="12">
        <f t="shared" si="202"/>
        <v>20.79</v>
      </c>
      <c r="S98" s="11">
        <v>0.99</v>
      </c>
      <c r="T98" s="12">
        <f t="shared" si="190"/>
        <v>27.943548387096776</v>
      </c>
      <c r="U98" s="12">
        <f t="shared" si="203"/>
        <v>20.79</v>
      </c>
      <c r="X98" s="10"/>
      <c r="Y98" s="10"/>
      <c r="Z98" s="11">
        <v>2.15</v>
      </c>
      <c r="AA98" s="12">
        <f t="shared" si="204"/>
        <v>60.685483870967744</v>
      </c>
      <c r="AB98" s="12">
        <f t="shared" si="191"/>
        <v>45.15</v>
      </c>
      <c r="AC98" s="11">
        <v>0.46</v>
      </c>
      <c r="AD98" s="12">
        <f t="shared" si="205"/>
        <v>12.983870967741936</v>
      </c>
      <c r="AE98" s="12">
        <f t="shared" si="192"/>
        <v>9.66</v>
      </c>
      <c r="AF98" s="11">
        <v>0.9</v>
      </c>
      <c r="AG98" s="12">
        <f t="shared" si="206"/>
        <v>25.403225806451616</v>
      </c>
      <c r="AH98" s="12">
        <f t="shared" si="193"/>
        <v>18.900000000000002</v>
      </c>
      <c r="AI98" s="11">
        <v>0.9</v>
      </c>
      <c r="AJ98" s="12">
        <f t="shared" si="207"/>
        <v>25.403225806451616</v>
      </c>
      <c r="AK98" s="12">
        <f t="shared" si="194"/>
        <v>18.900000000000002</v>
      </c>
      <c r="AN98" s="26">
        <f t="shared" si="208"/>
        <v>55.181451612903231</v>
      </c>
      <c r="AO98" s="26">
        <f t="shared" si="221"/>
        <v>41.055</v>
      </c>
      <c r="AP98" s="26">
        <f t="shared" si="210"/>
        <v>13.266129032258064</v>
      </c>
      <c r="AQ98" s="26">
        <f t="shared" si="222"/>
        <v>9.870000000000001</v>
      </c>
      <c r="AR98" s="26">
        <f t="shared" si="212"/>
        <v>26.673387096774196</v>
      </c>
      <c r="AS98" s="26">
        <f t="shared" si="213"/>
        <v>19.844999999999999</v>
      </c>
      <c r="AT98" s="26">
        <f t="shared" si="214"/>
        <v>26.673387096774196</v>
      </c>
      <c r="AU98" s="26">
        <f t="shared" si="223"/>
        <v>19.844999999999999</v>
      </c>
      <c r="AX98" s="11">
        <v>2.19</v>
      </c>
      <c r="AY98" s="12">
        <f t="shared" si="216"/>
        <v>61.814516129032256</v>
      </c>
      <c r="AZ98" s="12">
        <f t="shared" si="195"/>
        <v>45.99</v>
      </c>
      <c r="BA98" s="11">
        <v>0.46</v>
      </c>
      <c r="BB98" s="12">
        <f t="shared" si="217"/>
        <v>12.983870967741936</v>
      </c>
      <c r="BC98" s="12">
        <f t="shared" si="196"/>
        <v>9.66</v>
      </c>
      <c r="BD98" s="11">
        <v>0.77</v>
      </c>
      <c r="BE98" s="12">
        <f t="shared" si="218"/>
        <v>21.733870967741936</v>
      </c>
      <c r="BF98" s="12">
        <f t="shared" si="197"/>
        <v>16.170000000000002</v>
      </c>
      <c r="BG98" s="11">
        <v>0.77</v>
      </c>
      <c r="BH98" s="12">
        <f t="shared" si="219"/>
        <v>21.733870967741936</v>
      </c>
      <c r="BI98" s="12">
        <f t="shared" si="198"/>
        <v>16.170000000000002</v>
      </c>
    </row>
    <row r="102" spans="1:61" x14ac:dyDescent="0.25">
      <c r="A102" s="15" t="s">
        <v>44</v>
      </c>
      <c r="B102" s="7" t="s">
        <v>10</v>
      </c>
      <c r="C102" s="7" t="s">
        <v>11</v>
      </c>
      <c r="E102" s="7" t="s">
        <v>12</v>
      </c>
      <c r="F102" s="7"/>
      <c r="G102" s="7"/>
      <c r="J102" s="36" t="s">
        <v>15</v>
      </c>
      <c r="K102" s="37"/>
      <c r="L102" s="38"/>
      <c r="M102" s="36" t="s">
        <v>16</v>
      </c>
      <c r="N102" s="37"/>
      <c r="O102" s="38"/>
      <c r="P102" s="36" t="s">
        <v>17</v>
      </c>
      <c r="Q102" s="37"/>
      <c r="R102" s="37"/>
      <c r="S102" s="34" t="s">
        <v>18</v>
      </c>
      <c r="T102" s="34"/>
      <c r="U102" s="34"/>
      <c r="Z102" s="36" t="s">
        <v>15</v>
      </c>
      <c r="AA102" s="37"/>
      <c r="AB102" s="38"/>
      <c r="AC102" s="36" t="s">
        <v>16</v>
      </c>
      <c r="AD102" s="37"/>
      <c r="AE102" s="38"/>
      <c r="AF102" s="36" t="s">
        <v>17</v>
      </c>
      <c r="AG102" s="37"/>
      <c r="AH102" s="37"/>
      <c r="AI102" s="34" t="s">
        <v>18</v>
      </c>
      <c r="AJ102" s="34"/>
      <c r="AK102" s="34"/>
      <c r="AN102" s="32" t="s">
        <v>15</v>
      </c>
      <c r="AO102" s="33"/>
      <c r="AP102" s="32" t="s">
        <v>16</v>
      </c>
      <c r="AQ102" s="33"/>
      <c r="AR102" s="32" t="s">
        <v>19</v>
      </c>
      <c r="AS102" s="33"/>
      <c r="AT102" s="34" t="s">
        <v>18</v>
      </c>
      <c r="AU102" s="34"/>
      <c r="AX102" s="36" t="s">
        <v>15</v>
      </c>
      <c r="AY102" s="37"/>
      <c r="AZ102" s="38"/>
      <c r="BA102" s="36" t="s">
        <v>16</v>
      </c>
      <c r="BB102" s="37"/>
      <c r="BC102" s="38"/>
      <c r="BD102" s="36" t="s">
        <v>17</v>
      </c>
      <c r="BE102" s="37"/>
      <c r="BF102" s="37"/>
      <c r="BG102" s="34" t="s">
        <v>18</v>
      </c>
      <c r="BH102" s="34"/>
      <c r="BI102" s="34"/>
    </row>
    <row r="103" spans="1:61" ht="13.8" thickBot="1" x14ac:dyDescent="0.3">
      <c r="D103" s="5" t="s">
        <v>14</v>
      </c>
      <c r="E103" s="5" t="s">
        <v>13</v>
      </c>
      <c r="J103" s="4" t="s">
        <v>48</v>
      </c>
      <c r="K103" s="4" t="s">
        <v>14</v>
      </c>
      <c r="L103" s="4" t="s">
        <v>13</v>
      </c>
      <c r="M103" s="4" t="s">
        <v>48</v>
      </c>
      <c r="N103" s="4" t="s">
        <v>14</v>
      </c>
      <c r="O103" s="4" t="s">
        <v>13</v>
      </c>
      <c r="P103" s="4" t="s">
        <v>48</v>
      </c>
      <c r="Q103" s="4" t="s">
        <v>14</v>
      </c>
      <c r="R103" s="4" t="s">
        <v>13</v>
      </c>
      <c r="S103" s="24" t="s">
        <v>48</v>
      </c>
      <c r="T103" s="24" t="s">
        <v>14</v>
      </c>
      <c r="U103" s="24" t="s">
        <v>13</v>
      </c>
      <c r="Z103" s="4" t="s">
        <v>48</v>
      </c>
      <c r="AA103" s="4" t="s">
        <v>14</v>
      </c>
      <c r="AB103" s="4" t="s">
        <v>13</v>
      </c>
      <c r="AC103" s="4" t="s">
        <v>48</v>
      </c>
      <c r="AD103" s="4" t="s">
        <v>14</v>
      </c>
      <c r="AE103" s="4" t="s">
        <v>13</v>
      </c>
      <c r="AF103" s="4" t="s">
        <v>48</v>
      </c>
      <c r="AG103" s="4" t="s">
        <v>14</v>
      </c>
      <c r="AH103" s="4" t="s">
        <v>13</v>
      </c>
      <c r="AI103" s="24" t="s">
        <v>48</v>
      </c>
      <c r="AJ103" s="24" t="s">
        <v>14</v>
      </c>
      <c r="AK103" s="24" t="s">
        <v>13</v>
      </c>
      <c r="AN103" s="24" t="s">
        <v>14</v>
      </c>
      <c r="AO103" s="24" t="s">
        <v>13</v>
      </c>
      <c r="AP103" s="24" t="s">
        <v>14</v>
      </c>
      <c r="AQ103" s="24" t="s">
        <v>13</v>
      </c>
      <c r="AR103" s="24" t="s">
        <v>14</v>
      </c>
      <c r="AS103" s="24" t="s">
        <v>13</v>
      </c>
      <c r="AT103" s="24" t="s">
        <v>14</v>
      </c>
      <c r="AU103" s="24" t="s">
        <v>13</v>
      </c>
      <c r="AX103" s="4" t="s">
        <v>48</v>
      </c>
      <c r="AY103" s="4" t="s">
        <v>14</v>
      </c>
      <c r="AZ103" s="4" t="s">
        <v>13</v>
      </c>
      <c r="BA103" s="4" t="s">
        <v>48</v>
      </c>
      <c r="BB103" s="4" t="s">
        <v>14</v>
      </c>
      <c r="BC103" s="4" t="s">
        <v>13</v>
      </c>
      <c r="BD103" s="4" t="s">
        <v>48</v>
      </c>
      <c r="BE103" s="4" t="s">
        <v>14</v>
      </c>
      <c r="BF103" s="4" t="s">
        <v>13</v>
      </c>
      <c r="BG103" s="24" t="s">
        <v>48</v>
      </c>
      <c r="BH103" s="24" t="s">
        <v>14</v>
      </c>
      <c r="BI103" s="24" t="s">
        <v>13</v>
      </c>
    </row>
    <row r="104" spans="1:61" ht="14.4" x14ac:dyDescent="0.3">
      <c r="A104" s="8" t="s">
        <v>1</v>
      </c>
      <c r="B104" s="5">
        <v>31</v>
      </c>
      <c r="C104" s="5">
        <f>B104*24</f>
        <v>744</v>
      </c>
      <c r="D104" s="9">
        <f t="shared" ref="D104:D115" si="224">E104*1000/C104</f>
        <v>40.322580645161288</v>
      </c>
      <c r="E104" s="5">
        <v>30</v>
      </c>
      <c r="H104" s="10"/>
      <c r="J104" s="11">
        <v>1.61</v>
      </c>
      <c r="K104" s="12">
        <f t="shared" ref="K104:K115" si="225">J104*D104</f>
        <v>64.91935483870968</v>
      </c>
      <c r="L104" s="12">
        <f>$E104*J104</f>
        <v>48.300000000000004</v>
      </c>
      <c r="M104" s="11">
        <v>0.52</v>
      </c>
      <c r="N104" s="12">
        <f t="shared" ref="N104:N115" si="226">M104*D104</f>
        <v>20.967741935483872</v>
      </c>
      <c r="O104" s="12">
        <f>$E104*M104</f>
        <v>15.600000000000001</v>
      </c>
      <c r="P104" s="11">
        <v>1</v>
      </c>
      <c r="Q104" s="12">
        <f t="shared" ref="Q104:Q115" si="227">P104*D104</f>
        <v>40.322580645161288</v>
      </c>
      <c r="R104" s="12">
        <f>$E104*P104</f>
        <v>30</v>
      </c>
      <c r="S104" s="11">
        <v>1</v>
      </c>
      <c r="T104" s="12">
        <f t="shared" ref="T104:T115" si="228">S104*D104</f>
        <v>40.322580645161288</v>
      </c>
      <c r="U104" s="12">
        <f>$E104*S104</f>
        <v>30</v>
      </c>
      <c r="X104" s="10"/>
      <c r="Y104" s="10"/>
      <c r="Z104" s="11">
        <v>1.94</v>
      </c>
      <c r="AA104" s="12">
        <f>Z104*$D104</f>
        <v>78.225806451612897</v>
      </c>
      <c r="AB104" s="12">
        <f t="shared" ref="AB104:AB115" si="229">$E104*Z104</f>
        <v>58.199999999999996</v>
      </c>
      <c r="AC104" s="11">
        <v>0.51</v>
      </c>
      <c r="AD104" s="12">
        <f>AC104*$D104</f>
        <v>20.564516129032256</v>
      </c>
      <c r="AE104" s="12">
        <f t="shared" ref="AE104:AE115" si="230">$E104*AC104</f>
        <v>15.3</v>
      </c>
      <c r="AF104" s="11">
        <v>0.95</v>
      </c>
      <c r="AG104" s="12">
        <f>AF104*$D104</f>
        <v>38.306451612903224</v>
      </c>
      <c r="AH104" s="12">
        <f t="shared" ref="AH104:AH115" si="231">$E104*AF104</f>
        <v>28.5</v>
      </c>
      <c r="AI104" s="11">
        <v>0.95</v>
      </c>
      <c r="AJ104" s="12">
        <f>AI104*$D104</f>
        <v>38.306451612903224</v>
      </c>
      <c r="AK104" s="12">
        <f t="shared" ref="AK104:AK115" si="232">$E104*AI104</f>
        <v>28.5</v>
      </c>
      <c r="AN104" s="26">
        <f>(K104+AA104)/2</f>
        <v>71.572580645161281</v>
      </c>
      <c r="AO104" s="26">
        <f>(L104+AB104)/2</f>
        <v>53.25</v>
      </c>
      <c r="AP104" s="26">
        <f>(N104+AD104)/2</f>
        <v>20.766129032258064</v>
      </c>
      <c r="AQ104" s="26">
        <f>(O104+AE104)/2</f>
        <v>15.450000000000001</v>
      </c>
      <c r="AR104" s="26">
        <f>(Q104+AG104)/2</f>
        <v>39.314516129032256</v>
      </c>
      <c r="AS104" s="26">
        <f>(R104+AH104)/2</f>
        <v>29.25</v>
      </c>
      <c r="AT104" s="26">
        <f>(T104+AJ104)/2</f>
        <v>39.314516129032256</v>
      </c>
      <c r="AU104" s="26">
        <f>(U104+AK104)/2</f>
        <v>29.25</v>
      </c>
      <c r="AX104" s="11">
        <v>1.92</v>
      </c>
      <c r="AY104" s="12">
        <f>AX104*$D104</f>
        <v>77.419354838709666</v>
      </c>
      <c r="AZ104" s="12">
        <f t="shared" ref="AZ104:AZ115" si="233">$E104*AX104</f>
        <v>57.599999999999994</v>
      </c>
      <c r="BA104" s="11">
        <v>0.55000000000000004</v>
      </c>
      <c r="BB104" s="12">
        <f>BA104*$D104</f>
        <v>22.177419354838712</v>
      </c>
      <c r="BC104" s="12">
        <f t="shared" ref="BC104:BC115" si="234">$E104*BA104</f>
        <v>16.5</v>
      </c>
      <c r="BD104" s="11">
        <v>0.85</v>
      </c>
      <c r="BE104" s="12">
        <f>BD104*$D104</f>
        <v>34.274193548387096</v>
      </c>
      <c r="BF104" s="12">
        <f t="shared" ref="BF104:BF115" si="235">$E104*BD104</f>
        <v>25.5</v>
      </c>
      <c r="BG104" s="11">
        <v>0.85</v>
      </c>
      <c r="BH104" s="12">
        <f>BG104*$D104</f>
        <v>34.274193548387096</v>
      </c>
      <c r="BI104" s="12">
        <f t="shared" ref="BI104:BI115" si="236">$E104*BG104</f>
        <v>25.5</v>
      </c>
    </row>
    <row r="105" spans="1:61" ht="14.4" x14ac:dyDescent="0.3">
      <c r="A105" s="13" t="s">
        <v>2</v>
      </c>
      <c r="B105" s="5">
        <v>28</v>
      </c>
      <c r="C105" s="5">
        <f t="shared" ref="C105:C115" si="237">B105*24</f>
        <v>672</v>
      </c>
      <c r="D105" s="9">
        <f t="shared" si="224"/>
        <v>81.845238095238102</v>
      </c>
      <c r="E105" s="5">
        <v>55</v>
      </c>
      <c r="H105" s="10"/>
      <c r="J105" s="11">
        <v>1.45</v>
      </c>
      <c r="K105" s="12">
        <f t="shared" si="225"/>
        <v>118.67559523809524</v>
      </c>
      <c r="L105" s="12">
        <f t="shared" ref="L105:L115" si="238">$E105*J105</f>
        <v>79.75</v>
      </c>
      <c r="M105" s="11">
        <v>0.45</v>
      </c>
      <c r="N105" s="12">
        <f t="shared" si="226"/>
        <v>36.830357142857146</v>
      </c>
      <c r="O105" s="12">
        <f t="shared" ref="O105:O115" si="239">$E105*M105</f>
        <v>24.75</v>
      </c>
      <c r="P105" s="11">
        <v>0.98</v>
      </c>
      <c r="Q105" s="12">
        <f t="shared" si="227"/>
        <v>80.208333333333343</v>
      </c>
      <c r="R105" s="12">
        <f t="shared" ref="R105:R115" si="240">$E105*P105</f>
        <v>53.9</v>
      </c>
      <c r="S105" s="11">
        <v>0.98</v>
      </c>
      <c r="T105" s="12">
        <f t="shared" si="228"/>
        <v>80.208333333333343</v>
      </c>
      <c r="U105" s="12">
        <f t="shared" ref="U105:U115" si="241">$E105*S105</f>
        <v>53.9</v>
      </c>
      <c r="X105" s="10"/>
      <c r="Y105" s="10"/>
      <c r="Z105" s="11">
        <v>1.64</v>
      </c>
      <c r="AA105" s="12">
        <f t="shared" ref="AA105:AA115" si="242">Z105*$D105</f>
        <v>134.22619047619048</v>
      </c>
      <c r="AB105" s="12">
        <f t="shared" si="229"/>
        <v>90.199999999999989</v>
      </c>
      <c r="AC105" s="11">
        <v>0.44</v>
      </c>
      <c r="AD105" s="12">
        <f t="shared" ref="AD105:AD115" si="243">AC105*$D105</f>
        <v>36.011904761904766</v>
      </c>
      <c r="AE105" s="12">
        <f t="shared" si="230"/>
        <v>24.2</v>
      </c>
      <c r="AF105" s="11">
        <v>0.92</v>
      </c>
      <c r="AG105" s="12">
        <f t="shared" ref="AG105:AG115" si="244">AF105*$D105</f>
        <v>75.297619047619051</v>
      </c>
      <c r="AH105" s="12">
        <f t="shared" si="231"/>
        <v>50.6</v>
      </c>
      <c r="AI105" s="11">
        <v>0.92</v>
      </c>
      <c r="AJ105" s="12">
        <f t="shared" ref="AJ105:AJ115" si="245">AI105*$D105</f>
        <v>75.297619047619051</v>
      </c>
      <c r="AK105" s="12">
        <f t="shared" si="232"/>
        <v>50.6</v>
      </c>
      <c r="AN105" s="26">
        <f t="shared" ref="AN105:AN115" si="246">(K105+AA105)/2</f>
        <v>126.45089285714286</v>
      </c>
      <c r="AO105" s="26">
        <f t="shared" ref="AO105:AO110" si="247">(L105+AB105)/2</f>
        <v>84.974999999999994</v>
      </c>
      <c r="AP105" s="26">
        <f t="shared" ref="AP105:AP115" si="248">(N105+AD105)/2</f>
        <v>36.421130952380956</v>
      </c>
      <c r="AQ105" s="26">
        <f t="shared" ref="AQ105:AQ110" si="249">(O105+AE105)/2</f>
        <v>24.475000000000001</v>
      </c>
      <c r="AR105" s="26">
        <f t="shared" ref="AR105:AR115" si="250">(Q105+AG105)/2</f>
        <v>77.752976190476204</v>
      </c>
      <c r="AS105" s="26">
        <f t="shared" ref="AS105:AS115" si="251">(R105+AH105)/2</f>
        <v>52.25</v>
      </c>
      <c r="AT105" s="26">
        <f t="shared" ref="AT105:AT115" si="252">(T105+AJ105)/2</f>
        <v>77.752976190476204</v>
      </c>
      <c r="AU105" s="26">
        <f t="shared" ref="AU105:AU108" si="253">(U105+AK105)/2</f>
        <v>52.25</v>
      </c>
      <c r="AX105" s="11">
        <v>1.54</v>
      </c>
      <c r="AY105" s="12">
        <f t="shared" ref="AY105:AY115" si="254">AX105*$D105</f>
        <v>126.04166666666669</v>
      </c>
      <c r="AZ105" s="12">
        <f t="shared" si="233"/>
        <v>84.7</v>
      </c>
      <c r="BA105" s="11">
        <v>0.47</v>
      </c>
      <c r="BB105" s="12">
        <f t="shared" ref="BB105:BB115" si="255">BA105*$D105</f>
        <v>38.467261904761905</v>
      </c>
      <c r="BC105" s="12">
        <f t="shared" si="234"/>
        <v>25.849999999999998</v>
      </c>
      <c r="BD105" s="11">
        <v>0.8</v>
      </c>
      <c r="BE105" s="12">
        <f t="shared" ref="BE105:BE115" si="256">BD105*$D105</f>
        <v>65.476190476190482</v>
      </c>
      <c r="BF105" s="12">
        <f t="shared" si="235"/>
        <v>44</v>
      </c>
      <c r="BG105" s="11">
        <v>0.8</v>
      </c>
      <c r="BH105" s="12">
        <f t="shared" ref="BH105:BH115" si="257">BG105*$D105</f>
        <v>65.476190476190482</v>
      </c>
      <c r="BI105" s="12">
        <f t="shared" si="236"/>
        <v>44</v>
      </c>
    </row>
    <row r="106" spans="1:61" ht="14.4" x14ac:dyDescent="0.3">
      <c r="A106" s="13" t="s">
        <v>3</v>
      </c>
      <c r="B106" s="5">
        <v>31</v>
      </c>
      <c r="C106" s="5">
        <f t="shared" si="237"/>
        <v>744</v>
      </c>
      <c r="D106" s="9">
        <f t="shared" si="224"/>
        <v>123.65591397849462</v>
      </c>
      <c r="E106" s="5">
        <v>92</v>
      </c>
      <c r="H106" s="10"/>
      <c r="J106" s="11">
        <v>1.25</v>
      </c>
      <c r="K106" s="12">
        <f t="shared" si="225"/>
        <v>154.56989247311827</v>
      </c>
      <c r="L106" s="12">
        <f t="shared" si="238"/>
        <v>115</v>
      </c>
      <c r="M106" s="11">
        <v>0.52</v>
      </c>
      <c r="N106" s="12">
        <f t="shared" si="226"/>
        <v>64.3010752688172</v>
      </c>
      <c r="O106" s="12">
        <f t="shared" si="239"/>
        <v>47.84</v>
      </c>
      <c r="P106" s="11">
        <v>0.96</v>
      </c>
      <c r="Q106" s="12">
        <f t="shared" si="227"/>
        <v>118.70967741935483</v>
      </c>
      <c r="R106" s="12">
        <f t="shared" si="240"/>
        <v>88.32</v>
      </c>
      <c r="S106" s="11">
        <v>0.96</v>
      </c>
      <c r="T106" s="12">
        <f t="shared" si="228"/>
        <v>118.70967741935483</v>
      </c>
      <c r="U106" s="12">
        <f t="shared" si="241"/>
        <v>88.32</v>
      </c>
      <c r="X106" s="10"/>
      <c r="Y106" s="10"/>
      <c r="Z106" s="11">
        <v>1.28</v>
      </c>
      <c r="AA106" s="12">
        <f t="shared" si="242"/>
        <v>158.27956989247312</v>
      </c>
      <c r="AB106" s="12">
        <f t="shared" si="229"/>
        <v>117.76</v>
      </c>
      <c r="AC106" s="11">
        <v>0.35</v>
      </c>
      <c r="AD106" s="12">
        <f t="shared" si="243"/>
        <v>43.279569892473113</v>
      </c>
      <c r="AE106" s="12">
        <f t="shared" si="230"/>
        <v>32.199999999999996</v>
      </c>
      <c r="AF106" s="11">
        <v>0.85</v>
      </c>
      <c r="AG106" s="12">
        <f t="shared" si="244"/>
        <v>105.10752688172043</v>
      </c>
      <c r="AH106" s="12">
        <f t="shared" si="231"/>
        <v>78.2</v>
      </c>
      <c r="AI106" s="11">
        <v>0.85</v>
      </c>
      <c r="AJ106" s="12">
        <f t="shared" si="245"/>
        <v>105.10752688172043</v>
      </c>
      <c r="AK106" s="12">
        <f t="shared" si="232"/>
        <v>78.2</v>
      </c>
      <c r="AN106" s="26">
        <f t="shared" si="246"/>
        <v>156.42473118279571</v>
      </c>
      <c r="AO106" s="26">
        <f t="shared" si="247"/>
        <v>116.38</v>
      </c>
      <c r="AP106" s="26">
        <f t="shared" si="248"/>
        <v>53.790322580645153</v>
      </c>
      <c r="AQ106" s="26">
        <f t="shared" si="249"/>
        <v>40.019999999999996</v>
      </c>
      <c r="AR106" s="26">
        <f t="shared" si="250"/>
        <v>111.90860215053763</v>
      </c>
      <c r="AS106" s="26">
        <f t="shared" si="251"/>
        <v>83.259999999999991</v>
      </c>
      <c r="AT106" s="26">
        <f t="shared" si="252"/>
        <v>111.90860215053763</v>
      </c>
      <c r="AU106" s="26">
        <f t="shared" si="253"/>
        <v>83.259999999999991</v>
      </c>
      <c r="AX106" s="11">
        <v>1.06</v>
      </c>
      <c r="AY106" s="12">
        <f t="shared" si="254"/>
        <v>131.07526881720432</v>
      </c>
      <c r="AZ106" s="12">
        <f t="shared" si="233"/>
        <v>97.52000000000001</v>
      </c>
      <c r="BA106" s="11">
        <v>0.34</v>
      </c>
      <c r="BB106" s="12">
        <f t="shared" si="255"/>
        <v>42.043010752688176</v>
      </c>
      <c r="BC106" s="12">
        <f t="shared" si="234"/>
        <v>31.28</v>
      </c>
      <c r="BD106" s="11">
        <v>0.67</v>
      </c>
      <c r="BE106" s="12">
        <f t="shared" si="256"/>
        <v>82.849462365591407</v>
      </c>
      <c r="BF106" s="12">
        <f t="shared" si="235"/>
        <v>61.64</v>
      </c>
      <c r="BG106" s="11">
        <v>0.67</v>
      </c>
      <c r="BH106" s="12">
        <f t="shared" si="257"/>
        <v>82.849462365591407</v>
      </c>
      <c r="BI106" s="12">
        <f t="shared" si="236"/>
        <v>61.64</v>
      </c>
    </row>
    <row r="107" spans="1:61" ht="14.4" x14ac:dyDescent="0.3">
      <c r="A107" s="13" t="s">
        <v>4</v>
      </c>
      <c r="B107" s="5">
        <v>30</v>
      </c>
      <c r="C107" s="5">
        <f t="shared" si="237"/>
        <v>720</v>
      </c>
      <c r="D107" s="9">
        <f t="shared" si="224"/>
        <v>191.66666666666666</v>
      </c>
      <c r="E107" s="5">
        <v>138</v>
      </c>
      <c r="H107" s="10"/>
      <c r="J107" s="11">
        <v>1.0900000000000001</v>
      </c>
      <c r="K107" s="12">
        <f t="shared" si="225"/>
        <v>208.91666666666669</v>
      </c>
      <c r="L107" s="12">
        <f t="shared" si="238"/>
        <v>150.42000000000002</v>
      </c>
      <c r="M107" s="11">
        <v>0.68</v>
      </c>
      <c r="N107" s="12">
        <f t="shared" si="226"/>
        <v>130.33333333333334</v>
      </c>
      <c r="O107" s="12">
        <f t="shared" si="239"/>
        <v>93.84</v>
      </c>
      <c r="P107" s="11">
        <v>0.94</v>
      </c>
      <c r="Q107" s="12">
        <f t="shared" si="227"/>
        <v>180.16666666666666</v>
      </c>
      <c r="R107" s="12">
        <f t="shared" si="240"/>
        <v>129.72</v>
      </c>
      <c r="S107" s="11">
        <v>0.94</v>
      </c>
      <c r="T107" s="12">
        <f t="shared" si="228"/>
        <v>180.16666666666666</v>
      </c>
      <c r="U107" s="12">
        <f t="shared" si="241"/>
        <v>129.72</v>
      </c>
      <c r="X107" s="10"/>
      <c r="Y107" s="10"/>
      <c r="Z107" s="11">
        <v>0.99</v>
      </c>
      <c r="AA107" s="12">
        <f>Z107*$D107</f>
        <v>189.75</v>
      </c>
      <c r="AB107" s="12">
        <f t="shared" si="229"/>
        <v>136.62</v>
      </c>
      <c r="AC107" s="11">
        <v>0.34</v>
      </c>
      <c r="AD107" s="12">
        <f>AC107*$D107</f>
        <v>65.166666666666671</v>
      </c>
      <c r="AE107" s="12">
        <f t="shared" si="230"/>
        <v>46.92</v>
      </c>
      <c r="AF107" s="11">
        <v>0.81</v>
      </c>
      <c r="AG107" s="12">
        <f>AF107*$D107</f>
        <v>155.25</v>
      </c>
      <c r="AH107" s="12">
        <f t="shared" si="231"/>
        <v>111.78</v>
      </c>
      <c r="AI107" s="11">
        <v>0.81</v>
      </c>
      <c r="AJ107" s="12">
        <f>AI107*$D107</f>
        <v>155.25</v>
      </c>
      <c r="AK107" s="12">
        <f t="shared" si="232"/>
        <v>111.78</v>
      </c>
      <c r="AN107" s="26">
        <f t="shared" si="246"/>
        <v>199.33333333333334</v>
      </c>
      <c r="AO107" s="26">
        <f t="shared" si="247"/>
        <v>143.52000000000001</v>
      </c>
      <c r="AP107" s="26">
        <f t="shared" si="248"/>
        <v>97.75</v>
      </c>
      <c r="AQ107" s="26">
        <f t="shared" si="249"/>
        <v>70.38</v>
      </c>
      <c r="AR107" s="26">
        <f t="shared" si="250"/>
        <v>167.70833333333331</v>
      </c>
      <c r="AS107" s="26">
        <f t="shared" si="251"/>
        <v>120.75</v>
      </c>
      <c r="AT107" s="26">
        <f t="shared" si="252"/>
        <v>167.70833333333331</v>
      </c>
      <c r="AU107" s="26">
        <f t="shared" si="253"/>
        <v>120.75</v>
      </c>
      <c r="AX107" s="11">
        <v>0.72</v>
      </c>
      <c r="AY107" s="12">
        <f>AX107*$D107</f>
        <v>138</v>
      </c>
      <c r="AZ107" s="12">
        <f t="shared" si="233"/>
        <v>99.36</v>
      </c>
      <c r="BA107" s="11">
        <v>0.3</v>
      </c>
      <c r="BB107" s="12">
        <f>BA107*$D107</f>
        <v>57.499999999999993</v>
      </c>
      <c r="BC107" s="12">
        <f t="shared" si="234"/>
        <v>41.4</v>
      </c>
      <c r="BD107" s="11">
        <v>0.59</v>
      </c>
      <c r="BE107" s="12">
        <f>BD107*$D107</f>
        <v>113.08333333333333</v>
      </c>
      <c r="BF107" s="12">
        <f t="shared" si="235"/>
        <v>81.42</v>
      </c>
      <c r="BG107" s="11">
        <v>0.59</v>
      </c>
      <c r="BH107" s="12">
        <f>BG107*$D107</f>
        <v>113.08333333333333</v>
      </c>
      <c r="BI107" s="12">
        <f t="shared" si="236"/>
        <v>81.42</v>
      </c>
    </row>
    <row r="108" spans="1:61" ht="14.4" x14ac:dyDescent="0.3">
      <c r="A108" s="13" t="s">
        <v>22</v>
      </c>
      <c r="B108" s="5">
        <v>31</v>
      </c>
      <c r="C108" s="5">
        <f t="shared" si="237"/>
        <v>744</v>
      </c>
      <c r="D108" s="9">
        <f t="shared" si="224"/>
        <v>219.08602150537635</v>
      </c>
      <c r="E108" s="5">
        <v>163</v>
      </c>
      <c r="H108" s="10"/>
      <c r="J108" s="11">
        <v>1.01</v>
      </c>
      <c r="K108" s="12">
        <f t="shared" si="225"/>
        <v>221.27688172043011</v>
      </c>
      <c r="L108" s="12">
        <f t="shared" si="238"/>
        <v>164.63</v>
      </c>
      <c r="M108" s="11">
        <v>0.79</v>
      </c>
      <c r="N108" s="12">
        <f t="shared" si="226"/>
        <v>173.07795698924733</v>
      </c>
      <c r="O108" s="12">
        <f t="shared" si="239"/>
        <v>128.77000000000001</v>
      </c>
      <c r="P108" s="11">
        <v>0.94</v>
      </c>
      <c r="Q108" s="12">
        <f t="shared" si="227"/>
        <v>205.94086021505376</v>
      </c>
      <c r="R108" s="12">
        <f t="shared" si="240"/>
        <v>153.22</v>
      </c>
      <c r="S108" s="11">
        <v>0.94</v>
      </c>
      <c r="T108" s="12">
        <f t="shared" si="228"/>
        <v>205.94086021505376</v>
      </c>
      <c r="U108" s="12">
        <f t="shared" si="241"/>
        <v>153.22</v>
      </c>
      <c r="X108" s="10"/>
      <c r="Y108" s="10"/>
      <c r="Z108" s="11">
        <v>0.84</v>
      </c>
      <c r="AA108" s="12">
        <f t="shared" si="242"/>
        <v>184.03225806451613</v>
      </c>
      <c r="AB108" s="12">
        <f t="shared" si="229"/>
        <v>136.91999999999999</v>
      </c>
      <c r="AC108" s="11">
        <v>0.4</v>
      </c>
      <c r="AD108" s="12">
        <f t="shared" si="243"/>
        <v>87.634408602150543</v>
      </c>
      <c r="AE108" s="12">
        <f t="shared" si="230"/>
        <v>65.2</v>
      </c>
      <c r="AF108" s="11">
        <v>0.79</v>
      </c>
      <c r="AG108" s="12">
        <f t="shared" si="244"/>
        <v>173.07795698924733</v>
      </c>
      <c r="AH108" s="12">
        <f t="shared" si="231"/>
        <v>128.77000000000001</v>
      </c>
      <c r="AI108" s="11">
        <v>0.79</v>
      </c>
      <c r="AJ108" s="12">
        <f t="shared" si="245"/>
        <v>173.07795698924733</v>
      </c>
      <c r="AK108" s="12">
        <f t="shared" si="232"/>
        <v>128.77000000000001</v>
      </c>
      <c r="AN108" s="26">
        <f t="shared" si="246"/>
        <v>202.65456989247312</v>
      </c>
      <c r="AO108" s="26">
        <f t="shared" si="247"/>
        <v>150.77499999999998</v>
      </c>
      <c r="AP108" s="26">
        <f t="shared" si="248"/>
        <v>130.35618279569894</v>
      </c>
      <c r="AQ108" s="26">
        <f t="shared" si="249"/>
        <v>96.985000000000014</v>
      </c>
      <c r="AR108" s="26">
        <f t="shared" si="250"/>
        <v>189.50940860215053</v>
      </c>
      <c r="AS108" s="26">
        <f t="shared" si="251"/>
        <v>140.995</v>
      </c>
      <c r="AT108" s="26">
        <f t="shared" si="252"/>
        <v>189.50940860215053</v>
      </c>
      <c r="AU108" s="26">
        <f t="shared" si="253"/>
        <v>140.995</v>
      </c>
      <c r="AX108" s="11">
        <v>0.55000000000000004</v>
      </c>
      <c r="AY108" s="12">
        <f t="shared" si="254"/>
        <v>120.49731182795701</v>
      </c>
      <c r="AZ108" s="12">
        <f t="shared" si="233"/>
        <v>89.65</v>
      </c>
      <c r="BA108" s="11">
        <v>0.3</v>
      </c>
      <c r="BB108" s="12">
        <f t="shared" si="255"/>
        <v>65.725806451612897</v>
      </c>
      <c r="BC108" s="12">
        <f t="shared" si="234"/>
        <v>48.9</v>
      </c>
      <c r="BD108" s="11">
        <v>0.56000000000000005</v>
      </c>
      <c r="BE108" s="12">
        <f t="shared" si="256"/>
        <v>122.68817204301077</v>
      </c>
      <c r="BF108" s="12">
        <f t="shared" si="235"/>
        <v>91.280000000000015</v>
      </c>
      <c r="BG108" s="11">
        <v>0.56000000000000005</v>
      </c>
      <c r="BH108" s="12">
        <f t="shared" si="257"/>
        <v>122.68817204301077</v>
      </c>
      <c r="BI108" s="12">
        <f t="shared" si="236"/>
        <v>91.280000000000015</v>
      </c>
    </row>
    <row r="109" spans="1:61" ht="14.4" x14ac:dyDescent="0.3">
      <c r="A109" s="13" t="s">
        <v>23</v>
      </c>
      <c r="B109" s="5">
        <v>30</v>
      </c>
      <c r="C109" s="5">
        <f t="shared" si="237"/>
        <v>720</v>
      </c>
      <c r="D109" s="9">
        <f t="shared" si="224"/>
        <v>238.88888888888889</v>
      </c>
      <c r="E109" s="5">
        <v>172</v>
      </c>
      <c r="H109" s="10"/>
      <c r="J109" s="11">
        <v>0.97</v>
      </c>
      <c r="K109" s="12">
        <f t="shared" si="225"/>
        <v>231.7222222222222</v>
      </c>
      <c r="L109" s="12">
        <f t="shared" si="238"/>
        <v>166.84</v>
      </c>
      <c r="M109" s="11">
        <v>0.82</v>
      </c>
      <c r="N109" s="12">
        <f t="shared" si="226"/>
        <v>195.88888888888889</v>
      </c>
      <c r="O109" s="12">
        <f t="shared" si="239"/>
        <v>141.04</v>
      </c>
      <c r="P109" s="11">
        <v>0.93</v>
      </c>
      <c r="Q109" s="12">
        <f t="shared" si="227"/>
        <v>222.16666666666669</v>
      </c>
      <c r="R109" s="12">
        <f t="shared" si="240"/>
        <v>159.96</v>
      </c>
      <c r="S109" s="11">
        <v>0.93</v>
      </c>
      <c r="T109" s="12">
        <f t="shared" si="228"/>
        <v>222.16666666666669</v>
      </c>
      <c r="U109" s="12">
        <f t="shared" si="241"/>
        <v>159.96</v>
      </c>
      <c r="X109" s="10"/>
      <c r="Y109" s="10"/>
      <c r="Z109" s="11">
        <v>0.78</v>
      </c>
      <c r="AA109" s="12">
        <f t="shared" si="242"/>
        <v>186.33333333333334</v>
      </c>
      <c r="AB109" s="12">
        <f t="shared" si="229"/>
        <v>134.16</v>
      </c>
      <c r="AC109" s="11">
        <v>0.45</v>
      </c>
      <c r="AD109" s="12">
        <f t="shared" si="243"/>
        <v>107.5</v>
      </c>
      <c r="AE109" s="12">
        <f t="shared" si="230"/>
        <v>77.400000000000006</v>
      </c>
      <c r="AF109" s="11">
        <v>0.78</v>
      </c>
      <c r="AG109" s="12">
        <f t="shared" si="244"/>
        <v>186.33333333333334</v>
      </c>
      <c r="AH109" s="12">
        <f t="shared" si="231"/>
        <v>134.16</v>
      </c>
      <c r="AI109" s="11">
        <v>0.78</v>
      </c>
      <c r="AJ109" s="12">
        <f t="shared" si="245"/>
        <v>186.33333333333334</v>
      </c>
      <c r="AK109" s="12">
        <f t="shared" si="232"/>
        <v>134.16</v>
      </c>
      <c r="AN109" s="26">
        <f t="shared" si="246"/>
        <v>209.02777777777777</v>
      </c>
      <c r="AO109" s="26">
        <f t="shared" si="247"/>
        <v>150.5</v>
      </c>
      <c r="AP109" s="26">
        <f t="shared" si="248"/>
        <v>151.69444444444446</v>
      </c>
      <c r="AQ109" s="26">
        <f t="shared" si="249"/>
        <v>109.22</v>
      </c>
      <c r="AR109" s="26">
        <f t="shared" si="250"/>
        <v>204.25</v>
      </c>
      <c r="AS109" s="26">
        <f t="shared" si="251"/>
        <v>147.06</v>
      </c>
      <c r="AT109" s="26">
        <f t="shared" si="252"/>
        <v>204.25</v>
      </c>
      <c r="AU109" s="26">
        <f>(U109+AK109)/2</f>
        <v>147.06</v>
      </c>
      <c r="AX109" s="11">
        <v>0.5</v>
      </c>
      <c r="AY109" s="12">
        <f t="shared" si="254"/>
        <v>119.44444444444444</v>
      </c>
      <c r="AZ109" s="12">
        <f t="shared" si="233"/>
        <v>86</v>
      </c>
      <c r="BA109" s="11">
        <v>0.32</v>
      </c>
      <c r="BB109" s="12">
        <f t="shared" si="255"/>
        <v>76.444444444444443</v>
      </c>
      <c r="BC109" s="12">
        <f t="shared" si="234"/>
        <v>55.04</v>
      </c>
      <c r="BD109" s="11">
        <v>0.55000000000000004</v>
      </c>
      <c r="BE109" s="12">
        <f t="shared" si="256"/>
        <v>131.38888888888889</v>
      </c>
      <c r="BF109" s="12">
        <f t="shared" si="235"/>
        <v>94.600000000000009</v>
      </c>
      <c r="BG109" s="11">
        <v>0.55000000000000004</v>
      </c>
      <c r="BH109" s="12">
        <f t="shared" si="257"/>
        <v>131.38888888888889</v>
      </c>
      <c r="BI109" s="12">
        <f t="shared" si="236"/>
        <v>94.600000000000009</v>
      </c>
    </row>
    <row r="110" spans="1:61" ht="14.4" x14ac:dyDescent="0.3">
      <c r="A110" s="13" t="s">
        <v>24</v>
      </c>
      <c r="B110" s="5">
        <v>31</v>
      </c>
      <c r="C110" s="5">
        <f t="shared" si="237"/>
        <v>744</v>
      </c>
      <c r="D110" s="9">
        <f t="shared" si="224"/>
        <v>227.15053763440861</v>
      </c>
      <c r="E110" s="5">
        <v>169</v>
      </c>
      <c r="H110" s="10"/>
      <c r="I110" s="4" t="s">
        <v>32</v>
      </c>
      <c r="J110" s="11">
        <v>0.98</v>
      </c>
      <c r="K110" s="12">
        <f t="shared" si="225"/>
        <v>222.60752688172042</v>
      </c>
      <c r="L110" s="12">
        <f t="shared" si="238"/>
        <v>165.62</v>
      </c>
      <c r="M110" s="11">
        <v>0.81</v>
      </c>
      <c r="N110" s="12">
        <f t="shared" si="226"/>
        <v>183.99193548387098</v>
      </c>
      <c r="O110" s="12">
        <f t="shared" si="239"/>
        <v>136.89000000000001</v>
      </c>
      <c r="P110" s="11">
        <v>0.93</v>
      </c>
      <c r="Q110" s="12">
        <f t="shared" si="227"/>
        <v>211.25000000000003</v>
      </c>
      <c r="R110" s="12">
        <f t="shared" si="240"/>
        <v>157.17000000000002</v>
      </c>
      <c r="S110" s="11">
        <v>0.93</v>
      </c>
      <c r="T110" s="12">
        <f t="shared" si="228"/>
        <v>211.25000000000003</v>
      </c>
      <c r="U110" s="12">
        <f t="shared" si="241"/>
        <v>157.17000000000002</v>
      </c>
      <c r="W110" s="4" t="s">
        <v>32</v>
      </c>
      <c r="X110" s="10"/>
      <c r="Y110" s="10"/>
      <c r="Z110" s="11">
        <v>0.81</v>
      </c>
      <c r="AA110" s="12">
        <f t="shared" si="242"/>
        <v>183.99193548387098</v>
      </c>
      <c r="AB110" s="12">
        <f t="shared" si="229"/>
        <v>136.89000000000001</v>
      </c>
      <c r="AC110" s="11">
        <v>0.42</v>
      </c>
      <c r="AD110" s="12">
        <f t="shared" si="243"/>
        <v>95.403225806451616</v>
      </c>
      <c r="AE110" s="12">
        <f t="shared" si="230"/>
        <v>70.98</v>
      </c>
      <c r="AF110" s="11">
        <v>0.78</v>
      </c>
      <c r="AG110" s="12">
        <f t="shared" si="244"/>
        <v>177.17741935483872</v>
      </c>
      <c r="AH110" s="12">
        <f t="shared" si="231"/>
        <v>131.82</v>
      </c>
      <c r="AI110" s="11">
        <v>0.78</v>
      </c>
      <c r="AJ110" s="12">
        <f t="shared" si="245"/>
        <v>177.17741935483872</v>
      </c>
      <c r="AK110" s="12">
        <f t="shared" si="232"/>
        <v>131.82</v>
      </c>
      <c r="AM110" s="4" t="s">
        <v>32</v>
      </c>
      <c r="AN110" s="26">
        <f t="shared" si="246"/>
        <v>203.29973118279571</v>
      </c>
      <c r="AO110" s="26">
        <f t="shared" si="247"/>
        <v>151.255</v>
      </c>
      <c r="AP110" s="26">
        <f t="shared" si="248"/>
        <v>139.69758064516128</v>
      </c>
      <c r="AQ110" s="26">
        <f t="shared" si="249"/>
        <v>103.935</v>
      </c>
      <c r="AR110" s="26">
        <f t="shared" si="250"/>
        <v>194.21370967741939</v>
      </c>
      <c r="AS110" s="26">
        <f t="shared" si="251"/>
        <v>144.495</v>
      </c>
      <c r="AT110" s="26">
        <f t="shared" si="252"/>
        <v>194.21370967741939</v>
      </c>
      <c r="AU110" s="26">
        <f t="shared" ref="AU110:AU111" si="258">(U110+AK110)/2</f>
        <v>144.495</v>
      </c>
      <c r="AW110" s="4" t="s">
        <v>32</v>
      </c>
      <c r="AX110" s="11">
        <v>0.52</v>
      </c>
      <c r="AY110" s="12">
        <f t="shared" si="254"/>
        <v>118.11827956989248</v>
      </c>
      <c r="AZ110" s="12">
        <f t="shared" si="233"/>
        <v>87.88000000000001</v>
      </c>
      <c r="BA110" s="11">
        <v>0.31</v>
      </c>
      <c r="BB110" s="12">
        <f t="shared" si="255"/>
        <v>70.416666666666671</v>
      </c>
      <c r="BC110" s="12">
        <f t="shared" si="234"/>
        <v>52.39</v>
      </c>
      <c r="BD110" s="11">
        <v>0.55000000000000004</v>
      </c>
      <c r="BE110" s="12">
        <f t="shared" si="256"/>
        <v>124.93279569892475</v>
      </c>
      <c r="BF110" s="12">
        <f t="shared" si="235"/>
        <v>92.95</v>
      </c>
      <c r="BG110" s="11">
        <v>0.55000000000000004</v>
      </c>
      <c r="BH110" s="12">
        <f t="shared" si="257"/>
        <v>124.93279569892475</v>
      </c>
      <c r="BI110" s="12">
        <f t="shared" si="236"/>
        <v>92.95</v>
      </c>
    </row>
    <row r="111" spans="1:61" ht="14.4" x14ac:dyDescent="0.3">
      <c r="A111" s="13" t="s">
        <v>25</v>
      </c>
      <c r="B111" s="5">
        <v>31</v>
      </c>
      <c r="C111" s="5">
        <f t="shared" si="237"/>
        <v>744</v>
      </c>
      <c r="D111" s="9">
        <f t="shared" si="224"/>
        <v>200.26881720430109</v>
      </c>
      <c r="E111" s="5">
        <v>149</v>
      </c>
      <c r="H111" s="10"/>
      <c r="I111" s="4">
        <v>2</v>
      </c>
      <c r="J111" s="11">
        <v>1.04</v>
      </c>
      <c r="K111" s="12">
        <f t="shared" si="225"/>
        <v>208.27956989247315</v>
      </c>
      <c r="L111" s="12">
        <f t="shared" si="238"/>
        <v>154.96</v>
      </c>
      <c r="M111" s="11">
        <v>0.73</v>
      </c>
      <c r="N111" s="12">
        <f t="shared" si="226"/>
        <v>146.19623655913978</v>
      </c>
      <c r="O111" s="12">
        <f t="shared" si="239"/>
        <v>108.77</v>
      </c>
      <c r="P111" s="11">
        <v>0.94</v>
      </c>
      <c r="Q111" s="12">
        <f t="shared" si="227"/>
        <v>188.25268817204301</v>
      </c>
      <c r="R111" s="12">
        <f t="shared" si="240"/>
        <v>140.06</v>
      </c>
      <c r="S111" s="11">
        <v>0.94</v>
      </c>
      <c r="T111" s="12">
        <f t="shared" si="228"/>
        <v>188.25268817204301</v>
      </c>
      <c r="U111" s="12">
        <f t="shared" si="241"/>
        <v>140.06</v>
      </c>
      <c r="W111" s="4">
        <v>2</v>
      </c>
      <c r="X111" s="10"/>
      <c r="Y111" s="10"/>
      <c r="Z111" s="11">
        <v>0.91</v>
      </c>
      <c r="AA111" s="12">
        <f t="shared" si="242"/>
        <v>182.24462365591398</v>
      </c>
      <c r="AB111" s="12">
        <f t="shared" si="229"/>
        <v>135.59</v>
      </c>
      <c r="AC111" s="11">
        <v>0.35</v>
      </c>
      <c r="AD111" s="12">
        <f t="shared" si="243"/>
        <v>70.094086021505376</v>
      </c>
      <c r="AE111" s="12">
        <f t="shared" si="230"/>
        <v>52.15</v>
      </c>
      <c r="AF111" s="11">
        <v>0.79</v>
      </c>
      <c r="AG111" s="12">
        <f t="shared" si="244"/>
        <v>158.21236559139786</v>
      </c>
      <c r="AH111" s="12">
        <f t="shared" si="231"/>
        <v>117.71000000000001</v>
      </c>
      <c r="AI111" s="11">
        <v>0.79</v>
      </c>
      <c r="AJ111" s="12">
        <f t="shared" si="245"/>
        <v>158.21236559139786</v>
      </c>
      <c r="AK111" s="12">
        <f t="shared" si="232"/>
        <v>117.71000000000001</v>
      </c>
      <c r="AM111" s="4">
        <v>2</v>
      </c>
      <c r="AN111" s="26">
        <f t="shared" si="246"/>
        <v>195.26209677419357</v>
      </c>
      <c r="AO111" s="26">
        <f>(L111+AB111)/2</f>
        <v>145.27500000000001</v>
      </c>
      <c r="AP111" s="26">
        <f t="shared" si="248"/>
        <v>108.14516129032258</v>
      </c>
      <c r="AQ111" s="26">
        <f>(O111+AE111)/2</f>
        <v>80.459999999999994</v>
      </c>
      <c r="AR111" s="26">
        <f t="shared" si="250"/>
        <v>173.23252688172045</v>
      </c>
      <c r="AS111" s="26">
        <f t="shared" si="251"/>
        <v>128.88499999999999</v>
      </c>
      <c r="AT111" s="26">
        <f t="shared" si="252"/>
        <v>173.23252688172045</v>
      </c>
      <c r="AU111" s="26">
        <f t="shared" si="258"/>
        <v>128.88499999999999</v>
      </c>
      <c r="AW111" s="4" t="s">
        <v>65</v>
      </c>
      <c r="AX111" s="11">
        <v>0.62</v>
      </c>
      <c r="AY111" s="12">
        <f t="shared" si="254"/>
        <v>124.16666666666667</v>
      </c>
      <c r="AZ111" s="12">
        <f t="shared" si="233"/>
        <v>92.38</v>
      </c>
      <c r="BA111" s="11">
        <v>0.3</v>
      </c>
      <c r="BB111" s="12">
        <f t="shared" si="255"/>
        <v>60.08064516129032</v>
      </c>
      <c r="BC111" s="12">
        <f t="shared" si="234"/>
        <v>44.699999999999996</v>
      </c>
      <c r="BD111" s="11">
        <v>0.56999999999999995</v>
      </c>
      <c r="BE111" s="12">
        <f t="shared" si="256"/>
        <v>114.15322580645162</v>
      </c>
      <c r="BF111" s="12">
        <f t="shared" si="235"/>
        <v>84.929999999999993</v>
      </c>
      <c r="BG111" s="11">
        <v>0.56999999999999995</v>
      </c>
      <c r="BH111" s="12">
        <f t="shared" si="257"/>
        <v>114.15322580645162</v>
      </c>
      <c r="BI111" s="12">
        <f t="shared" si="236"/>
        <v>84.929999999999993</v>
      </c>
    </row>
    <row r="112" spans="1:61" ht="14.4" x14ac:dyDescent="0.3">
      <c r="A112" s="13" t="s">
        <v>26</v>
      </c>
      <c r="B112" s="5">
        <v>30</v>
      </c>
      <c r="C112" s="5">
        <f t="shared" si="237"/>
        <v>720</v>
      </c>
      <c r="D112" s="9">
        <f t="shared" si="224"/>
        <v>156.94444444444446</v>
      </c>
      <c r="E112" s="5">
        <v>113</v>
      </c>
      <c r="H112" s="10"/>
      <c r="J112" s="11">
        <v>1.17</v>
      </c>
      <c r="K112" s="12">
        <f t="shared" si="225"/>
        <v>183.625</v>
      </c>
      <c r="L112" s="12">
        <f t="shared" si="238"/>
        <v>132.20999999999998</v>
      </c>
      <c r="M112" s="11">
        <v>0.59</v>
      </c>
      <c r="N112" s="12">
        <f t="shared" si="226"/>
        <v>92.597222222222229</v>
      </c>
      <c r="O112" s="12">
        <f t="shared" si="239"/>
        <v>66.67</v>
      </c>
      <c r="P112" s="11">
        <v>0.95</v>
      </c>
      <c r="Q112" s="12">
        <f t="shared" si="227"/>
        <v>149.09722222222223</v>
      </c>
      <c r="R112" s="12">
        <f t="shared" si="240"/>
        <v>107.35</v>
      </c>
      <c r="S112" s="11">
        <v>0.95</v>
      </c>
      <c r="T112" s="12">
        <f t="shared" si="228"/>
        <v>149.09722222222223</v>
      </c>
      <c r="U112" s="12">
        <f t="shared" si="241"/>
        <v>107.35</v>
      </c>
      <c r="X112" s="10"/>
      <c r="Y112" s="10"/>
      <c r="Z112" s="11">
        <v>1.1100000000000001</v>
      </c>
      <c r="AA112" s="12">
        <f t="shared" si="242"/>
        <v>174.20833333333337</v>
      </c>
      <c r="AB112" s="12">
        <f t="shared" si="229"/>
        <v>125.43</v>
      </c>
      <c r="AC112" s="11">
        <v>0.31</v>
      </c>
      <c r="AD112" s="12">
        <f t="shared" si="243"/>
        <v>48.652777777777779</v>
      </c>
      <c r="AE112" s="12">
        <f t="shared" si="230"/>
        <v>35.03</v>
      </c>
      <c r="AF112" s="11">
        <v>0.81</v>
      </c>
      <c r="AG112" s="12">
        <f t="shared" si="244"/>
        <v>127.12500000000001</v>
      </c>
      <c r="AH112" s="12">
        <f t="shared" si="231"/>
        <v>91.53</v>
      </c>
      <c r="AI112" s="11">
        <v>0.81</v>
      </c>
      <c r="AJ112" s="12">
        <f t="shared" si="245"/>
        <v>127.12500000000001</v>
      </c>
      <c r="AK112" s="12">
        <f t="shared" si="232"/>
        <v>91.53</v>
      </c>
      <c r="AN112" s="26">
        <f t="shared" si="246"/>
        <v>178.91666666666669</v>
      </c>
      <c r="AO112" s="26">
        <f t="shared" ref="AO112:AO115" si="259">(L112+AB112)/2</f>
        <v>128.82</v>
      </c>
      <c r="AP112" s="26">
        <f t="shared" si="248"/>
        <v>70.625</v>
      </c>
      <c r="AQ112" s="26">
        <f t="shared" ref="AQ112:AQ115" si="260">(O112+AE112)/2</f>
        <v>50.85</v>
      </c>
      <c r="AR112" s="26">
        <f t="shared" si="250"/>
        <v>138.11111111111111</v>
      </c>
      <c r="AS112" s="26">
        <f t="shared" si="251"/>
        <v>99.44</v>
      </c>
      <c r="AT112" s="26">
        <f t="shared" si="252"/>
        <v>138.11111111111111</v>
      </c>
      <c r="AU112" s="26">
        <f>(U112+AK112)/2</f>
        <v>99.44</v>
      </c>
      <c r="AX112" s="11">
        <v>0.85</v>
      </c>
      <c r="AY112" s="12">
        <f t="shared" si="254"/>
        <v>133.40277777777777</v>
      </c>
      <c r="AZ112" s="12">
        <f t="shared" si="233"/>
        <v>96.05</v>
      </c>
      <c r="BA112" s="11">
        <v>0.28000000000000003</v>
      </c>
      <c r="BB112" s="12">
        <f t="shared" si="255"/>
        <v>43.94444444444445</v>
      </c>
      <c r="BC112" s="12">
        <f t="shared" si="234"/>
        <v>31.640000000000004</v>
      </c>
      <c r="BD112" s="11">
        <v>0.6</v>
      </c>
      <c r="BE112" s="12">
        <f t="shared" si="256"/>
        <v>94.166666666666671</v>
      </c>
      <c r="BF112" s="12">
        <f t="shared" si="235"/>
        <v>67.8</v>
      </c>
      <c r="BG112" s="11">
        <v>0.6</v>
      </c>
      <c r="BH112" s="12">
        <f t="shared" si="257"/>
        <v>94.166666666666671</v>
      </c>
      <c r="BI112" s="12">
        <f t="shared" si="236"/>
        <v>67.8</v>
      </c>
    </row>
    <row r="113" spans="1:61" ht="14.4" x14ac:dyDescent="0.3">
      <c r="A113" s="13" t="s">
        <v>5</v>
      </c>
      <c r="B113" s="5">
        <v>31</v>
      </c>
      <c r="C113" s="5">
        <f t="shared" si="237"/>
        <v>744</v>
      </c>
      <c r="D113" s="9">
        <f t="shared" si="224"/>
        <v>88.709677419354833</v>
      </c>
      <c r="E113" s="5">
        <v>66</v>
      </c>
      <c r="H113" s="10"/>
      <c r="J113" s="11">
        <v>1.33</v>
      </c>
      <c r="K113" s="12">
        <f t="shared" si="225"/>
        <v>117.98387096774194</v>
      </c>
      <c r="L113" s="12">
        <f t="shared" si="238"/>
        <v>87.78</v>
      </c>
      <c r="M113" s="11">
        <v>0.45</v>
      </c>
      <c r="N113" s="12">
        <f t="shared" si="226"/>
        <v>39.919354838709673</v>
      </c>
      <c r="O113" s="12">
        <f t="shared" si="239"/>
        <v>29.7</v>
      </c>
      <c r="P113" s="11">
        <v>0.96</v>
      </c>
      <c r="Q113" s="12">
        <f t="shared" si="227"/>
        <v>85.161290322580641</v>
      </c>
      <c r="R113" s="12">
        <f t="shared" si="240"/>
        <v>63.36</v>
      </c>
      <c r="S113" s="11">
        <v>0.96</v>
      </c>
      <c r="T113" s="12">
        <f t="shared" si="228"/>
        <v>85.161290322580641</v>
      </c>
      <c r="U113" s="12">
        <f t="shared" si="241"/>
        <v>63.36</v>
      </c>
      <c r="X113" s="10"/>
      <c r="Y113" s="10"/>
      <c r="Z113" s="11">
        <v>1.4</v>
      </c>
      <c r="AA113" s="12">
        <f t="shared" si="242"/>
        <v>124.19354838709675</v>
      </c>
      <c r="AB113" s="12">
        <f t="shared" si="229"/>
        <v>92.399999999999991</v>
      </c>
      <c r="AC113" s="11">
        <v>0.34</v>
      </c>
      <c r="AD113" s="12">
        <f t="shared" si="243"/>
        <v>30.161290322580644</v>
      </c>
      <c r="AE113" s="12">
        <f t="shared" si="230"/>
        <v>22.44</v>
      </c>
      <c r="AF113" s="11">
        <v>0.84</v>
      </c>
      <c r="AG113" s="12">
        <f t="shared" si="244"/>
        <v>74.51612903225805</v>
      </c>
      <c r="AH113" s="12">
        <f t="shared" si="231"/>
        <v>55.44</v>
      </c>
      <c r="AI113" s="11">
        <v>0.84</v>
      </c>
      <c r="AJ113" s="12">
        <f t="shared" si="245"/>
        <v>74.51612903225805</v>
      </c>
      <c r="AK113" s="12">
        <f t="shared" si="232"/>
        <v>55.44</v>
      </c>
      <c r="AN113" s="26">
        <f t="shared" si="246"/>
        <v>121.08870967741935</v>
      </c>
      <c r="AO113" s="26">
        <f t="shared" si="259"/>
        <v>90.09</v>
      </c>
      <c r="AP113" s="26">
        <f t="shared" si="248"/>
        <v>35.04032258064516</v>
      </c>
      <c r="AQ113" s="26">
        <f t="shared" si="260"/>
        <v>26.07</v>
      </c>
      <c r="AR113" s="26">
        <f t="shared" si="250"/>
        <v>79.838709677419345</v>
      </c>
      <c r="AS113" s="26">
        <f t="shared" si="251"/>
        <v>59.4</v>
      </c>
      <c r="AT113" s="26">
        <f t="shared" si="252"/>
        <v>79.838709677419345</v>
      </c>
      <c r="AU113" s="26">
        <f t="shared" ref="AU113:AU115" si="261">(U113+AK113)/2</f>
        <v>59.4</v>
      </c>
      <c r="AX113" s="11">
        <v>1.19</v>
      </c>
      <c r="AY113" s="12">
        <f t="shared" si="254"/>
        <v>105.56451612903224</v>
      </c>
      <c r="AZ113" s="12">
        <f t="shared" si="233"/>
        <v>78.539999999999992</v>
      </c>
      <c r="BA113" s="11">
        <v>0.3</v>
      </c>
      <c r="BB113" s="12">
        <f t="shared" si="255"/>
        <v>26.612903225806448</v>
      </c>
      <c r="BC113" s="12">
        <f t="shared" si="234"/>
        <v>19.8</v>
      </c>
      <c r="BD113" s="11">
        <v>0.63</v>
      </c>
      <c r="BE113" s="12">
        <f t="shared" si="256"/>
        <v>55.887096774193544</v>
      </c>
      <c r="BF113" s="12">
        <f t="shared" si="235"/>
        <v>41.58</v>
      </c>
      <c r="BG113" s="11">
        <v>0.63</v>
      </c>
      <c r="BH113" s="12">
        <f t="shared" si="257"/>
        <v>55.887096774193544</v>
      </c>
      <c r="BI113" s="12">
        <f t="shared" si="236"/>
        <v>41.58</v>
      </c>
    </row>
    <row r="114" spans="1:61" ht="14.4" x14ac:dyDescent="0.3">
      <c r="A114" s="13" t="s">
        <v>6</v>
      </c>
      <c r="B114" s="5">
        <v>30</v>
      </c>
      <c r="C114" s="5">
        <f t="shared" si="237"/>
        <v>720</v>
      </c>
      <c r="D114" s="9">
        <f t="shared" si="224"/>
        <v>45.833333333333336</v>
      </c>
      <c r="E114" s="5">
        <v>33</v>
      </c>
      <c r="H114" s="10"/>
      <c r="J114" s="11">
        <v>1.52</v>
      </c>
      <c r="K114" s="12">
        <f t="shared" si="225"/>
        <v>69.666666666666671</v>
      </c>
      <c r="L114" s="12">
        <f t="shared" si="238"/>
        <v>50.160000000000004</v>
      </c>
      <c r="M114" s="11">
        <v>0.47</v>
      </c>
      <c r="N114" s="12">
        <f t="shared" si="226"/>
        <v>21.541666666666668</v>
      </c>
      <c r="O114" s="12">
        <f t="shared" si="239"/>
        <v>15.51</v>
      </c>
      <c r="P114" s="11">
        <v>0.97</v>
      </c>
      <c r="Q114" s="12">
        <f t="shared" si="227"/>
        <v>44.458333333333336</v>
      </c>
      <c r="R114" s="12">
        <f t="shared" si="240"/>
        <v>32.01</v>
      </c>
      <c r="S114" s="11">
        <v>0.97</v>
      </c>
      <c r="T114" s="12">
        <f t="shared" si="228"/>
        <v>44.458333333333336</v>
      </c>
      <c r="U114" s="12">
        <f t="shared" si="241"/>
        <v>32.01</v>
      </c>
      <c r="X114" s="10"/>
      <c r="Y114" s="10"/>
      <c r="Z114" s="11">
        <v>1.75</v>
      </c>
      <c r="AA114" s="12">
        <f t="shared" si="242"/>
        <v>80.208333333333343</v>
      </c>
      <c r="AB114" s="12">
        <f t="shared" si="229"/>
        <v>57.75</v>
      </c>
      <c r="AC114" s="11">
        <v>0.4</v>
      </c>
      <c r="AD114" s="12">
        <f t="shared" si="243"/>
        <v>18.333333333333336</v>
      </c>
      <c r="AE114" s="12">
        <f t="shared" si="230"/>
        <v>13.200000000000001</v>
      </c>
      <c r="AF114" s="11">
        <v>0.86</v>
      </c>
      <c r="AG114" s="12">
        <f t="shared" si="244"/>
        <v>39.416666666666671</v>
      </c>
      <c r="AH114" s="12">
        <f t="shared" si="231"/>
        <v>28.38</v>
      </c>
      <c r="AI114" s="11">
        <v>0.86</v>
      </c>
      <c r="AJ114" s="12">
        <f t="shared" si="245"/>
        <v>39.416666666666671</v>
      </c>
      <c r="AK114" s="12">
        <f t="shared" si="232"/>
        <v>28.38</v>
      </c>
      <c r="AN114" s="26">
        <f t="shared" si="246"/>
        <v>74.9375</v>
      </c>
      <c r="AO114" s="26">
        <f t="shared" si="259"/>
        <v>53.954999999999998</v>
      </c>
      <c r="AP114" s="26">
        <f t="shared" si="248"/>
        <v>19.9375</v>
      </c>
      <c r="AQ114" s="26">
        <f t="shared" si="260"/>
        <v>14.355</v>
      </c>
      <c r="AR114" s="26">
        <f t="shared" si="250"/>
        <v>41.9375</v>
      </c>
      <c r="AS114" s="26">
        <f t="shared" si="251"/>
        <v>30.195</v>
      </c>
      <c r="AT114" s="26">
        <f t="shared" si="252"/>
        <v>41.9375</v>
      </c>
      <c r="AU114" s="26">
        <f t="shared" si="261"/>
        <v>30.195</v>
      </c>
      <c r="AX114" s="11">
        <v>1.62</v>
      </c>
      <c r="AY114" s="12">
        <f t="shared" si="254"/>
        <v>74.250000000000014</v>
      </c>
      <c r="AZ114" s="12">
        <f t="shared" si="233"/>
        <v>53.46</v>
      </c>
      <c r="BA114" s="11">
        <v>0.37</v>
      </c>
      <c r="BB114" s="12">
        <f t="shared" si="255"/>
        <v>16.958333333333336</v>
      </c>
      <c r="BC114" s="12">
        <f t="shared" si="234"/>
        <v>12.209999999999999</v>
      </c>
      <c r="BD114" s="11">
        <v>0.65</v>
      </c>
      <c r="BE114" s="12">
        <f t="shared" si="256"/>
        <v>29.791666666666668</v>
      </c>
      <c r="BF114" s="12">
        <f t="shared" si="235"/>
        <v>21.45</v>
      </c>
      <c r="BG114" s="11">
        <v>0.65</v>
      </c>
      <c r="BH114" s="12">
        <f t="shared" si="257"/>
        <v>29.791666666666668</v>
      </c>
      <c r="BI114" s="12">
        <f t="shared" si="236"/>
        <v>21.45</v>
      </c>
    </row>
    <row r="115" spans="1:61" ht="15" thickBot="1" x14ac:dyDescent="0.35">
      <c r="A115" s="14" t="s">
        <v>7</v>
      </c>
      <c r="B115" s="5">
        <v>31</v>
      </c>
      <c r="C115" s="5">
        <f t="shared" si="237"/>
        <v>744</v>
      </c>
      <c r="D115" s="9">
        <f t="shared" si="224"/>
        <v>30.913978494623656</v>
      </c>
      <c r="E115" s="5">
        <v>23</v>
      </c>
      <c r="H115" s="10"/>
      <c r="J115" s="11">
        <v>1.76</v>
      </c>
      <c r="K115" s="12">
        <f t="shared" si="225"/>
        <v>54.408602150537632</v>
      </c>
      <c r="L115" s="12">
        <f t="shared" si="238"/>
        <v>40.479999999999997</v>
      </c>
      <c r="M115" s="11">
        <v>0.48</v>
      </c>
      <c r="N115" s="12">
        <f t="shared" si="226"/>
        <v>14.838709677419354</v>
      </c>
      <c r="O115" s="12">
        <f t="shared" si="239"/>
        <v>11.04</v>
      </c>
      <c r="P115" s="11">
        <v>0.99</v>
      </c>
      <c r="Q115" s="12">
        <f t="shared" si="227"/>
        <v>30.60483870967742</v>
      </c>
      <c r="R115" s="12">
        <f t="shared" si="240"/>
        <v>22.77</v>
      </c>
      <c r="S115" s="11">
        <v>0.99</v>
      </c>
      <c r="T115" s="12">
        <f t="shared" si="228"/>
        <v>30.60483870967742</v>
      </c>
      <c r="U115" s="12">
        <f t="shared" si="241"/>
        <v>22.77</v>
      </c>
      <c r="X115" s="10"/>
      <c r="Y115" s="10"/>
      <c r="Z115" s="11">
        <v>2.15</v>
      </c>
      <c r="AA115" s="12">
        <f t="shared" si="242"/>
        <v>66.465053763440864</v>
      </c>
      <c r="AB115" s="12">
        <f t="shared" si="229"/>
        <v>49.449999999999996</v>
      </c>
      <c r="AC115" s="11">
        <v>0.46</v>
      </c>
      <c r="AD115" s="12">
        <f t="shared" si="243"/>
        <v>14.220430107526882</v>
      </c>
      <c r="AE115" s="12">
        <f t="shared" si="230"/>
        <v>10.58</v>
      </c>
      <c r="AF115" s="11">
        <v>0.9</v>
      </c>
      <c r="AG115" s="12">
        <f t="shared" si="244"/>
        <v>27.822580645161292</v>
      </c>
      <c r="AH115" s="12">
        <f t="shared" si="231"/>
        <v>20.7</v>
      </c>
      <c r="AI115" s="11">
        <v>0.9</v>
      </c>
      <c r="AJ115" s="12">
        <f t="shared" si="245"/>
        <v>27.822580645161292</v>
      </c>
      <c r="AK115" s="12">
        <f t="shared" si="232"/>
        <v>20.7</v>
      </c>
      <c r="AN115" s="26">
        <f t="shared" si="246"/>
        <v>60.436827956989248</v>
      </c>
      <c r="AO115" s="26">
        <f t="shared" si="259"/>
        <v>44.964999999999996</v>
      </c>
      <c r="AP115" s="26">
        <f t="shared" si="248"/>
        <v>14.529569892473118</v>
      </c>
      <c r="AQ115" s="26">
        <f t="shared" si="260"/>
        <v>10.809999999999999</v>
      </c>
      <c r="AR115" s="26">
        <f t="shared" si="250"/>
        <v>29.213709677419356</v>
      </c>
      <c r="AS115" s="26">
        <f t="shared" si="251"/>
        <v>21.734999999999999</v>
      </c>
      <c r="AT115" s="26">
        <f t="shared" si="252"/>
        <v>29.213709677419356</v>
      </c>
      <c r="AU115" s="26">
        <f t="shared" si="261"/>
        <v>21.734999999999999</v>
      </c>
      <c r="AX115" s="11">
        <v>2.19</v>
      </c>
      <c r="AY115" s="12">
        <f t="shared" si="254"/>
        <v>67.701612903225808</v>
      </c>
      <c r="AZ115" s="12">
        <f t="shared" si="233"/>
        <v>50.37</v>
      </c>
      <c r="BA115" s="11">
        <v>0.46</v>
      </c>
      <c r="BB115" s="12">
        <f t="shared" si="255"/>
        <v>14.220430107526882</v>
      </c>
      <c r="BC115" s="12">
        <f t="shared" si="234"/>
        <v>10.58</v>
      </c>
      <c r="BD115" s="11">
        <v>0.77</v>
      </c>
      <c r="BE115" s="12">
        <f t="shared" si="256"/>
        <v>23.803763440860216</v>
      </c>
      <c r="BF115" s="12">
        <f t="shared" si="235"/>
        <v>17.71</v>
      </c>
      <c r="BG115" s="11">
        <v>0.77</v>
      </c>
      <c r="BH115" s="12">
        <f t="shared" si="257"/>
        <v>23.803763440860216</v>
      </c>
      <c r="BI115" s="12">
        <f t="shared" si="236"/>
        <v>17.71</v>
      </c>
    </row>
    <row r="118" spans="1:61" x14ac:dyDescent="0.25">
      <c r="A118" s="15" t="s">
        <v>44</v>
      </c>
      <c r="B118" s="7" t="s">
        <v>10</v>
      </c>
      <c r="C118" s="7" t="s">
        <v>11</v>
      </c>
      <c r="E118" s="7" t="s">
        <v>12</v>
      </c>
      <c r="F118" s="7"/>
      <c r="G118" s="7"/>
      <c r="J118" s="36" t="s">
        <v>15</v>
      </c>
      <c r="K118" s="37"/>
      <c r="L118" s="38"/>
      <c r="M118" s="36" t="s">
        <v>16</v>
      </c>
      <c r="N118" s="37"/>
      <c r="O118" s="38"/>
      <c r="P118" s="36" t="s">
        <v>17</v>
      </c>
      <c r="Q118" s="37"/>
      <c r="R118" s="37"/>
      <c r="S118" s="34" t="s">
        <v>18</v>
      </c>
      <c r="T118" s="34"/>
      <c r="U118" s="34"/>
      <c r="Z118" s="36" t="s">
        <v>15</v>
      </c>
      <c r="AA118" s="37"/>
      <c r="AB118" s="38"/>
      <c r="AC118" s="36" t="s">
        <v>16</v>
      </c>
      <c r="AD118" s="37"/>
      <c r="AE118" s="38"/>
      <c r="AF118" s="36" t="s">
        <v>17</v>
      </c>
      <c r="AG118" s="37"/>
      <c r="AH118" s="37"/>
      <c r="AI118" s="34" t="s">
        <v>18</v>
      </c>
      <c r="AJ118" s="34"/>
      <c r="AK118" s="34"/>
      <c r="AN118" s="32" t="s">
        <v>15</v>
      </c>
      <c r="AO118" s="33"/>
      <c r="AP118" s="32" t="s">
        <v>16</v>
      </c>
      <c r="AQ118" s="33"/>
      <c r="AR118" s="32" t="s">
        <v>19</v>
      </c>
      <c r="AS118" s="33"/>
      <c r="AT118" s="34" t="s">
        <v>18</v>
      </c>
      <c r="AU118" s="34"/>
      <c r="AX118" s="36" t="s">
        <v>15</v>
      </c>
      <c r="AY118" s="37"/>
      <c r="AZ118" s="38"/>
      <c r="BA118" s="36" t="s">
        <v>16</v>
      </c>
      <c r="BB118" s="37"/>
      <c r="BC118" s="38"/>
      <c r="BD118" s="36" t="s">
        <v>17</v>
      </c>
      <c r="BE118" s="37"/>
      <c r="BF118" s="37"/>
      <c r="BG118" s="34" t="s">
        <v>18</v>
      </c>
      <c r="BH118" s="34"/>
      <c r="BI118" s="34"/>
    </row>
    <row r="119" spans="1:61" ht="13.8" thickBot="1" x14ac:dyDescent="0.3">
      <c r="D119" s="5" t="s">
        <v>14</v>
      </c>
      <c r="E119" s="5" t="s">
        <v>13</v>
      </c>
      <c r="J119" s="4" t="s">
        <v>48</v>
      </c>
      <c r="K119" s="4" t="s">
        <v>14</v>
      </c>
      <c r="L119" s="4" t="s">
        <v>13</v>
      </c>
      <c r="M119" s="4" t="s">
        <v>48</v>
      </c>
      <c r="N119" s="4" t="s">
        <v>14</v>
      </c>
      <c r="O119" s="4" t="s">
        <v>13</v>
      </c>
      <c r="P119" s="4" t="s">
        <v>48</v>
      </c>
      <c r="Q119" s="4" t="s">
        <v>14</v>
      </c>
      <c r="R119" s="4" t="s">
        <v>13</v>
      </c>
      <c r="S119" s="24" t="s">
        <v>48</v>
      </c>
      <c r="T119" s="24" t="s">
        <v>14</v>
      </c>
      <c r="U119" s="24" t="s">
        <v>13</v>
      </c>
      <c r="Z119" s="4" t="s">
        <v>48</v>
      </c>
      <c r="AA119" s="4" t="s">
        <v>14</v>
      </c>
      <c r="AB119" s="4" t="s">
        <v>13</v>
      </c>
      <c r="AC119" s="4" t="s">
        <v>48</v>
      </c>
      <c r="AD119" s="4" t="s">
        <v>14</v>
      </c>
      <c r="AE119" s="4" t="s">
        <v>13</v>
      </c>
      <c r="AF119" s="4" t="s">
        <v>48</v>
      </c>
      <c r="AG119" s="4" t="s">
        <v>14</v>
      </c>
      <c r="AH119" s="4" t="s">
        <v>13</v>
      </c>
      <c r="AI119" s="24" t="s">
        <v>48</v>
      </c>
      <c r="AJ119" s="24" t="s">
        <v>14</v>
      </c>
      <c r="AK119" s="24" t="s">
        <v>13</v>
      </c>
      <c r="AN119" s="24" t="s">
        <v>14</v>
      </c>
      <c r="AO119" s="24" t="s">
        <v>13</v>
      </c>
      <c r="AP119" s="24" t="s">
        <v>14</v>
      </c>
      <c r="AQ119" s="24" t="s">
        <v>13</v>
      </c>
      <c r="AR119" s="24" t="s">
        <v>14</v>
      </c>
      <c r="AS119" s="24" t="s">
        <v>13</v>
      </c>
      <c r="AT119" s="24" t="s">
        <v>14</v>
      </c>
      <c r="AU119" s="24" t="s">
        <v>13</v>
      </c>
      <c r="AX119" s="4" t="s">
        <v>48</v>
      </c>
      <c r="AY119" s="4" t="s">
        <v>14</v>
      </c>
      <c r="AZ119" s="4" t="s">
        <v>13</v>
      </c>
      <c r="BA119" s="4" t="s">
        <v>48</v>
      </c>
      <c r="BB119" s="4" t="s">
        <v>14</v>
      </c>
      <c r="BC119" s="4" t="s">
        <v>13</v>
      </c>
      <c r="BD119" s="4" t="s">
        <v>48</v>
      </c>
      <c r="BE119" s="4" t="s">
        <v>14</v>
      </c>
      <c r="BF119" s="4" t="s">
        <v>13</v>
      </c>
      <c r="BG119" s="24" t="s">
        <v>48</v>
      </c>
      <c r="BH119" s="24" t="s">
        <v>14</v>
      </c>
      <c r="BI119" s="24" t="s">
        <v>13</v>
      </c>
    </row>
    <row r="120" spans="1:61" ht="14.4" x14ac:dyDescent="0.3">
      <c r="A120" s="8" t="s">
        <v>1</v>
      </c>
      <c r="B120" s="5">
        <v>31</v>
      </c>
      <c r="C120" s="5">
        <f>B120*24</f>
        <v>744</v>
      </c>
      <c r="D120" s="9">
        <f t="shared" ref="D120:D131" si="262">E120*1000/C120</f>
        <v>33.602150537634408</v>
      </c>
      <c r="E120" s="5">
        <v>25</v>
      </c>
      <c r="H120" s="10"/>
      <c r="J120" s="11">
        <v>1.61</v>
      </c>
      <c r="K120" s="12">
        <f t="shared" ref="K120:K131" si="263">J120*D120</f>
        <v>54.0994623655914</v>
      </c>
      <c r="L120" s="12">
        <f>$E120*J120</f>
        <v>40.25</v>
      </c>
      <c r="M120" s="11">
        <v>0.52</v>
      </c>
      <c r="N120" s="12">
        <f t="shared" ref="N120:N131" si="264">M120*D120</f>
        <v>17.473118279569892</v>
      </c>
      <c r="O120" s="12">
        <f>$E120*M120</f>
        <v>13</v>
      </c>
      <c r="P120" s="11">
        <v>1</v>
      </c>
      <c r="Q120" s="12">
        <f t="shared" ref="Q120:Q131" si="265">P120*D120</f>
        <v>33.602150537634408</v>
      </c>
      <c r="R120" s="12">
        <f>$E120*P120</f>
        <v>25</v>
      </c>
      <c r="S120" s="11">
        <v>1</v>
      </c>
      <c r="T120" s="12">
        <f t="shared" ref="T120:T131" si="266">S120*D120</f>
        <v>33.602150537634408</v>
      </c>
      <c r="U120" s="12">
        <f>$E120*S120</f>
        <v>25</v>
      </c>
      <c r="X120" s="10"/>
      <c r="Y120" s="10"/>
      <c r="Z120" s="11">
        <v>1.94</v>
      </c>
      <c r="AA120" s="12">
        <f>Z120*$D120</f>
        <v>65.188172043010752</v>
      </c>
      <c r="AB120" s="12">
        <f t="shared" ref="AB120:AB131" si="267">$E120*Z120</f>
        <v>48.5</v>
      </c>
      <c r="AC120" s="11">
        <v>0.51</v>
      </c>
      <c r="AD120" s="12">
        <f>AC120*$D120</f>
        <v>17.137096774193548</v>
      </c>
      <c r="AE120" s="12">
        <f t="shared" ref="AE120:AE131" si="268">$E120*AC120</f>
        <v>12.75</v>
      </c>
      <c r="AF120" s="11">
        <v>0.95</v>
      </c>
      <c r="AG120" s="12">
        <f>AF120*$D120</f>
        <v>31.922043010752684</v>
      </c>
      <c r="AH120" s="12">
        <f t="shared" ref="AH120:AH131" si="269">$E120*AF120</f>
        <v>23.75</v>
      </c>
      <c r="AI120" s="11">
        <v>0.95</v>
      </c>
      <c r="AJ120" s="12">
        <f>AI120*$D120</f>
        <v>31.922043010752684</v>
      </c>
      <c r="AK120" s="12">
        <f t="shared" ref="AK120:AK131" si="270">$E120*AI120</f>
        <v>23.75</v>
      </c>
      <c r="AN120" s="26">
        <f>(K120+AA120)/2</f>
        <v>59.643817204301072</v>
      </c>
      <c r="AO120" s="26">
        <f>(L120+AB120)/2</f>
        <v>44.375</v>
      </c>
      <c r="AP120" s="26">
        <f>(N120+AD120)/2</f>
        <v>17.30510752688172</v>
      </c>
      <c r="AQ120" s="26">
        <f>(O120+AE120)/2</f>
        <v>12.875</v>
      </c>
      <c r="AR120" s="26">
        <f>(Q120+AG120)/2</f>
        <v>32.762096774193544</v>
      </c>
      <c r="AS120" s="26">
        <f>(R120+AH120)/2</f>
        <v>24.375</v>
      </c>
      <c r="AT120" s="26">
        <f>(T120+AJ120)/2</f>
        <v>32.762096774193544</v>
      </c>
      <c r="AU120" s="26">
        <f>(U120+AK120)/2</f>
        <v>24.375</v>
      </c>
      <c r="AX120" s="11">
        <v>1.92</v>
      </c>
      <c r="AY120" s="12">
        <f>AX120*$D120</f>
        <v>64.516129032258064</v>
      </c>
      <c r="AZ120" s="12">
        <f t="shared" ref="AZ120:AZ131" si="271">$E120*AX120</f>
        <v>48</v>
      </c>
      <c r="BA120" s="11">
        <v>0.55000000000000004</v>
      </c>
      <c r="BB120" s="12">
        <f>BA120*$D120</f>
        <v>18.481182795698928</v>
      </c>
      <c r="BC120" s="12">
        <f t="shared" ref="BC120:BC131" si="272">$E120*BA120</f>
        <v>13.750000000000002</v>
      </c>
      <c r="BD120" s="11">
        <v>0.85</v>
      </c>
      <c r="BE120" s="12">
        <f>BD120*$D120</f>
        <v>28.561827956989244</v>
      </c>
      <c r="BF120" s="12">
        <f t="shared" ref="BF120:BF131" si="273">$E120*BD120</f>
        <v>21.25</v>
      </c>
      <c r="BG120" s="11">
        <v>0.85</v>
      </c>
      <c r="BH120" s="12">
        <f>BG120*$D120</f>
        <v>28.561827956989244</v>
      </c>
      <c r="BI120" s="12">
        <f t="shared" ref="BI120:BI131" si="274">$E120*BG120</f>
        <v>21.25</v>
      </c>
    </row>
    <row r="121" spans="1:61" ht="14.4" x14ac:dyDescent="0.3">
      <c r="A121" s="13" t="s">
        <v>2</v>
      </c>
      <c r="B121" s="5">
        <v>28</v>
      </c>
      <c r="C121" s="5">
        <f t="shared" ref="C121:C131" si="275">B121*24</f>
        <v>672</v>
      </c>
      <c r="D121" s="9">
        <f t="shared" si="262"/>
        <v>68.452380952380949</v>
      </c>
      <c r="E121" s="5">
        <v>46</v>
      </c>
      <c r="H121" s="10"/>
      <c r="J121" s="11">
        <v>1.45</v>
      </c>
      <c r="K121" s="12">
        <f t="shared" si="263"/>
        <v>99.25595238095238</v>
      </c>
      <c r="L121" s="12">
        <f t="shared" ref="L121:L131" si="276">$E121*J121</f>
        <v>66.7</v>
      </c>
      <c r="M121" s="11">
        <v>0.45</v>
      </c>
      <c r="N121" s="12">
        <f t="shared" si="264"/>
        <v>30.803571428571427</v>
      </c>
      <c r="O121" s="12">
        <f t="shared" ref="O121:O131" si="277">$E121*M121</f>
        <v>20.7</v>
      </c>
      <c r="P121" s="11">
        <v>0.98</v>
      </c>
      <c r="Q121" s="12">
        <f t="shared" si="265"/>
        <v>67.083333333333329</v>
      </c>
      <c r="R121" s="12">
        <f t="shared" ref="R121:R131" si="278">$E121*P121</f>
        <v>45.08</v>
      </c>
      <c r="S121" s="11">
        <v>0.98</v>
      </c>
      <c r="T121" s="12">
        <f t="shared" si="266"/>
        <v>67.083333333333329</v>
      </c>
      <c r="U121" s="12">
        <f t="shared" ref="U121:U131" si="279">$E121*S121</f>
        <v>45.08</v>
      </c>
      <c r="X121" s="10"/>
      <c r="Y121" s="10"/>
      <c r="Z121" s="11">
        <v>1.64</v>
      </c>
      <c r="AA121" s="12">
        <f t="shared" ref="AA121:AA131" si="280">Z121*$D121</f>
        <v>112.26190476190474</v>
      </c>
      <c r="AB121" s="12">
        <f t="shared" si="267"/>
        <v>75.44</v>
      </c>
      <c r="AC121" s="11">
        <v>0.44</v>
      </c>
      <c r="AD121" s="12">
        <f t="shared" ref="AD121:AD131" si="281">AC121*$D121</f>
        <v>30.119047619047617</v>
      </c>
      <c r="AE121" s="12">
        <f t="shared" si="268"/>
        <v>20.239999999999998</v>
      </c>
      <c r="AF121" s="11">
        <v>0.92</v>
      </c>
      <c r="AG121" s="12">
        <f t="shared" ref="AG121:AG131" si="282">AF121*$D121</f>
        <v>62.976190476190474</v>
      </c>
      <c r="AH121" s="12">
        <f t="shared" si="269"/>
        <v>42.32</v>
      </c>
      <c r="AI121" s="11">
        <v>0.92</v>
      </c>
      <c r="AJ121" s="12">
        <f t="shared" ref="AJ121:AJ131" si="283">AI121*$D121</f>
        <v>62.976190476190474</v>
      </c>
      <c r="AK121" s="12">
        <f t="shared" si="270"/>
        <v>42.32</v>
      </c>
      <c r="AN121" s="26">
        <f t="shared" ref="AN121:AN131" si="284">(K121+AA121)/2</f>
        <v>105.75892857142856</v>
      </c>
      <c r="AO121" s="26">
        <f t="shared" ref="AO121:AO126" si="285">(L121+AB121)/2</f>
        <v>71.069999999999993</v>
      </c>
      <c r="AP121" s="26">
        <f t="shared" ref="AP121:AP131" si="286">(N121+AD121)/2</f>
        <v>30.461309523809522</v>
      </c>
      <c r="AQ121" s="26">
        <f t="shared" ref="AQ121:AQ126" si="287">(O121+AE121)/2</f>
        <v>20.47</v>
      </c>
      <c r="AR121" s="26">
        <f t="shared" ref="AR121:AR131" si="288">(Q121+AG121)/2</f>
        <v>65.029761904761898</v>
      </c>
      <c r="AS121" s="26">
        <f t="shared" ref="AS121:AS131" si="289">(R121+AH121)/2</f>
        <v>43.7</v>
      </c>
      <c r="AT121" s="26">
        <f t="shared" ref="AT121:AT131" si="290">(T121+AJ121)/2</f>
        <v>65.029761904761898</v>
      </c>
      <c r="AU121" s="26">
        <f t="shared" ref="AU121:AU124" si="291">(U121+AK121)/2</f>
        <v>43.7</v>
      </c>
      <c r="AX121" s="11">
        <v>1.54</v>
      </c>
      <c r="AY121" s="12">
        <f t="shared" ref="AY121:AY131" si="292">AX121*$D121</f>
        <v>105.41666666666666</v>
      </c>
      <c r="AZ121" s="12">
        <f t="shared" si="271"/>
        <v>70.84</v>
      </c>
      <c r="BA121" s="11">
        <v>0.47</v>
      </c>
      <c r="BB121" s="12">
        <f t="shared" ref="BB121:BB131" si="293">BA121*$D121</f>
        <v>32.172619047619044</v>
      </c>
      <c r="BC121" s="12">
        <f t="shared" si="272"/>
        <v>21.619999999999997</v>
      </c>
      <c r="BD121" s="11">
        <v>0.8</v>
      </c>
      <c r="BE121" s="12">
        <f t="shared" ref="BE121:BE131" si="294">BD121*$D121</f>
        <v>54.761904761904759</v>
      </c>
      <c r="BF121" s="12">
        <f t="shared" si="273"/>
        <v>36.800000000000004</v>
      </c>
      <c r="BG121" s="11">
        <v>0.8</v>
      </c>
      <c r="BH121" s="12">
        <f t="shared" ref="BH121:BH131" si="295">BG121*$D121</f>
        <v>54.761904761904759</v>
      </c>
      <c r="BI121" s="12">
        <f t="shared" si="274"/>
        <v>36.800000000000004</v>
      </c>
    </row>
    <row r="122" spans="1:61" ht="14.4" x14ac:dyDescent="0.3">
      <c r="A122" s="13" t="s">
        <v>3</v>
      </c>
      <c r="B122" s="5">
        <v>31</v>
      </c>
      <c r="C122" s="5">
        <f t="shared" si="275"/>
        <v>744</v>
      </c>
      <c r="D122" s="9">
        <f t="shared" si="262"/>
        <v>115.59139784946237</v>
      </c>
      <c r="E122" s="5">
        <v>86</v>
      </c>
      <c r="H122" s="10"/>
      <c r="J122" s="11">
        <v>1.25</v>
      </c>
      <c r="K122" s="12">
        <f t="shared" si="263"/>
        <v>144.48924731182797</v>
      </c>
      <c r="L122" s="12">
        <f t="shared" si="276"/>
        <v>107.5</v>
      </c>
      <c r="M122" s="11">
        <v>0.52</v>
      </c>
      <c r="N122" s="12">
        <f t="shared" si="264"/>
        <v>60.107526881720432</v>
      </c>
      <c r="O122" s="12">
        <f t="shared" si="277"/>
        <v>44.72</v>
      </c>
      <c r="P122" s="11">
        <v>0.96</v>
      </c>
      <c r="Q122" s="12">
        <f t="shared" si="265"/>
        <v>110.96774193548387</v>
      </c>
      <c r="R122" s="12">
        <f t="shared" si="278"/>
        <v>82.56</v>
      </c>
      <c r="S122" s="11">
        <v>0.96</v>
      </c>
      <c r="T122" s="12">
        <f t="shared" si="266"/>
        <v>110.96774193548387</v>
      </c>
      <c r="U122" s="12">
        <f t="shared" si="279"/>
        <v>82.56</v>
      </c>
      <c r="X122" s="10"/>
      <c r="Y122" s="10"/>
      <c r="Z122" s="11">
        <v>1.28</v>
      </c>
      <c r="AA122" s="12">
        <f t="shared" si="280"/>
        <v>147.95698924731184</v>
      </c>
      <c r="AB122" s="12">
        <f t="shared" si="267"/>
        <v>110.08</v>
      </c>
      <c r="AC122" s="11">
        <v>0.35</v>
      </c>
      <c r="AD122" s="12">
        <f t="shared" si="281"/>
        <v>40.456989247311824</v>
      </c>
      <c r="AE122" s="12">
        <f t="shared" si="268"/>
        <v>30.099999999999998</v>
      </c>
      <c r="AF122" s="11">
        <v>0.85</v>
      </c>
      <c r="AG122" s="12">
        <f t="shared" si="282"/>
        <v>98.252688172043008</v>
      </c>
      <c r="AH122" s="12">
        <f t="shared" si="269"/>
        <v>73.099999999999994</v>
      </c>
      <c r="AI122" s="11">
        <v>0.85</v>
      </c>
      <c r="AJ122" s="12">
        <f t="shared" si="283"/>
        <v>98.252688172043008</v>
      </c>
      <c r="AK122" s="12">
        <f t="shared" si="270"/>
        <v>73.099999999999994</v>
      </c>
      <c r="AN122" s="26">
        <f t="shared" si="284"/>
        <v>146.22311827956992</v>
      </c>
      <c r="AO122" s="26">
        <f t="shared" si="285"/>
        <v>108.78999999999999</v>
      </c>
      <c r="AP122" s="26">
        <f t="shared" si="286"/>
        <v>50.282258064516128</v>
      </c>
      <c r="AQ122" s="26">
        <f t="shared" si="287"/>
        <v>37.409999999999997</v>
      </c>
      <c r="AR122" s="26">
        <f t="shared" si="288"/>
        <v>104.61021505376344</v>
      </c>
      <c r="AS122" s="26">
        <f t="shared" si="289"/>
        <v>77.83</v>
      </c>
      <c r="AT122" s="26">
        <f t="shared" si="290"/>
        <v>104.61021505376344</v>
      </c>
      <c r="AU122" s="26">
        <f t="shared" si="291"/>
        <v>77.83</v>
      </c>
      <c r="AX122" s="11">
        <v>1.06</v>
      </c>
      <c r="AY122" s="12">
        <f t="shared" si="292"/>
        <v>122.52688172043011</v>
      </c>
      <c r="AZ122" s="12">
        <f t="shared" si="271"/>
        <v>91.160000000000011</v>
      </c>
      <c r="BA122" s="11">
        <v>0.34</v>
      </c>
      <c r="BB122" s="12">
        <f t="shared" si="293"/>
        <v>39.301075268817208</v>
      </c>
      <c r="BC122" s="12">
        <f t="shared" si="272"/>
        <v>29.240000000000002</v>
      </c>
      <c r="BD122" s="11">
        <v>0.67</v>
      </c>
      <c r="BE122" s="12">
        <f t="shared" si="294"/>
        <v>77.446236559139791</v>
      </c>
      <c r="BF122" s="12">
        <f t="shared" si="273"/>
        <v>57.620000000000005</v>
      </c>
      <c r="BG122" s="11">
        <v>0.67</v>
      </c>
      <c r="BH122" s="12">
        <f t="shared" si="295"/>
        <v>77.446236559139791</v>
      </c>
      <c r="BI122" s="12">
        <f t="shared" si="274"/>
        <v>57.620000000000005</v>
      </c>
    </row>
    <row r="123" spans="1:61" ht="14.4" x14ac:dyDescent="0.3">
      <c r="A123" s="13" t="s">
        <v>4</v>
      </c>
      <c r="B123" s="5">
        <v>30</v>
      </c>
      <c r="C123" s="5">
        <f t="shared" si="275"/>
        <v>720</v>
      </c>
      <c r="D123" s="9">
        <f t="shared" si="262"/>
        <v>180.55555555555554</v>
      </c>
      <c r="E123" s="5">
        <v>130</v>
      </c>
      <c r="H123" s="10"/>
      <c r="J123" s="11">
        <v>1.0900000000000001</v>
      </c>
      <c r="K123" s="12">
        <f t="shared" si="263"/>
        <v>196.80555555555554</v>
      </c>
      <c r="L123" s="12">
        <f t="shared" si="276"/>
        <v>141.70000000000002</v>
      </c>
      <c r="M123" s="11">
        <v>0.68</v>
      </c>
      <c r="N123" s="12">
        <f t="shared" si="264"/>
        <v>122.77777777777777</v>
      </c>
      <c r="O123" s="12">
        <f t="shared" si="277"/>
        <v>88.4</v>
      </c>
      <c r="P123" s="11">
        <v>0.94</v>
      </c>
      <c r="Q123" s="12">
        <f t="shared" si="265"/>
        <v>169.7222222222222</v>
      </c>
      <c r="R123" s="12">
        <f t="shared" si="278"/>
        <v>122.19999999999999</v>
      </c>
      <c r="S123" s="11">
        <v>0.94</v>
      </c>
      <c r="T123" s="12">
        <f t="shared" si="266"/>
        <v>169.7222222222222</v>
      </c>
      <c r="U123" s="12">
        <f t="shared" si="279"/>
        <v>122.19999999999999</v>
      </c>
      <c r="X123" s="10"/>
      <c r="Y123" s="10"/>
      <c r="Z123" s="11">
        <v>0.99</v>
      </c>
      <c r="AA123" s="12">
        <f>Z123*$D123</f>
        <v>178.75</v>
      </c>
      <c r="AB123" s="12">
        <f t="shared" si="267"/>
        <v>128.69999999999999</v>
      </c>
      <c r="AC123" s="11">
        <v>0.34</v>
      </c>
      <c r="AD123" s="12">
        <f>AC123*$D123</f>
        <v>61.388888888888886</v>
      </c>
      <c r="AE123" s="12">
        <f t="shared" si="268"/>
        <v>44.2</v>
      </c>
      <c r="AF123" s="11">
        <v>0.81</v>
      </c>
      <c r="AG123" s="12">
        <f>AF123*$D123</f>
        <v>146.25</v>
      </c>
      <c r="AH123" s="12">
        <f t="shared" si="269"/>
        <v>105.30000000000001</v>
      </c>
      <c r="AI123" s="11">
        <v>0.81</v>
      </c>
      <c r="AJ123" s="12">
        <f>AI123*$D123</f>
        <v>146.25</v>
      </c>
      <c r="AK123" s="12">
        <f t="shared" si="270"/>
        <v>105.30000000000001</v>
      </c>
      <c r="AN123" s="26">
        <f t="shared" si="284"/>
        <v>187.77777777777777</v>
      </c>
      <c r="AO123" s="26">
        <f t="shared" si="285"/>
        <v>135.19999999999999</v>
      </c>
      <c r="AP123" s="26">
        <f t="shared" si="286"/>
        <v>92.083333333333329</v>
      </c>
      <c r="AQ123" s="26">
        <f t="shared" si="287"/>
        <v>66.300000000000011</v>
      </c>
      <c r="AR123" s="26">
        <f t="shared" si="288"/>
        <v>157.98611111111109</v>
      </c>
      <c r="AS123" s="26">
        <f t="shared" si="289"/>
        <v>113.75</v>
      </c>
      <c r="AT123" s="26">
        <f t="shared" si="290"/>
        <v>157.98611111111109</v>
      </c>
      <c r="AU123" s="26">
        <f t="shared" si="291"/>
        <v>113.75</v>
      </c>
      <c r="AX123" s="11">
        <v>0.72</v>
      </c>
      <c r="AY123" s="12">
        <f>AX123*$D123</f>
        <v>130</v>
      </c>
      <c r="AZ123" s="12">
        <f t="shared" si="271"/>
        <v>93.6</v>
      </c>
      <c r="BA123" s="11">
        <v>0.3</v>
      </c>
      <c r="BB123" s="12">
        <f>BA123*$D123</f>
        <v>54.166666666666664</v>
      </c>
      <c r="BC123" s="12">
        <f t="shared" si="272"/>
        <v>39</v>
      </c>
      <c r="BD123" s="11">
        <v>0.59</v>
      </c>
      <c r="BE123" s="12">
        <f>BD123*$D123</f>
        <v>106.52777777777777</v>
      </c>
      <c r="BF123" s="12">
        <f t="shared" si="273"/>
        <v>76.7</v>
      </c>
      <c r="BG123" s="11">
        <v>0.59</v>
      </c>
      <c r="BH123" s="12">
        <f>BG123*$D123</f>
        <v>106.52777777777777</v>
      </c>
      <c r="BI123" s="12">
        <f t="shared" si="274"/>
        <v>76.7</v>
      </c>
    </row>
    <row r="124" spans="1:61" ht="14.4" x14ac:dyDescent="0.3">
      <c r="A124" s="13" t="s">
        <v>22</v>
      </c>
      <c r="B124" s="5">
        <v>31</v>
      </c>
      <c r="C124" s="5">
        <f t="shared" si="275"/>
        <v>744</v>
      </c>
      <c r="D124" s="9">
        <f t="shared" si="262"/>
        <v>212.36559139784947</v>
      </c>
      <c r="E124" s="5">
        <v>158</v>
      </c>
      <c r="H124" s="10"/>
      <c r="I124" s="4" t="s">
        <v>33</v>
      </c>
      <c r="J124" s="11">
        <v>1.01</v>
      </c>
      <c r="K124" s="12">
        <f t="shared" si="263"/>
        <v>214.48924731182797</v>
      </c>
      <c r="L124" s="12">
        <f t="shared" si="276"/>
        <v>159.58000000000001</v>
      </c>
      <c r="M124" s="11">
        <v>0.79</v>
      </c>
      <c r="N124" s="12">
        <f t="shared" si="264"/>
        <v>167.76881720430109</v>
      </c>
      <c r="O124" s="12">
        <f t="shared" si="277"/>
        <v>124.82000000000001</v>
      </c>
      <c r="P124" s="11">
        <v>0.94</v>
      </c>
      <c r="Q124" s="12">
        <f t="shared" si="265"/>
        <v>199.6236559139785</v>
      </c>
      <c r="R124" s="12">
        <f t="shared" si="278"/>
        <v>148.51999999999998</v>
      </c>
      <c r="S124" s="11">
        <v>0.94</v>
      </c>
      <c r="T124" s="12">
        <f t="shared" si="266"/>
        <v>199.6236559139785</v>
      </c>
      <c r="U124" s="12">
        <f t="shared" si="279"/>
        <v>148.51999999999998</v>
      </c>
      <c r="W124" s="4" t="s">
        <v>33</v>
      </c>
      <c r="X124" s="10"/>
      <c r="Y124" s="10"/>
      <c r="Z124" s="11">
        <v>0.84</v>
      </c>
      <c r="AA124" s="12">
        <f t="shared" si="280"/>
        <v>178.38709677419354</v>
      </c>
      <c r="AB124" s="12">
        <f t="shared" si="267"/>
        <v>132.72</v>
      </c>
      <c r="AC124" s="11">
        <v>0.4</v>
      </c>
      <c r="AD124" s="12">
        <f t="shared" si="281"/>
        <v>84.946236559139791</v>
      </c>
      <c r="AE124" s="12">
        <f t="shared" si="268"/>
        <v>63.2</v>
      </c>
      <c r="AF124" s="11">
        <v>0.79</v>
      </c>
      <c r="AG124" s="12">
        <f t="shared" si="282"/>
        <v>167.76881720430109</v>
      </c>
      <c r="AH124" s="12">
        <f t="shared" si="269"/>
        <v>124.82000000000001</v>
      </c>
      <c r="AI124" s="11">
        <v>0.79</v>
      </c>
      <c r="AJ124" s="12">
        <f t="shared" si="283"/>
        <v>167.76881720430109</v>
      </c>
      <c r="AK124" s="12">
        <f t="shared" si="270"/>
        <v>124.82000000000001</v>
      </c>
      <c r="AM124" s="4" t="s">
        <v>33</v>
      </c>
      <c r="AN124" s="26">
        <f t="shared" si="284"/>
        <v>196.43817204301075</v>
      </c>
      <c r="AO124" s="26">
        <f t="shared" si="285"/>
        <v>146.15</v>
      </c>
      <c r="AP124" s="26">
        <f t="shared" si="286"/>
        <v>126.35752688172045</v>
      </c>
      <c r="AQ124" s="26">
        <f t="shared" si="287"/>
        <v>94.01</v>
      </c>
      <c r="AR124" s="26">
        <f t="shared" si="288"/>
        <v>183.69623655913978</v>
      </c>
      <c r="AS124" s="26">
        <f t="shared" si="289"/>
        <v>136.66999999999999</v>
      </c>
      <c r="AT124" s="26">
        <f t="shared" si="290"/>
        <v>183.69623655913978</v>
      </c>
      <c r="AU124" s="26">
        <f t="shared" si="291"/>
        <v>136.66999999999999</v>
      </c>
      <c r="AW124" s="4" t="s">
        <v>33</v>
      </c>
      <c r="AX124" s="11">
        <v>0.55000000000000004</v>
      </c>
      <c r="AY124" s="12">
        <f t="shared" si="292"/>
        <v>116.80107526881721</v>
      </c>
      <c r="AZ124" s="12">
        <f t="shared" si="271"/>
        <v>86.9</v>
      </c>
      <c r="BA124" s="11">
        <v>0.3</v>
      </c>
      <c r="BB124" s="12">
        <f t="shared" si="293"/>
        <v>63.70967741935484</v>
      </c>
      <c r="BC124" s="12">
        <f t="shared" si="272"/>
        <v>47.4</v>
      </c>
      <c r="BD124" s="11">
        <v>0.56000000000000005</v>
      </c>
      <c r="BE124" s="12">
        <f t="shared" si="294"/>
        <v>118.92473118279571</v>
      </c>
      <c r="BF124" s="12">
        <f t="shared" si="273"/>
        <v>88.48</v>
      </c>
      <c r="BG124" s="11">
        <v>0.56000000000000005</v>
      </c>
      <c r="BH124" s="12">
        <f t="shared" si="295"/>
        <v>118.92473118279571</v>
      </c>
      <c r="BI124" s="12">
        <f t="shared" si="274"/>
        <v>88.48</v>
      </c>
    </row>
    <row r="125" spans="1:61" ht="14.4" x14ac:dyDescent="0.3">
      <c r="A125" s="13" t="s">
        <v>23</v>
      </c>
      <c r="B125" s="5">
        <v>30</v>
      </c>
      <c r="C125" s="5">
        <f t="shared" si="275"/>
        <v>720</v>
      </c>
      <c r="D125" s="9">
        <f t="shared" si="262"/>
        <v>240.27777777777777</v>
      </c>
      <c r="E125" s="5">
        <v>173</v>
      </c>
      <c r="H125" s="10"/>
      <c r="I125" s="4">
        <v>2</v>
      </c>
      <c r="J125" s="11">
        <v>0.97</v>
      </c>
      <c r="K125" s="12">
        <f t="shared" si="263"/>
        <v>233.06944444444443</v>
      </c>
      <c r="L125" s="12">
        <f t="shared" si="276"/>
        <v>167.81</v>
      </c>
      <c r="M125" s="11">
        <v>0.82</v>
      </c>
      <c r="N125" s="12">
        <f t="shared" si="264"/>
        <v>197.02777777777777</v>
      </c>
      <c r="O125" s="12">
        <f t="shared" si="277"/>
        <v>141.85999999999999</v>
      </c>
      <c r="P125" s="11">
        <v>0.93</v>
      </c>
      <c r="Q125" s="12">
        <f t="shared" si="265"/>
        <v>223.45833333333334</v>
      </c>
      <c r="R125" s="12">
        <f t="shared" si="278"/>
        <v>160.89000000000001</v>
      </c>
      <c r="S125" s="11">
        <v>0.93</v>
      </c>
      <c r="T125" s="12">
        <f t="shared" si="266"/>
        <v>223.45833333333334</v>
      </c>
      <c r="U125" s="12">
        <f t="shared" si="279"/>
        <v>160.89000000000001</v>
      </c>
      <c r="W125" s="4">
        <v>2</v>
      </c>
      <c r="X125" s="10"/>
      <c r="Y125" s="10"/>
      <c r="Z125" s="11">
        <v>0.78</v>
      </c>
      <c r="AA125" s="12">
        <f t="shared" si="280"/>
        <v>187.41666666666666</v>
      </c>
      <c r="AB125" s="12">
        <f t="shared" si="267"/>
        <v>134.94</v>
      </c>
      <c r="AC125" s="11">
        <v>0.45</v>
      </c>
      <c r="AD125" s="12">
        <f t="shared" si="281"/>
        <v>108.125</v>
      </c>
      <c r="AE125" s="12">
        <f t="shared" si="268"/>
        <v>77.850000000000009</v>
      </c>
      <c r="AF125" s="11">
        <v>0.78</v>
      </c>
      <c r="AG125" s="12">
        <f t="shared" si="282"/>
        <v>187.41666666666666</v>
      </c>
      <c r="AH125" s="12">
        <f t="shared" si="269"/>
        <v>134.94</v>
      </c>
      <c r="AI125" s="11">
        <v>0.78</v>
      </c>
      <c r="AJ125" s="12">
        <f t="shared" si="283"/>
        <v>187.41666666666666</v>
      </c>
      <c r="AK125" s="12">
        <f t="shared" si="270"/>
        <v>134.94</v>
      </c>
      <c r="AM125" s="4">
        <v>2</v>
      </c>
      <c r="AN125" s="26">
        <f t="shared" si="284"/>
        <v>210.24305555555554</v>
      </c>
      <c r="AO125" s="26">
        <f t="shared" si="285"/>
        <v>151.375</v>
      </c>
      <c r="AP125" s="26">
        <f t="shared" si="286"/>
        <v>152.57638888888889</v>
      </c>
      <c r="AQ125" s="26">
        <f t="shared" si="287"/>
        <v>109.85499999999999</v>
      </c>
      <c r="AR125" s="26">
        <f t="shared" si="288"/>
        <v>205.4375</v>
      </c>
      <c r="AS125" s="26">
        <f t="shared" si="289"/>
        <v>147.91500000000002</v>
      </c>
      <c r="AT125" s="26">
        <f t="shared" si="290"/>
        <v>205.4375</v>
      </c>
      <c r="AU125" s="26">
        <f>(U125+AK125)/2</f>
        <v>147.91500000000002</v>
      </c>
      <c r="AW125" s="4" t="s">
        <v>65</v>
      </c>
      <c r="AX125" s="11">
        <v>0.5</v>
      </c>
      <c r="AY125" s="12">
        <f t="shared" si="292"/>
        <v>120.13888888888889</v>
      </c>
      <c r="AZ125" s="12">
        <f t="shared" si="271"/>
        <v>86.5</v>
      </c>
      <c r="BA125" s="11">
        <v>0.32</v>
      </c>
      <c r="BB125" s="12">
        <f t="shared" si="293"/>
        <v>76.888888888888886</v>
      </c>
      <c r="BC125" s="12">
        <f t="shared" si="272"/>
        <v>55.36</v>
      </c>
      <c r="BD125" s="11">
        <v>0.55000000000000004</v>
      </c>
      <c r="BE125" s="12">
        <f t="shared" si="294"/>
        <v>132.15277777777777</v>
      </c>
      <c r="BF125" s="12">
        <f t="shared" si="273"/>
        <v>95.15</v>
      </c>
      <c r="BG125" s="11">
        <v>0.55000000000000004</v>
      </c>
      <c r="BH125" s="12">
        <f t="shared" si="295"/>
        <v>132.15277777777777</v>
      </c>
      <c r="BI125" s="12">
        <f t="shared" si="274"/>
        <v>95.15</v>
      </c>
    </row>
    <row r="126" spans="1:61" ht="14.4" x14ac:dyDescent="0.3">
      <c r="A126" s="13" t="s">
        <v>24</v>
      </c>
      <c r="B126" s="5">
        <v>31</v>
      </c>
      <c r="C126" s="5">
        <f t="shared" si="275"/>
        <v>744</v>
      </c>
      <c r="D126" s="9">
        <f t="shared" si="262"/>
        <v>227.15053763440861</v>
      </c>
      <c r="E126" s="5">
        <v>169</v>
      </c>
      <c r="H126" s="10"/>
      <c r="J126" s="11">
        <v>0.98</v>
      </c>
      <c r="K126" s="12">
        <f t="shared" si="263"/>
        <v>222.60752688172042</v>
      </c>
      <c r="L126" s="12">
        <f t="shared" si="276"/>
        <v>165.62</v>
      </c>
      <c r="M126" s="11">
        <v>0.81</v>
      </c>
      <c r="N126" s="12">
        <f t="shared" si="264"/>
        <v>183.99193548387098</v>
      </c>
      <c r="O126" s="12">
        <f t="shared" si="277"/>
        <v>136.89000000000001</v>
      </c>
      <c r="P126" s="11">
        <v>0.93</v>
      </c>
      <c r="Q126" s="12">
        <f t="shared" si="265"/>
        <v>211.25000000000003</v>
      </c>
      <c r="R126" s="12">
        <f t="shared" si="278"/>
        <v>157.17000000000002</v>
      </c>
      <c r="S126" s="11">
        <v>0.93</v>
      </c>
      <c r="T126" s="12">
        <f t="shared" si="266"/>
        <v>211.25000000000003</v>
      </c>
      <c r="U126" s="12">
        <f t="shared" si="279"/>
        <v>157.17000000000002</v>
      </c>
      <c r="X126" s="10"/>
      <c r="Y126" s="10"/>
      <c r="Z126" s="11">
        <v>0.81</v>
      </c>
      <c r="AA126" s="12">
        <f t="shared" si="280"/>
        <v>183.99193548387098</v>
      </c>
      <c r="AB126" s="12">
        <f t="shared" si="267"/>
        <v>136.89000000000001</v>
      </c>
      <c r="AC126" s="11">
        <v>0.42</v>
      </c>
      <c r="AD126" s="12">
        <f t="shared" si="281"/>
        <v>95.403225806451616</v>
      </c>
      <c r="AE126" s="12">
        <f t="shared" si="268"/>
        <v>70.98</v>
      </c>
      <c r="AF126" s="11">
        <v>0.78</v>
      </c>
      <c r="AG126" s="12">
        <f t="shared" si="282"/>
        <v>177.17741935483872</v>
      </c>
      <c r="AH126" s="12">
        <f t="shared" si="269"/>
        <v>131.82</v>
      </c>
      <c r="AI126" s="11">
        <v>0.78</v>
      </c>
      <c r="AJ126" s="12">
        <f t="shared" si="283"/>
        <v>177.17741935483872</v>
      </c>
      <c r="AK126" s="12">
        <f t="shared" si="270"/>
        <v>131.82</v>
      </c>
      <c r="AN126" s="26">
        <f t="shared" si="284"/>
        <v>203.29973118279571</v>
      </c>
      <c r="AO126" s="26">
        <f t="shared" si="285"/>
        <v>151.255</v>
      </c>
      <c r="AP126" s="26">
        <f t="shared" si="286"/>
        <v>139.69758064516128</v>
      </c>
      <c r="AQ126" s="26">
        <f t="shared" si="287"/>
        <v>103.935</v>
      </c>
      <c r="AR126" s="26">
        <f t="shared" si="288"/>
        <v>194.21370967741939</v>
      </c>
      <c r="AS126" s="26">
        <f t="shared" si="289"/>
        <v>144.495</v>
      </c>
      <c r="AT126" s="26">
        <f t="shared" si="290"/>
        <v>194.21370967741939</v>
      </c>
      <c r="AU126" s="26">
        <f t="shared" ref="AU126:AU127" si="296">(U126+AK126)/2</f>
        <v>144.495</v>
      </c>
      <c r="AX126" s="11">
        <v>0.52</v>
      </c>
      <c r="AY126" s="12">
        <f t="shared" si="292"/>
        <v>118.11827956989248</v>
      </c>
      <c r="AZ126" s="12">
        <f t="shared" si="271"/>
        <v>87.88000000000001</v>
      </c>
      <c r="BA126" s="11">
        <v>0.31</v>
      </c>
      <c r="BB126" s="12">
        <f t="shared" si="293"/>
        <v>70.416666666666671</v>
      </c>
      <c r="BC126" s="12">
        <f t="shared" si="272"/>
        <v>52.39</v>
      </c>
      <c r="BD126" s="11">
        <v>0.55000000000000004</v>
      </c>
      <c r="BE126" s="12">
        <f t="shared" si="294"/>
        <v>124.93279569892475</v>
      </c>
      <c r="BF126" s="12">
        <f t="shared" si="273"/>
        <v>92.95</v>
      </c>
      <c r="BG126" s="11">
        <v>0.55000000000000004</v>
      </c>
      <c r="BH126" s="12">
        <f t="shared" si="295"/>
        <v>124.93279569892475</v>
      </c>
      <c r="BI126" s="12">
        <f t="shared" si="274"/>
        <v>92.95</v>
      </c>
    </row>
    <row r="127" spans="1:61" ht="14.4" x14ac:dyDescent="0.3">
      <c r="A127" s="13" t="s">
        <v>25</v>
      </c>
      <c r="B127" s="5">
        <v>31</v>
      </c>
      <c r="C127" s="5">
        <f t="shared" si="275"/>
        <v>744</v>
      </c>
      <c r="D127" s="9">
        <f t="shared" si="262"/>
        <v>197.58064516129033</v>
      </c>
      <c r="E127" s="5">
        <v>147</v>
      </c>
      <c r="H127" s="10"/>
      <c r="J127" s="11">
        <v>1.04</v>
      </c>
      <c r="K127" s="12">
        <f t="shared" si="263"/>
        <v>205.48387096774195</v>
      </c>
      <c r="L127" s="12">
        <f t="shared" si="276"/>
        <v>152.88</v>
      </c>
      <c r="M127" s="11">
        <v>0.73</v>
      </c>
      <c r="N127" s="12">
        <f t="shared" si="264"/>
        <v>144.23387096774195</v>
      </c>
      <c r="O127" s="12">
        <f t="shared" si="277"/>
        <v>107.31</v>
      </c>
      <c r="P127" s="11">
        <v>0.94</v>
      </c>
      <c r="Q127" s="12">
        <f t="shared" si="265"/>
        <v>185.7258064516129</v>
      </c>
      <c r="R127" s="12">
        <f t="shared" si="278"/>
        <v>138.17999999999998</v>
      </c>
      <c r="S127" s="11">
        <v>0.94</v>
      </c>
      <c r="T127" s="12">
        <f t="shared" si="266"/>
        <v>185.7258064516129</v>
      </c>
      <c r="U127" s="12">
        <f t="shared" si="279"/>
        <v>138.17999999999998</v>
      </c>
      <c r="X127" s="10"/>
      <c r="Y127" s="10"/>
      <c r="Z127" s="11">
        <v>0.91</v>
      </c>
      <c r="AA127" s="12">
        <f t="shared" si="280"/>
        <v>179.79838709677421</v>
      </c>
      <c r="AB127" s="12">
        <f t="shared" si="267"/>
        <v>133.77000000000001</v>
      </c>
      <c r="AC127" s="11">
        <v>0.35</v>
      </c>
      <c r="AD127" s="12">
        <f t="shared" si="281"/>
        <v>69.153225806451616</v>
      </c>
      <c r="AE127" s="12">
        <f t="shared" si="268"/>
        <v>51.449999999999996</v>
      </c>
      <c r="AF127" s="11">
        <v>0.79</v>
      </c>
      <c r="AG127" s="12">
        <f t="shared" si="282"/>
        <v>156.08870967741936</v>
      </c>
      <c r="AH127" s="12">
        <f t="shared" si="269"/>
        <v>116.13000000000001</v>
      </c>
      <c r="AI127" s="11">
        <v>0.79</v>
      </c>
      <c r="AJ127" s="12">
        <f t="shared" si="283"/>
        <v>156.08870967741936</v>
      </c>
      <c r="AK127" s="12">
        <f t="shared" si="270"/>
        <v>116.13000000000001</v>
      </c>
      <c r="AN127" s="26">
        <f t="shared" si="284"/>
        <v>192.64112903225808</v>
      </c>
      <c r="AO127" s="26">
        <f>(L127+AB127)/2</f>
        <v>143.32499999999999</v>
      </c>
      <c r="AP127" s="26">
        <f t="shared" si="286"/>
        <v>106.69354838709678</v>
      </c>
      <c r="AQ127" s="26">
        <f>(O127+AE127)/2</f>
        <v>79.38</v>
      </c>
      <c r="AR127" s="26">
        <f t="shared" si="288"/>
        <v>170.90725806451613</v>
      </c>
      <c r="AS127" s="26">
        <f t="shared" si="289"/>
        <v>127.155</v>
      </c>
      <c r="AT127" s="26">
        <f t="shared" si="290"/>
        <v>170.90725806451613</v>
      </c>
      <c r="AU127" s="26">
        <f t="shared" si="296"/>
        <v>127.155</v>
      </c>
      <c r="AX127" s="11">
        <v>0.62</v>
      </c>
      <c r="AY127" s="12">
        <f t="shared" si="292"/>
        <v>122.5</v>
      </c>
      <c r="AZ127" s="12">
        <f t="shared" si="271"/>
        <v>91.14</v>
      </c>
      <c r="BA127" s="11">
        <v>0.3</v>
      </c>
      <c r="BB127" s="12">
        <f t="shared" si="293"/>
        <v>59.274193548387096</v>
      </c>
      <c r="BC127" s="12">
        <f t="shared" si="272"/>
        <v>44.1</v>
      </c>
      <c r="BD127" s="11">
        <v>0.56999999999999995</v>
      </c>
      <c r="BE127" s="12">
        <f t="shared" si="294"/>
        <v>112.62096774193549</v>
      </c>
      <c r="BF127" s="12">
        <f t="shared" si="273"/>
        <v>83.789999999999992</v>
      </c>
      <c r="BG127" s="11">
        <v>0.56999999999999995</v>
      </c>
      <c r="BH127" s="12">
        <f t="shared" si="295"/>
        <v>112.62096774193549</v>
      </c>
      <c r="BI127" s="12">
        <f t="shared" si="274"/>
        <v>83.789999999999992</v>
      </c>
    </row>
    <row r="128" spans="1:61" ht="14.4" x14ac:dyDescent="0.3">
      <c r="A128" s="13" t="s">
        <v>26</v>
      </c>
      <c r="B128" s="5">
        <v>30</v>
      </c>
      <c r="C128" s="5">
        <f t="shared" si="275"/>
        <v>720</v>
      </c>
      <c r="D128" s="9">
        <f t="shared" si="262"/>
        <v>150</v>
      </c>
      <c r="E128" s="5">
        <v>108</v>
      </c>
      <c r="H128" s="10"/>
      <c r="J128" s="11">
        <v>1.17</v>
      </c>
      <c r="K128" s="12">
        <f t="shared" si="263"/>
        <v>175.5</v>
      </c>
      <c r="L128" s="12">
        <f t="shared" si="276"/>
        <v>126.35999999999999</v>
      </c>
      <c r="M128" s="11">
        <v>0.59</v>
      </c>
      <c r="N128" s="12">
        <f t="shared" si="264"/>
        <v>88.5</v>
      </c>
      <c r="O128" s="12">
        <f t="shared" si="277"/>
        <v>63.72</v>
      </c>
      <c r="P128" s="11">
        <v>0.95</v>
      </c>
      <c r="Q128" s="12">
        <f t="shared" si="265"/>
        <v>142.5</v>
      </c>
      <c r="R128" s="12">
        <f t="shared" si="278"/>
        <v>102.6</v>
      </c>
      <c r="S128" s="11">
        <v>0.95</v>
      </c>
      <c r="T128" s="12">
        <f t="shared" si="266"/>
        <v>142.5</v>
      </c>
      <c r="U128" s="12">
        <f t="shared" si="279"/>
        <v>102.6</v>
      </c>
      <c r="X128" s="10"/>
      <c r="Y128" s="10"/>
      <c r="Z128" s="11">
        <v>1.1100000000000001</v>
      </c>
      <c r="AA128" s="12">
        <f t="shared" si="280"/>
        <v>166.50000000000003</v>
      </c>
      <c r="AB128" s="12">
        <f t="shared" si="267"/>
        <v>119.88000000000001</v>
      </c>
      <c r="AC128" s="11">
        <v>0.31</v>
      </c>
      <c r="AD128" s="12">
        <f t="shared" si="281"/>
        <v>46.5</v>
      </c>
      <c r="AE128" s="12">
        <f t="shared" si="268"/>
        <v>33.479999999999997</v>
      </c>
      <c r="AF128" s="11">
        <v>0.81</v>
      </c>
      <c r="AG128" s="12">
        <f t="shared" si="282"/>
        <v>121.50000000000001</v>
      </c>
      <c r="AH128" s="12">
        <f t="shared" si="269"/>
        <v>87.48</v>
      </c>
      <c r="AI128" s="11">
        <v>0.81</v>
      </c>
      <c r="AJ128" s="12">
        <f t="shared" si="283"/>
        <v>121.50000000000001</v>
      </c>
      <c r="AK128" s="12">
        <f t="shared" si="270"/>
        <v>87.48</v>
      </c>
      <c r="AN128" s="26">
        <f t="shared" si="284"/>
        <v>171</v>
      </c>
      <c r="AO128" s="26">
        <f t="shared" ref="AO128:AO131" si="297">(L128+AB128)/2</f>
        <v>123.12</v>
      </c>
      <c r="AP128" s="26">
        <f t="shared" si="286"/>
        <v>67.5</v>
      </c>
      <c r="AQ128" s="26">
        <f t="shared" ref="AQ128:AQ131" si="298">(O128+AE128)/2</f>
        <v>48.599999999999994</v>
      </c>
      <c r="AR128" s="26">
        <f t="shared" si="288"/>
        <v>132</v>
      </c>
      <c r="AS128" s="26">
        <f t="shared" si="289"/>
        <v>95.039999999999992</v>
      </c>
      <c r="AT128" s="26">
        <f t="shared" si="290"/>
        <v>132</v>
      </c>
      <c r="AU128" s="26">
        <f>(U128+AK128)/2</f>
        <v>95.039999999999992</v>
      </c>
      <c r="AX128" s="11">
        <v>0.85</v>
      </c>
      <c r="AY128" s="12">
        <f t="shared" si="292"/>
        <v>127.5</v>
      </c>
      <c r="AZ128" s="12">
        <f t="shared" si="271"/>
        <v>91.8</v>
      </c>
      <c r="BA128" s="11">
        <v>0.28000000000000003</v>
      </c>
      <c r="BB128" s="12">
        <f t="shared" si="293"/>
        <v>42.000000000000007</v>
      </c>
      <c r="BC128" s="12">
        <f t="shared" si="272"/>
        <v>30.240000000000002</v>
      </c>
      <c r="BD128" s="11">
        <v>0.6</v>
      </c>
      <c r="BE128" s="12">
        <f t="shared" si="294"/>
        <v>90</v>
      </c>
      <c r="BF128" s="12">
        <f t="shared" si="273"/>
        <v>64.8</v>
      </c>
      <c r="BG128" s="11">
        <v>0.6</v>
      </c>
      <c r="BH128" s="12">
        <f t="shared" si="295"/>
        <v>90</v>
      </c>
      <c r="BI128" s="12">
        <f t="shared" si="274"/>
        <v>64.8</v>
      </c>
    </row>
    <row r="129" spans="1:61" ht="14.4" x14ac:dyDescent="0.3">
      <c r="A129" s="13" t="s">
        <v>5</v>
      </c>
      <c r="B129" s="5">
        <v>31</v>
      </c>
      <c r="C129" s="5">
        <f t="shared" si="275"/>
        <v>744</v>
      </c>
      <c r="D129" s="9">
        <f t="shared" si="262"/>
        <v>79.3010752688172</v>
      </c>
      <c r="E129" s="5">
        <v>59</v>
      </c>
      <c r="H129" s="10"/>
      <c r="J129" s="11">
        <v>1.33</v>
      </c>
      <c r="K129" s="12">
        <f t="shared" si="263"/>
        <v>105.47043010752688</v>
      </c>
      <c r="L129" s="12">
        <f t="shared" si="276"/>
        <v>78.47</v>
      </c>
      <c r="M129" s="11">
        <v>0.45</v>
      </c>
      <c r="N129" s="12">
        <f t="shared" si="264"/>
        <v>35.685483870967744</v>
      </c>
      <c r="O129" s="12">
        <f t="shared" si="277"/>
        <v>26.55</v>
      </c>
      <c r="P129" s="11">
        <v>0.96</v>
      </c>
      <c r="Q129" s="12">
        <f t="shared" si="265"/>
        <v>76.129032258064512</v>
      </c>
      <c r="R129" s="12">
        <f t="shared" si="278"/>
        <v>56.64</v>
      </c>
      <c r="S129" s="11">
        <v>0.96</v>
      </c>
      <c r="T129" s="12">
        <f t="shared" si="266"/>
        <v>76.129032258064512</v>
      </c>
      <c r="U129" s="12">
        <f t="shared" si="279"/>
        <v>56.64</v>
      </c>
      <c r="X129" s="10"/>
      <c r="Y129" s="10"/>
      <c r="Z129" s="11">
        <v>1.4</v>
      </c>
      <c r="AA129" s="12">
        <f t="shared" si="280"/>
        <v>111.02150537634408</v>
      </c>
      <c r="AB129" s="12">
        <f t="shared" si="267"/>
        <v>82.6</v>
      </c>
      <c r="AC129" s="11">
        <v>0.34</v>
      </c>
      <c r="AD129" s="12">
        <f t="shared" si="281"/>
        <v>26.962365591397852</v>
      </c>
      <c r="AE129" s="12">
        <f t="shared" si="268"/>
        <v>20.060000000000002</v>
      </c>
      <c r="AF129" s="11">
        <v>0.84</v>
      </c>
      <c r="AG129" s="12">
        <f t="shared" si="282"/>
        <v>66.612903225806448</v>
      </c>
      <c r="AH129" s="12">
        <f t="shared" si="269"/>
        <v>49.559999999999995</v>
      </c>
      <c r="AI129" s="11">
        <v>0.84</v>
      </c>
      <c r="AJ129" s="12">
        <f t="shared" si="283"/>
        <v>66.612903225806448</v>
      </c>
      <c r="AK129" s="12">
        <f t="shared" si="270"/>
        <v>49.559999999999995</v>
      </c>
      <c r="AN129" s="26">
        <f t="shared" si="284"/>
        <v>108.24596774193549</v>
      </c>
      <c r="AO129" s="26">
        <f t="shared" si="297"/>
        <v>80.534999999999997</v>
      </c>
      <c r="AP129" s="26">
        <f t="shared" si="286"/>
        <v>31.3239247311828</v>
      </c>
      <c r="AQ129" s="26">
        <f t="shared" si="298"/>
        <v>23.305</v>
      </c>
      <c r="AR129" s="26">
        <f t="shared" si="288"/>
        <v>71.370967741935488</v>
      </c>
      <c r="AS129" s="26">
        <f t="shared" si="289"/>
        <v>53.099999999999994</v>
      </c>
      <c r="AT129" s="26">
        <f t="shared" si="290"/>
        <v>71.370967741935488</v>
      </c>
      <c r="AU129" s="26">
        <f t="shared" ref="AU129:AU131" si="299">(U129+AK129)/2</f>
        <v>53.099999999999994</v>
      </c>
      <c r="AX129" s="11">
        <v>1.19</v>
      </c>
      <c r="AY129" s="12">
        <f t="shared" si="292"/>
        <v>94.368279569892465</v>
      </c>
      <c r="AZ129" s="12">
        <f t="shared" si="271"/>
        <v>70.209999999999994</v>
      </c>
      <c r="BA129" s="11">
        <v>0.3</v>
      </c>
      <c r="BB129" s="12">
        <f t="shared" si="293"/>
        <v>23.79032258064516</v>
      </c>
      <c r="BC129" s="12">
        <f t="shared" si="272"/>
        <v>17.7</v>
      </c>
      <c r="BD129" s="11">
        <v>0.63</v>
      </c>
      <c r="BE129" s="12">
        <f t="shared" si="294"/>
        <v>49.95967741935484</v>
      </c>
      <c r="BF129" s="12">
        <f t="shared" si="273"/>
        <v>37.17</v>
      </c>
      <c r="BG129" s="11">
        <v>0.63</v>
      </c>
      <c r="BH129" s="12">
        <f t="shared" si="295"/>
        <v>49.95967741935484</v>
      </c>
      <c r="BI129" s="12">
        <f t="shared" si="274"/>
        <v>37.17</v>
      </c>
    </row>
    <row r="130" spans="1:61" ht="14.4" x14ac:dyDescent="0.3">
      <c r="A130" s="13" t="s">
        <v>6</v>
      </c>
      <c r="B130" s="5">
        <v>30</v>
      </c>
      <c r="C130" s="5">
        <f t="shared" si="275"/>
        <v>720</v>
      </c>
      <c r="D130" s="9">
        <f t="shared" si="262"/>
        <v>40.277777777777779</v>
      </c>
      <c r="E130" s="5">
        <v>29</v>
      </c>
      <c r="H130" s="10"/>
      <c r="J130" s="11">
        <v>1.52</v>
      </c>
      <c r="K130" s="12">
        <f t="shared" si="263"/>
        <v>61.222222222222221</v>
      </c>
      <c r="L130" s="12">
        <f t="shared" si="276"/>
        <v>44.08</v>
      </c>
      <c r="M130" s="11">
        <v>0.47</v>
      </c>
      <c r="N130" s="12">
        <f t="shared" si="264"/>
        <v>18.930555555555554</v>
      </c>
      <c r="O130" s="12">
        <f t="shared" si="277"/>
        <v>13.629999999999999</v>
      </c>
      <c r="P130" s="11">
        <v>0.97</v>
      </c>
      <c r="Q130" s="12">
        <f t="shared" si="265"/>
        <v>39.069444444444443</v>
      </c>
      <c r="R130" s="12">
        <f t="shared" si="278"/>
        <v>28.13</v>
      </c>
      <c r="S130" s="11">
        <v>0.97</v>
      </c>
      <c r="T130" s="12">
        <f t="shared" si="266"/>
        <v>39.069444444444443</v>
      </c>
      <c r="U130" s="12">
        <f t="shared" si="279"/>
        <v>28.13</v>
      </c>
      <c r="X130" s="10"/>
      <c r="Y130" s="10"/>
      <c r="Z130" s="11">
        <v>1.75</v>
      </c>
      <c r="AA130" s="12">
        <f t="shared" si="280"/>
        <v>70.486111111111114</v>
      </c>
      <c r="AB130" s="12">
        <f t="shared" si="267"/>
        <v>50.75</v>
      </c>
      <c r="AC130" s="11">
        <v>0.4</v>
      </c>
      <c r="AD130" s="12">
        <f t="shared" si="281"/>
        <v>16.111111111111111</v>
      </c>
      <c r="AE130" s="12">
        <f t="shared" si="268"/>
        <v>11.600000000000001</v>
      </c>
      <c r="AF130" s="11">
        <v>0.86</v>
      </c>
      <c r="AG130" s="12">
        <f t="shared" si="282"/>
        <v>34.638888888888886</v>
      </c>
      <c r="AH130" s="12">
        <f t="shared" si="269"/>
        <v>24.94</v>
      </c>
      <c r="AI130" s="11">
        <v>0.86</v>
      </c>
      <c r="AJ130" s="12">
        <f t="shared" si="283"/>
        <v>34.638888888888886</v>
      </c>
      <c r="AK130" s="12">
        <f t="shared" si="270"/>
        <v>24.94</v>
      </c>
      <c r="AN130" s="26">
        <f t="shared" si="284"/>
        <v>65.854166666666671</v>
      </c>
      <c r="AO130" s="26">
        <f t="shared" si="297"/>
        <v>47.414999999999999</v>
      </c>
      <c r="AP130" s="26">
        <f t="shared" si="286"/>
        <v>17.520833333333332</v>
      </c>
      <c r="AQ130" s="26">
        <f t="shared" si="298"/>
        <v>12.615</v>
      </c>
      <c r="AR130" s="26">
        <f t="shared" si="288"/>
        <v>36.854166666666664</v>
      </c>
      <c r="AS130" s="26">
        <f t="shared" si="289"/>
        <v>26.535</v>
      </c>
      <c r="AT130" s="26">
        <f t="shared" si="290"/>
        <v>36.854166666666664</v>
      </c>
      <c r="AU130" s="26">
        <f t="shared" si="299"/>
        <v>26.535</v>
      </c>
      <c r="AX130" s="11">
        <v>1.62</v>
      </c>
      <c r="AY130" s="12">
        <f t="shared" si="292"/>
        <v>65.25</v>
      </c>
      <c r="AZ130" s="12">
        <f t="shared" si="271"/>
        <v>46.980000000000004</v>
      </c>
      <c r="BA130" s="11">
        <v>0.37</v>
      </c>
      <c r="BB130" s="12">
        <f t="shared" si="293"/>
        <v>14.902777777777779</v>
      </c>
      <c r="BC130" s="12">
        <f t="shared" si="272"/>
        <v>10.73</v>
      </c>
      <c r="BD130" s="11">
        <v>0.65</v>
      </c>
      <c r="BE130" s="12">
        <f t="shared" si="294"/>
        <v>26.180555555555557</v>
      </c>
      <c r="BF130" s="12">
        <f t="shared" si="273"/>
        <v>18.850000000000001</v>
      </c>
      <c r="BG130" s="11">
        <v>0.65</v>
      </c>
      <c r="BH130" s="12">
        <f t="shared" si="295"/>
        <v>26.180555555555557</v>
      </c>
      <c r="BI130" s="12">
        <f t="shared" si="274"/>
        <v>18.850000000000001</v>
      </c>
    </row>
    <row r="131" spans="1:61" ht="15" thickBot="1" x14ac:dyDescent="0.35">
      <c r="A131" s="14" t="s">
        <v>7</v>
      </c>
      <c r="B131" s="5">
        <v>31</v>
      </c>
      <c r="C131" s="5">
        <f t="shared" si="275"/>
        <v>744</v>
      </c>
      <c r="D131" s="9">
        <f t="shared" si="262"/>
        <v>26.881720430107528</v>
      </c>
      <c r="E131" s="5">
        <v>20</v>
      </c>
      <c r="H131" s="10"/>
      <c r="J131" s="11">
        <v>1.76</v>
      </c>
      <c r="K131" s="12">
        <f t="shared" si="263"/>
        <v>47.311827956989248</v>
      </c>
      <c r="L131" s="12">
        <f t="shared" si="276"/>
        <v>35.200000000000003</v>
      </c>
      <c r="M131" s="11">
        <v>0.48</v>
      </c>
      <c r="N131" s="12">
        <f t="shared" si="264"/>
        <v>12.903225806451612</v>
      </c>
      <c r="O131" s="12">
        <f t="shared" si="277"/>
        <v>9.6</v>
      </c>
      <c r="P131" s="11">
        <v>0.99</v>
      </c>
      <c r="Q131" s="12">
        <f t="shared" si="265"/>
        <v>26.612903225806452</v>
      </c>
      <c r="R131" s="12">
        <f t="shared" si="278"/>
        <v>19.8</v>
      </c>
      <c r="S131" s="11">
        <v>0.99</v>
      </c>
      <c r="T131" s="12">
        <f t="shared" si="266"/>
        <v>26.612903225806452</v>
      </c>
      <c r="U131" s="12">
        <f t="shared" si="279"/>
        <v>19.8</v>
      </c>
      <c r="X131" s="10"/>
      <c r="Y131" s="10"/>
      <c r="Z131" s="11">
        <v>2.15</v>
      </c>
      <c r="AA131" s="12">
        <f t="shared" si="280"/>
        <v>57.795698924731184</v>
      </c>
      <c r="AB131" s="12">
        <f t="shared" si="267"/>
        <v>43</v>
      </c>
      <c r="AC131" s="11">
        <v>0.46</v>
      </c>
      <c r="AD131" s="12">
        <f t="shared" si="281"/>
        <v>12.365591397849464</v>
      </c>
      <c r="AE131" s="12">
        <f t="shared" si="268"/>
        <v>9.2000000000000011</v>
      </c>
      <c r="AF131" s="11">
        <v>0.9</v>
      </c>
      <c r="AG131" s="12">
        <f t="shared" si="282"/>
        <v>24.193548387096776</v>
      </c>
      <c r="AH131" s="12">
        <f t="shared" si="269"/>
        <v>18</v>
      </c>
      <c r="AI131" s="11">
        <v>0.9</v>
      </c>
      <c r="AJ131" s="12">
        <f t="shared" si="283"/>
        <v>24.193548387096776</v>
      </c>
      <c r="AK131" s="12">
        <f t="shared" si="270"/>
        <v>18</v>
      </c>
      <c r="AN131" s="26">
        <f t="shared" si="284"/>
        <v>52.553763440860216</v>
      </c>
      <c r="AO131" s="26">
        <f t="shared" si="297"/>
        <v>39.1</v>
      </c>
      <c r="AP131" s="26">
        <f t="shared" si="286"/>
        <v>12.634408602150538</v>
      </c>
      <c r="AQ131" s="26">
        <f t="shared" si="298"/>
        <v>9.4</v>
      </c>
      <c r="AR131" s="26">
        <f t="shared" si="288"/>
        <v>25.403225806451616</v>
      </c>
      <c r="AS131" s="26">
        <f t="shared" si="289"/>
        <v>18.899999999999999</v>
      </c>
      <c r="AT131" s="26">
        <f t="shared" si="290"/>
        <v>25.403225806451616</v>
      </c>
      <c r="AU131" s="26">
        <f t="shared" si="299"/>
        <v>18.899999999999999</v>
      </c>
      <c r="AX131" s="11">
        <v>2.19</v>
      </c>
      <c r="AY131" s="12">
        <f t="shared" si="292"/>
        <v>58.870967741935488</v>
      </c>
      <c r="AZ131" s="12">
        <f t="shared" si="271"/>
        <v>43.8</v>
      </c>
      <c r="BA131" s="11">
        <v>0.46</v>
      </c>
      <c r="BB131" s="12">
        <f t="shared" si="293"/>
        <v>12.365591397849464</v>
      </c>
      <c r="BC131" s="12">
        <f t="shared" si="272"/>
        <v>9.2000000000000011</v>
      </c>
      <c r="BD131" s="11">
        <v>0.77</v>
      </c>
      <c r="BE131" s="12">
        <f t="shared" si="294"/>
        <v>20.698924731182796</v>
      </c>
      <c r="BF131" s="12">
        <f t="shared" si="273"/>
        <v>15.4</v>
      </c>
      <c r="BG131" s="11">
        <v>0.77</v>
      </c>
      <c r="BH131" s="12">
        <f t="shared" si="295"/>
        <v>20.698924731182796</v>
      </c>
      <c r="BI131" s="12">
        <f t="shared" si="274"/>
        <v>15.4</v>
      </c>
    </row>
    <row r="134" spans="1:61" x14ac:dyDescent="0.25">
      <c r="A134" s="15" t="s">
        <v>44</v>
      </c>
      <c r="B134" s="7" t="s">
        <v>10</v>
      </c>
      <c r="C134" s="7" t="s">
        <v>11</v>
      </c>
      <c r="E134" s="7" t="s">
        <v>12</v>
      </c>
      <c r="F134" s="7"/>
      <c r="G134" s="7"/>
      <c r="J134" s="36" t="s">
        <v>15</v>
      </c>
      <c r="K134" s="37"/>
      <c r="L134" s="38"/>
      <c r="M134" s="36" t="s">
        <v>16</v>
      </c>
      <c r="N134" s="37"/>
      <c r="O134" s="38"/>
      <c r="P134" s="36" t="s">
        <v>17</v>
      </c>
      <c r="Q134" s="37"/>
      <c r="R134" s="37"/>
      <c r="S134" s="34" t="s">
        <v>18</v>
      </c>
      <c r="T134" s="34"/>
      <c r="U134" s="34"/>
      <c r="Z134" s="36" t="s">
        <v>15</v>
      </c>
      <c r="AA134" s="37"/>
      <c r="AB134" s="38"/>
      <c r="AC134" s="36" t="s">
        <v>16</v>
      </c>
      <c r="AD134" s="37"/>
      <c r="AE134" s="38"/>
      <c r="AF134" s="36" t="s">
        <v>17</v>
      </c>
      <c r="AG134" s="37"/>
      <c r="AH134" s="37"/>
      <c r="AI134" s="34" t="s">
        <v>18</v>
      </c>
      <c r="AJ134" s="34"/>
      <c r="AK134" s="34"/>
      <c r="AN134" s="32" t="s">
        <v>15</v>
      </c>
      <c r="AO134" s="33"/>
      <c r="AP134" s="32" t="s">
        <v>16</v>
      </c>
      <c r="AQ134" s="33"/>
      <c r="AR134" s="32" t="s">
        <v>19</v>
      </c>
      <c r="AS134" s="33"/>
      <c r="AT134" s="34" t="s">
        <v>18</v>
      </c>
      <c r="AU134" s="34"/>
      <c r="AX134" s="36" t="s">
        <v>15</v>
      </c>
      <c r="AY134" s="37"/>
      <c r="AZ134" s="38"/>
      <c r="BA134" s="36" t="s">
        <v>16</v>
      </c>
      <c r="BB134" s="37"/>
      <c r="BC134" s="38"/>
      <c r="BD134" s="36" t="s">
        <v>17</v>
      </c>
      <c r="BE134" s="37"/>
      <c r="BF134" s="37"/>
      <c r="BG134" s="34" t="s">
        <v>18</v>
      </c>
      <c r="BH134" s="34"/>
      <c r="BI134" s="34"/>
    </row>
    <row r="135" spans="1:61" ht="13.8" thickBot="1" x14ac:dyDescent="0.3">
      <c r="D135" s="5" t="s">
        <v>14</v>
      </c>
      <c r="E135" s="5" t="s">
        <v>13</v>
      </c>
      <c r="J135" s="4" t="s">
        <v>48</v>
      </c>
      <c r="K135" s="4" t="s">
        <v>14</v>
      </c>
      <c r="L135" s="4" t="s">
        <v>13</v>
      </c>
      <c r="M135" s="4" t="s">
        <v>48</v>
      </c>
      <c r="N135" s="4" t="s">
        <v>14</v>
      </c>
      <c r="O135" s="4" t="s">
        <v>13</v>
      </c>
      <c r="P135" s="4" t="s">
        <v>48</v>
      </c>
      <c r="Q135" s="4" t="s">
        <v>14</v>
      </c>
      <c r="R135" s="4" t="s">
        <v>13</v>
      </c>
      <c r="S135" s="24" t="s">
        <v>48</v>
      </c>
      <c r="T135" s="24" t="s">
        <v>14</v>
      </c>
      <c r="U135" s="24" t="s">
        <v>13</v>
      </c>
      <c r="Z135" s="4" t="s">
        <v>48</v>
      </c>
      <c r="AA135" s="4" t="s">
        <v>14</v>
      </c>
      <c r="AB135" s="4" t="s">
        <v>13</v>
      </c>
      <c r="AC135" s="4" t="s">
        <v>48</v>
      </c>
      <c r="AD135" s="4" t="s">
        <v>14</v>
      </c>
      <c r="AE135" s="4" t="s">
        <v>13</v>
      </c>
      <c r="AF135" s="4" t="s">
        <v>48</v>
      </c>
      <c r="AG135" s="4" t="s">
        <v>14</v>
      </c>
      <c r="AH135" s="4" t="s">
        <v>13</v>
      </c>
      <c r="AI135" s="24" t="s">
        <v>48</v>
      </c>
      <c r="AJ135" s="24" t="s">
        <v>14</v>
      </c>
      <c r="AK135" s="24" t="s">
        <v>13</v>
      </c>
      <c r="AN135" s="24" t="s">
        <v>14</v>
      </c>
      <c r="AO135" s="24" t="s">
        <v>13</v>
      </c>
      <c r="AP135" s="24" t="s">
        <v>14</v>
      </c>
      <c r="AQ135" s="24" t="s">
        <v>13</v>
      </c>
      <c r="AR135" s="24" t="s">
        <v>14</v>
      </c>
      <c r="AS135" s="24" t="s">
        <v>13</v>
      </c>
      <c r="AT135" s="24" t="s">
        <v>14</v>
      </c>
      <c r="AU135" s="24" t="s">
        <v>13</v>
      </c>
      <c r="AX135" s="4" t="s">
        <v>48</v>
      </c>
      <c r="AY135" s="4" t="s">
        <v>14</v>
      </c>
      <c r="AZ135" s="4" t="s">
        <v>13</v>
      </c>
      <c r="BA135" s="4" t="s">
        <v>48</v>
      </c>
      <c r="BB135" s="4" t="s">
        <v>14</v>
      </c>
      <c r="BC135" s="4" t="s">
        <v>13</v>
      </c>
      <c r="BD135" s="4" t="s">
        <v>48</v>
      </c>
      <c r="BE135" s="4" t="s">
        <v>14</v>
      </c>
      <c r="BF135" s="4" t="s">
        <v>13</v>
      </c>
      <c r="BG135" s="24" t="s">
        <v>48</v>
      </c>
      <c r="BH135" s="24" t="s">
        <v>14</v>
      </c>
      <c r="BI135" s="24" t="s">
        <v>13</v>
      </c>
    </row>
    <row r="136" spans="1:61" ht="14.4" x14ac:dyDescent="0.3">
      <c r="A136" s="8" t="s">
        <v>1</v>
      </c>
      <c r="B136" s="5">
        <v>31</v>
      </c>
      <c r="C136" s="5">
        <f>B136*24</f>
        <v>744</v>
      </c>
      <c r="D136" s="9">
        <f t="shared" ref="D136:D147" si="300">E136*1000/C136</f>
        <v>37.634408602150536</v>
      </c>
      <c r="E136" s="5">
        <v>28</v>
      </c>
      <c r="H136" s="10"/>
      <c r="J136" s="11">
        <v>1.61</v>
      </c>
      <c r="K136" s="12">
        <f t="shared" ref="K136:K147" si="301">J136*D136</f>
        <v>60.591397849462368</v>
      </c>
      <c r="L136" s="12">
        <f>$E136*J136</f>
        <v>45.080000000000005</v>
      </c>
      <c r="M136" s="11">
        <v>0.52</v>
      </c>
      <c r="N136" s="12">
        <f t="shared" ref="N136:N147" si="302">M136*D136</f>
        <v>19.56989247311828</v>
      </c>
      <c r="O136" s="12">
        <f>$E136*M136</f>
        <v>14.56</v>
      </c>
      <c r="P136" s="11">
        <v>1</v>
      </c>
      <c r="Q136" s="12">
        <f t="shared" ref="Q136:Q147" si="303">P136*D136</f>
        <v>37.634408602150536</v>
      </c>
      <c r="R136" s="12">
        <f>$E136*P136</f>
        <v>28</v>
      </c>
      <c r="S136" s="11">
        <v>1</v>
      </c>
      <c r="T136" s="12">
        <f t="shared" ref="T136:T147" si="304">S136*D136</f>
        <v>37.634408602150536</v>
      </c>
      <c r="U136" s="12">
        <f>$E136*S136</f>
        <v>28</v>
      </c>
      <c r="X136" s="10"/>
      <c r="Y136" s="10"/>
      <c r="Z136" s="11">
        <v>1.94</v>
      </c>
      <c r="AA136" s="12">
        <f>Z136*$D136</f>
        <v>73.010752688172033</v>
      </c>
      <c r="AB136" s="12">
        <f t="shared" ref="AB136:AB147" si="305">$E136*Z136</f>
        <v>54.32</v>
      </c>
      <c r="AC136" s="11">
        <v>0.51</v>
      </c>
      <c r="AD136" s="12">
        <f>AC136*$D136</f>
        <v>19.193548387096772</v>
      </c>
      <c r="AE136" s="12">
        <f t="shared" ref="AE136:AE147" si="306">$E136*AC136</f>
        <v>14.280000000000001</v>
      </c>
      <c r="AF136" s="11">
        <v>0.95</v>
      </c>
      <c r="AG136" s="12">
        <f>AF136*$D136</f>
        <v>35.752688172043008</v>
      </c>
      <c r="AH136" s="12">
        <f t="shared" ref="AH136:AH147" si="307">$E136*AF136</f>
        <v>26.599999999999998</v>
      </c>
      <c r="AI136" s="11">
        <v>0.95</v>
      </c>
      <c r="AJ136" s="12">
        <f>AI136*$D136</f>
        <v>35.752688172043008</v>
      </c>
      <c r="AK136" s="12">
        <f t="shared" ref="AK136:AK147" si="308">$E136*AI136</f>
        <v>26.599999999999998</v>
      </c>
      <c r="AN136" s="26">
        <f>(K136+AA136)/2</f>
        <v>66.8010752688172</v>
      </c>
      <c r="AO136" s="26">
        <f>(L136+AB136)/2</f>
        <v>49.7</v>
      </c>
      <c r="AP136" s="26">
        <f>(N136+AD136)/2</f>
        <v>19.381720430107528</v>
      </c>
      <c r="AQ136" s="26">
        <f>(O136+AE136)/2</f>
        <v>14.420000000000002</v>
      </c>
      <c r="AR136" s="26">
        <f>(Q136+AG136)/2</f>
        <v>36.693548387096769</v>
      </c>
      <c r="AS136" s="26">
        <f>(R136+AH136)/2</f>
        <v>27.299999999999997</v>
      </c>
      <c r="AT136" s="26">
        <f>(T136+AJ136)/2</f>
        <v>36.693548387096769</v>
      </c>
      <c r="AU136" s="26">
        <f>(U136+AK136)/2</f>
        <v>27.299999999999997</v>
      </c>
      <c r="AX136" s="11">
        <v>1.92</v>
      </c>
      <c r="AY136" s="12">
        <f>AX136*$D136</f>
        <v>72.258064516129025</v>
      </c>
      <c r="AZ136" s="12">
        <f t="shared" ref="AZ136:AZ147" si="309">$E136*AX136</f>
        <v>53.76</v>
      </c>
      <c r="BA136" s="11">
        <v>0.55000000000000004</v>
      </c>
      <c r="BB136" s="12">
        <f>BA136*$D136</f>
        <v>20.698924731182796</v>
      </c>
      <c r="BC136" s="12">
        <f t="shared" ref="BC136:BC147" si="310">$E136*BA136</f>
        <v>15.400000000000002</v>
      </c>
      <c r="BD136" s="11">
        <v>0.85</v>
      </c>
      <c r="BE136" s="12">
        <f>BD136*$D136</f>
        <v>31.989247311827956</v>
      </c>
      <c r="BF136" s="12">
        <f t="shared" ref="BF136:BF147" si="311">$E136*BD136</f>
        <v>23.8</v>
      </c>
      <c r="BG136" s="11">
        <v>0.85</v>
      </c>
      <c r="BH136" s="12">
        <f>BG136*$D136</f>
        <v>31.989247311827956</v>
      </c>
      <c r="BI136" s="12">
        <f t="shared" ref="BI136:BI147" si="312">$E136*BG136</f>
        <v>23.8</v>
      </c>
    </row>
    <row r="137" spans="1:61" ht="14.4" x14ac:dyDescent="0.3">
      <c r="A137" s="13" t="s">
        <v>2</v>
      </c>
      <c r="B137" s="5">
        <v>28</v>
      </c>
      <c r="C137" s="5">
        <f t="shared" ref="C137:C147" si="313">B137*24</f>
        <v>672</v>
      </c>
      <c r="D137" s="9">
        <f t="shared" si="300"/>
        <v>72.916666666666671</v>
      </c>
      <c r="E137" s="5">
        <v>49</v>
      </c>
      <c r="H137" s="10"/>
      <c r="J137" s="11">
        <v>1.45</v>
      </c>
      <c r="K137" s="12">
        <f t="shared" si="301"/>
        <v>105.72916666666667</v>
      </c>
      <c r="L137" s="12">
        <f t="shared" ref="L137:L147" si="314">$E137*J137</f>
        <v>71.05</v>
      </c>
      <c r="M137" s="11">
        <v>0.45</v>
      </c>
      <c r="N137" s="12">
        <f t="shared" si="302"/>
        <v>32.8125</v>
      </c>
      <c r="O137" s="12">
        <f t="shared" ref="O137:O147" si="315">$E137*M137</f>
        <v>22.05</v>
      </c>
      <c r="P137" s="11">
        <v>0.98</v>
      </c>
      <c r="Q137" s="12">
        <f t="shared" si="303"/>
        <v>71.458333333333343</v>
      </c>
      <c r="R137" s="12">
        <f t="shared" ref="R137:R147" si="316">$E137*P137</f>
        <v>48.019999999999996</v>
      </c>
      <c r="S137" s="11">
        <v>0.98</v>
      </c>
      <c r="T137" s="12">
        <f t="shared" si="304"/>
        <v>71.458333333333343</v>
      </c>
      <c r="U137" s="12">
        <f t="shared" ref="U137:U147" si="317">$E137*S137</f>
        <v>48.019999999999996</v>
      </c>
      <c r="X137" s="10"/>
      <c r="Y137" s="10"/>
      <c r="Z137" s="11">
        <v>1.64</v>
      </c>
      <c r="AA137" s="12">
        <f t="shared" ref="AA137:AA147" si="318">Z137*$D137</f>
        <v>119.58333333333333</v>
      </c>
      <c r="AB137" s="12">
        <f t="shared" si="305"/>
        <v>80.36</v>
      </c>
      <c r="AC137" s="11">
        <v>0.44</v>
      </c>
      <c r="AD137" s="12">
        <f t="shared" ref="AD137:AD147" si="319">AC137*$D137</f>
        <v>32.083333333333336</v>
      </c>
      <c r="AE137" s="12">
        <f t="shared" si="306"/>
        <v>21.56</v>
      </c>
      <c r="AF137" s="11">
        <v>0.92</v>
      </c>
      <c r="AG137" s="12">
        <f t="shared" ref="AG137:AG147" si="320">AF137*$D137</f>
        <v>67.083333333333343</v>
      </c>
      <c r="AH137" s="12">
        <f t="shared" si="307"/>
        <v>45.080000000000005</v>
      </c>
      <c r="AI137" s="11">
        <v>0.92</v>
      </c>
      <c r="AJ137" s="12">
        <f t="shared" ref="AJ137:AJ147" si="321">AI137*$D137</f>
        <v>67.083333333333343</v>
      </c>
      <c r="AK137" s="12">
        <f t="shared" si="308"/>
        <v>45.080000000000005</v>
      </c>
      <c r="AN137" s="26">
        <f t="shared" ref="AN137:AN147" si="322">(K137+AA137)/2</f>
        <v>112.65625</v>
      </c>
      <c r="AO137" s="26">
        <f t="shared" ref="AO137:AO142" si="323">(L137+AB137)/2</f>
        <v>75.704999999999998</v>
      </c>
      <c r="AP137" s="26">
        <f t="shared" ref="AP137:AP147" si="324">(N137+AD137)/2</f>
        <v>32.447916666666671</v>
      </c>
      <c r="AQ137" s="26">
        <f t="shared" ref="AQ137:AQ142" si="325">(O137+AE137)/2</f>
        <v>21.805</v>
      </c>
      <c r="AR137" s="26">
        <f t="shared" ref="AR137:AR147" si="326">(Q137+AG137)/2</f>
        <v>69.270833333333343</v>
      </c>
      <c r="AS137" s="26">
        <f t="shared" ref="AS137:AS147" si="327">(R137+AH137)/2</f>
        <v>46.55</v>
      </c>
      <c r="AT137" s="26">
        <f t="shared" ref="AT137:AT147" si="328">(T137+AJ137)/2</f>
        <v>69.270833333333343</v>
      </c>
      <c r="AU137" s="26">
        <f t="shared" ref="AU137:AU140" si="329">(U137+AK137)/2</f>
        <v>46.55</v>
      </c>
      <c r="AX137" s="11">
        <v>1.54</v>
      </c>
      <c r="AY137" s="12">
        <f t="shared" ref="AY137:AY147" si="330">AX137*$D137</f>
        <v>112.29166666666667</v>
      </c>
      <c r="AZ137" s="12">
        <f t="shared" si="309"/>
        <v>75.460000000000008</v>
      </c>
      <c r="BA137" s="11">
        <v>0.47</v>
      </c>
      <c r="BB137" s="12">
        <f t="shared" ref="BB137:BB147" si="331">BA137*$D137</f>
        <v>34.270833333333336</v>
      </c>
      <c r="BC137" s="12">
        <f t="shared" si="310"/>
        <v>23.029999999999998</v>
      </c>
      <c r="BD137" s="11">
        <v>0.8</v>
      </c>
      <c r="BE137" s="12">
        <f t="shared" ref="BE137:BE147" si="332">BD137*$D137</f>
        <v>58.333333333333343</v>
      </c>
      <c r="BF137" s="12">
        <f t="shared" si="311"/>
        <v>39.200000000000003</v>
      </c>
      <c r="BG137" s="11">
        <v>0.8</v>
      </c>
      <c r="BH137" s="12">
        <f t="shared" ref="BH137:BH147" si="333">BG137*$D137</f>
        <v>58.333333333333343</v>
      </c>
      <c r="BI137" s="12">
        <f t="shared" si="312"/>
        <v>39.200000000000003</v>
      </c>
    </row>
    <row r="138" spans="1:61" ht="14.4" x14ac:dyDescent="0.3">
      <c r="A138" s="13" t="s">
        <v>3</v>
      </c>
      <c r="B138" s="5">
        <v>31</v>
      </c>
      <c r="C138" s="5">
        <f t="shared" si="313"/>
        <v>744</v>
      </c>
      <c r="D138" s="9">
        <f t="shared" si="300"/>
        <v>118.27956989247312</v>
      </c>
      <c r="E138" s="5">
        <v>88</v>
      </c>
      <c r="H138" s="10"/>
      <c r="J138" s="11">
        <v>1.25</v>
      </c>
      <c r="K138" s="12">
        <f t="shared" si="301"/>
        <v>147.84946236559139</v>
      </c>
      <c r="L138" s="12">
        <f t="shared" si="314"/>
        <v>110</v>
      </c>
      <c r="M138" s="11">
        <v>0.52</v>
      </c>
      <c r="N138" s="12">
        <f t="shared" si="302"/>
        <v>61.505376344086024</v>
      </c>
      <c r="O138" s="12">
        <f t="shared" si="315"/>
        <v>45.760000000000005</v>
      </c>
      <c r="P138" s="11">
        <v>0.96</v>
      </c>
      <c r="Q138" s="12">
        <f t="shared" si="303"/>
        <v>113.54838709677419</v>
      </c>
      <c r="R138" s="12">
        <f t="shared" si="316"/>
        <v>84.47999999999999</v>
      </c>
      <c r="S138" s="11">
        <v>0.96</v>
      </c>
      <c r="T138" s="12">
        <f t="shared" si="304"/>
        <v>113.54838709677419</v>
      </c>
      <c r="U138" s="12">
        <f t="shared" si="317"/>
        <v>84.47999999999999</v>
      </c>
      <c r="X138" s="10"/>
      <c r="Y138" s="10"/>
      <c r="Z138" s="11">
        <v>1.28</v>
      </c>
      <c r="AA138" s="12">
        <f t="shared" si="318"/>
        <v>151.3978494623656</v>
      </c>
      <c r="AB138" s="12">
        <f t="shared" si="305"/>
        <v>112.64</v>
      </c>
      <c r="AC138" s="11">
        <v>0.35</v>
      </c>
      <c r="AD138" s="12">
        <f t="shared" si="319"/>
        <v>41.397849462365592</v>
      </c>
      <c r="AE138" s="12">
        <f t="shared" si="306"/>
        <v>30.799999999999997</v>
      </c>
      <c r="AF138" s="11">
        <v>0.85</v>
      </c>
      <c r="AG138" s="12">
        <f t="shared" si="320"/>
        <v>100.53763440860214</v>
      </c>
      <c r="AH138" s="12">
        <f t="shared" si="307"/>
        <v>74.8</v>
      </c>
      <c r="AI138" s="11">
        <v>0.85</v>
      </c>
      <c r="AJ138" s="12">
        <f t="shared" si="321"/>
        <v>100.53763440860214</v>
      </c>
      <c r="AK138" s="12">
        <f t="shared" si="308"/>
        <v>74.8</v>
      </c>
      <c r="AN138" s="26">
        <f t="shared" si="322"/>
        <v>149.6236559139785</v>
      </c>
      <c r="AO138" s="26">
        <f t="shared" si="323"/>
        <v>111.32</v>
      </c>
      <c r="AP138" s="26">
        <f t="shared" si="324"/>
        <v>51.451612903225808</v>
      </c>
      <c r="AQ138" s="26">
        <f t="shared" si="325"/>
        <v>38.28</v>
      </c>
      <c r="AR138" s="26">
        <f t="shared" si="326"/>
        <v>107.04301075268816</v>
      </c>
      <c r="AS138" s="26">
        <f t="shared" si="327"/>
        <v>79.639999999999986</v>
      </c>
      <c r="AT138" s="26">
        <f t="shared" si="328"/>
        <v>107.04301075268816</v>
      </c>
      <c r="AU138" s="26">
        <f t="shared" si="329"/>
        <v>79.639999999999986</v>
      </c>
      <c r="AX138" s="11">
        <v>1.06</v>
      </c>
      <c r="AY138" s="12">
        <f t="shared" si="330"/>
        <v>125.37634408602152</v>
      </c>
      <c r="AZ138" s="12">
        <f t="shared" si="309"/>
        <v>93.28</v>
      </c>
      <c r="BA138" s="11">
        <v>0.34</v>
      </c>
      <c r="BB138" s="12">
        <f t="shared" si="331"/>
        <v>40.215053763440864</v>
      </c>
      <c r="BC138" s="12">
        <f t="shared" si="310"/>
        <v>29.92</v>
      </c>
      <c r="BD138" s="11">
        <v>0.67</v>
      </c>
      <c r="BE138" s="12">
        <f t="shared" si="332"/>
        <v>79.247311827956992</v>
      </c>
      <c r="BF138" s="12">
        <f t="shared" si="311"/>
        <v>58.96</v>
      </c>
      <c r="BG138" s="11">
        <v>0.67</v>
      </c>
      <c r="BH138" s="12">
        <f t="shared" si="333"/>
        <v>79.247311827956992</v>
      </c>
      <c r="BI138" s="12">
        <f t="shared" si="312"/>
        <v>58.96</v>
      </c>
    </row>
    <row r="139" spans="1:61" ht="14.4" x14ac:dyDescent="0.3">
      <c r="A139" s="13" t="s">
        <v>4</v>
      </c>
      <c r="B139" s="5">
        <v>30</v>
      </c>
      <c r="C139" s="5">
        <f t="shared" si="313"/>
        <v>720</v>
      </c>
      <c r="D139" s="9">
        <f t="shared" si="300"/>
        <v>180.55555555555554</v>
      </c>
      <c r="E139" s="5">
        <v>130</v>
      </c>
      <c r="H139" s="10"/>
      <c r="J139" s="11">
        <v>1.0900000000000001</v>
      </c>
      <c r="K139" s="12">
        <f t="shared" si="301"/>
        <v>196.80555555555554</v>
      </c>
      <c r="L139" s="12">
        <f t="shared" si="314"/>
        <v>141.70000000000002</v>
      </c>
      <c r="M139" s="11">
        <v>0.68</v>
      </c>
      <c r="N139" s="12">
        <f t="shared" si="302"/>
        <v>122.77777777777777</v>
      </c>
      <c r="O139" s="12">
        <f t="shared" si="315"/>
        <v>88.4</v>
      </c>
      <c r="P139" s="11">
        <v>0.94</v>
      </c>
      <c r="Q139" s="12">
        <f t="shared" si="303"/>
        <v>169.7222222222222</v>
      </c>
      <c r="R139" s="12">
        <f t="shared" si="316"/>
        <v>122.19999999999999</v>
      </c>
      <c r="S139" s="11">
        <v>0.94</v>
      </c>
      <c r="T139" s="12">
        <f t="shared" si="304"/>
        <v>169.7222222222222</v>
      </c>
      <c r="U139" s="12">
        <f t="shared" si="317"/>
        <v>122.19999999999999</v>
      </c>
      <c r="X139" s="10"/>
      <c r="Y139" s="10"/>
      <c r="Z139" s="11">
        <v>0.99</v>
      </c>
      <c r="AA139" s="12">
        <f>Z139*$D139</f>
        <v>178.75</v>
      </c>
      <c r="AB139" s="12">
        <f t="shared" si="305"/>
        <v>128.69999999999999</v>
      </c>
      <c r="AC139" s="11">
        <v>0.34</v>
      </c>
      <c r="AD139" s="12">
        <f>AC139*$D139</f>
        <v>61.388888888888886</v>
      </c>
      <c r="AE139" s="12">
        <f t="shared" si="306"/>
        <v>44.2</v>
      </c>
      <c r="AF139" s="11">
        <v>0.81</v>
      </c>
      <c r="AG139" s="12">
        <f>AF139*$D139</f>
        <v>146.25</v>
      </c>
      <c r="AH139" s="12">
        <f t="shared" si="307"/>
        <v>105.30000000000001</v>
      </c>
      <c r="AI139" s="11">
        <v>0.81</v>
      </c>
      <c r="AJ139" s="12">
        <f>AI139*$D139</f>
        <v>146.25</v>
      </c>
      <c r="AK139" s="12">
        <f t="shared" si="308"/>
        <v>105.30000000000001</v>
      </c>
      <c r="AN139" s="26">
        <f t="shared" si="322"/>
        <v>187.77777777777777</v>
      </c>
      <c r="AO139" s="26">
        <f t="shared" si="323"/>
        <v>135.19999999999999</v>
      </c>
      <c r="AP139" s="26">
        <f t="shared" si="324"/>
        <v>92.083333333333329</v>
      </c>
      <c r="AQ139" s="26">
        <f t="shared" si="325"/>
        <v>66.300000000000011</v>
      </c>
      <c r="AR139" s="26">
        <f t="shared" si="326"/>
        <v>157.98611111111109</v>
      </c>
      <c r="AS139" s="26">
        <f t="shared" si="327"/>
        <v>113.75</v>
      </c>
      <c r="AT139" s="26">
        <f t="shared" si="328"/>
        <v>157.98611111111109</v>
      </c>
      <c r="AU139" s="26">
        <f t="shared" si="329"/>
        <v>113.75</v>
      </c>
      <c r="AX139" s="11">
        <v>0.72</v>
      </c>
      <c r="AY139" s="12">
        <f>AX139*$D139</f>
        <v>130</v>
      </c>
      <c r="AZ139" s="12">
        <f t="shared" si="309"/>
        <v>93.6</v>
      </c>
      <c r="BA139" s="11">
        <v>0.3</v>
      </c>
      <c r="BB139" s="12">
        <f>BA139*$D139</f>
        <v>54.166666666666664</v>
      </c>
      <c r="BC139" s="12">
        <f t="shared" si="310"/>
        <v>39</v>
      </c>
      <c r="BD139" s="11">
        <v>0.59</v>
      </c>
      <c r="BE139" s="12">
        <f>BD139*$D139</f>
        <v>106.52777777777777</v>
      </c>
      <c r="BF139" s="12">
        <f t="shared" si="311"/>
        <v>76.7</v>
      </c>
      <c r="BG139" s="11">
        <v>0.59</v>
      </c>
      <c r="BH139" s="12">
        <f>BG139*$D139</f>
        <v>106.52777777777777</v>
      </c>
      <c r="BI139" s="12">
        <f t="shared" si="312"/>
        <v>76.7</v>
      </c>
    </row>
    <row r="140" spans="1:61" ht="14.4" x14ac:dyDescent="0.3">
      <c r="A140" s="13" t="s">
        <v>22</v>
      </c>
      <c r="B140" s="5">
        <v>31</v>
      </c>
      <c r="C140" s="5">
        <f t="shared" si="313"/>
        <v>744</v>
      </c>
      <c r="D140" s="9">
        <f t="shared" si="300"/>
        <v>211.02150537634409</v>
      </c>
      <c r="E140" s="5">
        <v>157</v>
      </c>
      <c r="H140" s="10"/>
      <c r="J140" s="11">
        <v>1.01</v>
      </c>
      <c r="K140" s="12">
        <f t="shared" si="301"/>
        <v>213.13172043010755</v>
      </c>
      <c r="L140" s="12">
        <f t="shared" si="314"/>
        <v>158.57</v>
      </c>
      <c r="M140" s="11">
        <v>0.79</v>
      </c>
      <c r="N140" s="12">
        <f t="shared" si="302"/>
        <v>166.70698924731184</v>
      </c>
      <c r="O140" s="12">
        <f t="shared" si="315"/>
        <v>124.03</v>
      </c>
      <c r="P140" s="11">
        <v>0.94</v>
      </c>
      <c r="Q140" s="12">
        <f t="shared" si="303"/>
        <v>198.36021505376343</v>
      </c>
      <c r="R140" s="12">
        <f t="shared" si="316"/>
        <v>147.57999999999998</v>
      </c>
      <c r="S140" s="11">
        <v>0.94</v>
      </c>
      <c r="T140" s="12">
        <f t="shared" si="304"/>
        <v>198.36021505376343</v>
      </c>
      <c r="U140" s="12">
        <f t="shared" si="317"/>
        <v>147.57999999999998</v>
      </c>
      <c r="X140" s="10"/>
      <c r="Y140" s="10"/>
      <c r="Z140" s="11">
        <v>0.84</v>
      </c>
      <c r="AA140" s="12">
        <f t="shared" si="318"/>
        <v>177.25806451612902</v>
      </c>
      <c r="AB140" s="12">
        <f t="shared" si="305"/>
        <v>131.88</v>
      </c>
      <c r="AC140" s="11">
        <v>0.4</v>
      </c>
      <c r="AD140" s="12">
        <f t="shared" si="319"/>
        <v>84.408602150537646</v>
      </c>
      <c r="AE140" s="12">
        <f t="shared" si="306"/>
        <v>62.800000000000004</v>
      </c>
      <c r="AF140" s="11">
        <v>0.79</v>
      </c>
      <c r="AG140" s="12">
        <f t="shared" si="320"/>
        <v>166.70698924731184</v>
      </c>
      <c r="AH140" s="12">
        <f t="shared" si="307"/>
        <v>124.03</v>
      </c>
      <c r="AI140" s="11">
        <v>0.79</v>
      </c>
      <c r="AJ140" s="12">
        <f t="shared" si="321"/>
        <v>166.70698924731184</v>
      </c>
      <c r="AK140" s="12">
        <f t="shared" si="308"/>
        <v>124.03</v>
      </c>
      <c r="AN140" s="26">
        <f t="shared" si="322"/>
        <v>195.19489247311827</v>
      </c>
      <c r="AO140" s="26">
        <f t="shared" si="323"/>
        <v>145.22499999999999</v>
      </c>
      <c r="AP140" s="26">
        <f t="shared" si="324"/>
        <v>125.55779569892474</v>
      </c>
      <c r="AQ140" s="26">
        <f t="shared" si="325"/>
        <v>93.415000000000006</v>
      </c>
      <c r="AR140" s="26">
        <f t="shared" si="326"/>
        <v>182.53360215053763</v>
      </c>
      <c r="AS140" s="26">
        <f t="shared" si="327"/>
        <v>135.80500000000001</v>
      </c>
      <c r="AT140" s="26">
        <f t="shared" si="328"/>
        <v>182.53360215053763</v>
      </c>
      <c r="AU140" s="26">
        <f t="shared" si="329"/>
        <v>135.80500000000001</v>
      </c>
      <c r="AX140" s="11">
        <v>0.55000000000000004</v>
      </c>
      <c r="AY140" s="12">
        <f t="shared" si="330"/>
        <v>116.06182795698926</v>
      </c>
      <c r="AZ140" s="12">
        <f t="shared" si="309"/>
        <v>86.350000000000009</v>
      </c>
      <c r="BA140" s="11">
        <v>0.3</v>
      </c>
      <c r="BB140" s="12">
        <f t="shared" si="331"/>
        <v>63.306451612903224</v>
      </c>
      <c r="BC140" s="12">
        <f t="shared" si="310"/>
        <v>47.1</v>
      </c>
      <c r="BD140" s="11">
        <v>0.56000000000000005</v>
      </c>
      <c r="BE140" s="12">
        <f t="shared" si="332"/>
        <v>118.1720430107527</v>
      </c>
      <c r="BF140" s="12">
        <f t="shared" si="311"/>
        <v>87.92</v>
      </c>
      <c r="BG140" s="11">
        <v>0.56000000000000005</v>
      </c>
      <c r="BH140" s="12">
        <f t="shared" si="333"/>
        <v>118.1720430107527</v>
      </c>
      <c r="BI140" s="12">
        <f t="shared" si="312"/>
        <v>87.92</v>
      </c>
    </row>
    <row r="141" spans="1:61" ht="14.4" x14ac:dyDescent="0.3">
      <c r="A141" s="13" t="s">
        <v>23</v>
      </c>
      <c r="B141" s="5">
        <v>30</v>
      </c>
      <c r="C141" s="5">
        <f t="shared" si="313"/>
        <v>720</v>
      </c>
      <c r="D141" s="9">
        <f t="shared" si="300"/>
        <v>238.88888888888889</v>
      </c>
      <c r="E141" s="5">
        <v>172</v>
      </c>
      <c r="H141" s="10"/>
      <c r="I141" s="4" t="s">
        <v>34</v>
      </c>
      <c r="J141" s="11">
        <v>0.97</v>
      </c>
      <c r="K141" s="12">
        <f t="shared" si="301"/>
        <v>231.7222222222222</v>
      </c>
      <c r="L141" s="12">
        <f t="shared" si="314"/>
        <v>166.84</v>
      </c>
      <c r="M141" s="11">
        <v>0.82</v>
      </c>
      <c r="N141" s="12">
        <f t="shared" si="302"/>
        <v>195.88888888888889</v>
      </c>
      <c r="O141" s="12">
        <f t="shared" si="315"/>
        <v>141.04</v>
      </c>
      <c r="P141" s="11">
        <v>0.93</v>
      </c>
      <c r="Q141" s="12">
        <f t="shared" si="303"/>
        <v>222.16666666666669</v>
      </c>
      <c r="R141" s="12">
        <f t="shared" si="316"/>
        <v>159.96</v>
      </c>
      <c r="S141" s="11">
        <v>0.93</v>
      </c>
      <c r="T141" s="12">
        <f t="shared" si="304"/>
        <v>222.16666666666669</v>
      </c>
      <c r="U141" s="12">
        <f t="shared" si="317"/>
        <v>159.96</v>
      </c>
      <c r="W141" s="4" t="s">
        <v>34</v>
      </c>
      <c r="X141" s="10"/>
      <c r="Y141" s="10"/>
      <c r="Z141" s="11">
        <v>0.78</v>
      </c>
      <c r="AA141" s="12">
        <f t="shared" si="318"/>
        <v>186.33333333333334</v>
      </c>
      <c r="AB141" s="12">
        <f t="shared" si="305"/>
        <v>134.16</v>
      </c>
      <c r="AC141" s="11">
        <v>0.45</v>
      </c>
      <c r="AD141" s="12">
        <f t="shared" si="319"/>
        <v>107.5</v>
      </c>
      <c r="AE141" s="12">
        <f t="shared" si="306"/>
        <v>77.400000000000006</v>
      </c>
      <c r="AF141" s="11">
        <v>0.78</v>
      </c>
      <c r="AG141" s="12">
        <f t="shared" si="320"/>
        <v>186.33333333333334</v>
      </c>
      <c r="AH141" s="12">
        <f t="shared" si="307"/>
        <v>134.16</v>
      </c>
      <c r="AI141" s="11">
        <v>0.78</v>
      </c>
      <c r="AJ141" s="12">
        <f t="shared" si="321"/>
        <v>186.33333333333334</v>
      </c>
      <c r="AK141" s="12">
        <f t="shared" si="308"/>
        <v>134.16</v>
      </c>
      <c r="AM141" s="4" t="s">
        <v>34</v>
      </c>
      <c r="AN141" s="26">
        <f t="shared" si="322"/>
        <v>209.02777777777777</v>
      </c>
      <c r="AO141" s="26">
        <f t="shared" si="323"/>
        <v>150.5</v>
      </c>
      <c r="AP141" s="26">
        <f t="shared" si="324"/>
        <v>151.69444444444446</v>
      </c>
      <c r="AQ141" s="26">
        <f t="shared" si="325"/>
        <v>109.22</v>
      </c>
      <c r="AR141" s="26">
        <f t="shared" si="326"/>
        <v>204.25</v>
      </c>
      <c r="AS141" s="26">
        <f t="shared" si="327"/>
        <v>147.06</v>
      </c>
      <c r="AT141" s="26">
        <f t="shared" si="328"/>
        <v>204.25</v>
      </c>
      <c r="AU141" s="26">
        <f>(U141+AK141)/2</f>
        <v>147.06</v>
      </c>
      <c r="AW141" s="4" t="s">
        <v>34</v>
      </c>
      <c r="AX141" s="11">
        <v>0.5</v>
      </c>
      <c r="AY141" s="12">
        <f t="shared" si="330"/>
        <v>119.44444444444444</v>
      </c>
      <c r="AZ141" s="12">
        <f t="shared" si="309"/>
        <v>86</v>
      </c>
      <c r="BA141" s="11">
        <v>0.32</v>
      </c>
      <c r="BB141" s="12">
        <f t="shared" si="331"/>
        <v>76.444444444444443</v>
      </c>
      <c r="BC141" s="12">
        <f t="shared" si="310"/>
        <v>55.04</v>
      </c>
      <c r="BD141" s="11">
        <v>0.55000000000000004</v>
      </c>
      <c r="BE141" s="12">
        <f t="shared" si="332"/>
        <v>131.38888888888889</v>
      </c>
      <c r="BF141" s="12">
        <f t="shared" si="311"/>
        <v>94.600000000000009</v>
      </c>
      <c r="BG141" s="11">
        <v>0.55000000000000004</v>
      </c>
      <c r="BH141" s="12">
        <f t="shared" si="333"/>
        <v>131.38888888888889</v>
      </c>
      <c r="BI141" s="12">
        <f t="shared" si="312"/>
        <v>94.600000000000009</v>
      </c>
    </row>
    <row r="142" spans="1:61" ht="14.4" x14ac:dyDescent="0.3">
      <c r="A142" s="13" t="s">
        <v>24</v>
      </c>
      <c r="B142" s="5">
        <v>31</v>
      </c>
      <c r="C142" s="5">
        <f t="shared" si="313"/>
        <v>744</v>
      </c>
      <c r="D142" s="9">
        <f t="shared" si="300"/>
        <v>223.11827956989248</v>
      </c>
      <c r="E142" s="5">
        <v>166</v>
      </c>
      <c r="H142" s="10"/>
      <c r="I142" s="4">
        <v>2</v>
      </c>
      <c r="J142" s="11">
        <v>0.98</v>
      </c>
      <c r="K142" s="12">
        <f t="shared" si="301"/>
        <v>218.65591397849462</v>
      </c>
      <c r="L142" s="12">
        <f t="shared" si="314"/>
        <v>162.68</v>
      </c>
      <c r="M142" s="11">
        <v>0.81</v>
      </c>
      <c r="N142" s="12">
        <f t="shared" si="302"/>
        <v>180.72580645161293</v>
      </c>
      <c r="O142" s="12">
        <f t="shared" si="315"/>
        <v>134.46</v>
      </c>
      <c r="P142" s="11">
        <v>0.93</v>
      </c>
      <c r="Q142" s="12">
        <f t="shared" si="303"/>
        <v>207.50000000000003</v>
      </c>
      <c r="R142" s="12">
        <f t="shared" si="316"/>
        <v>154.38</v>
      </c>
      <c r="S142" s="11">
        <v>0.93</v>
      </c>
      <c r="T142" s="12">
        <f t="shared" si="304"/>
        <v>207.50000000000003</v>
      </c>
      <c r="U142" s="12">
        <f t="shared" si="317"/>
        <v>154.38</v>
      </c>
      <c r="W142" s="4">
        <v>2</v>
      </c>
      <c r="X142" s="10"/>
      <c r="Y142" s="10"/>
      <c r="Z142" s="11">
        <v>0.81</v>
      </c>
      <c r="AA142" s="12">
        <f t="shared" si="318"/>
        <v>180.72580645161293</v>
      </c>
      <c r="AB142" s="12">
        <f t="shared" si="305"/>
        <v>134.46</v>
      </c>
      <c r="AC142" s="11">
        <v>0.42</v>
      </c>
      <c r="AD142" s="12">
        <f t="shared" si="319"/>
        <v>93.709677419354833</v>
      </c>
      <c r="AE142" s="12">
        <f t="shared" si="306"/>
        <v>69.72</v>
      </c>
      <c r="AF142" s="11">
        <v>0.78</v>
      </c>
      <c r="AG142" s="12">
        <f t="shared" si="320"/>
        <v>174.03225806451613</v>
      </c>
      <c r="AH142" s="12">
        <f t="shared" si="307"/>
        <v>129.48000000000002</v>
      </c>
      <c r="AI142" s="11">
        <v>0.78</v>
      </c>
      <c r="AJ142" s="12">
        <f t="shared" si="321"/>
        <v>174.03225806451613</v>
      </c>
      <c r="AK142" s="12">
        <f t="shared" si="308"/>
        <v>129.48000000000002</v>
      </c>
      <c r="AM142" s="4">
        <v>2</v>
      </c>
      <c r="AN142" s="26">
        <f t="shared" si="322"/>
        <v>199.69086021505376</v>
      </c>
      <c r="AO142" s="26">
        <f t="shared" si="323"/>
        <v>148.57</v>
      </c>
      <c r="AP142" s="26">
        <f t="shared" si="324"/>
        <v>137.21774193548387</v>
      </c>
      <c r="AQ142" s="26">
        <f t="shared" si="325"/>
        <v>102.09</v>
      </c>
      <c r="AR142" s="26">
        <f t="shared" si="326"/>
        <v>190.76612903225808</v>
      </c>
      <c r="AS142" s="26">
        <f t="shared" si="327"/>
        <v>141.93</v>
      </c>
      <c r="AT142" s="26">
        <f t="shared" si="328"/>
        <v>190.76612903225808</v>
      </c>
      <c r="AU142" s="26">
        <f t="shared" ref="AU142:AU143" si="334">(U142+AK142)/2</f>
        <v>141.93</v>
      </c>
      <c r="AW142" s="4" t="s">
        <v>65</v>
      </c>
      <c r="AX142" s="11">
        <v>0.52</v>
      </c>
      <c r="AY142" s="12">
        <f t="shared" si="330"/>
        <v>116.02150537634409</v>
      </c>
      <c r="AZ142" s="12">
        <f t="shared" si="309"/>
        <v>86.320000000000007</v>
      </c>
      <c r="BA142" s="11">
        <v>0.31</v>
      </c>
      <c r="BB142" s="12">
        <f t="shared" si="331"/>
        <v>69.166666666666671</v>
      </c>
      <c r="BC142" s="12">
        <f t="shared" si="310"/>
        <v>51.46</v>
      </c>
      <c r="BD142" s="11">
        <v>0.55000000000000004</v>
      </c>
      <c r="BE142" s="12">
        <f t="shared" si="332"/>
        <v>122.71505376344088</v>
      </c>
      <c r="BF142" s="12">
        <f t="shared" si="311"/>
        <v>91.300000000000011</v>
      </c>
      <c r="BG142" s="11">
        <v>0.55000000000000004</v>
      </c>
      <c r="BH142" s="12">
        <f t="shared" si="333"/>
        <v>122.71505376344088</v>
      </c>
      <c r="BI142" s="12">
        <f t="shared" si="312"/>
        <v>91.300000000000011</v>
      </c>
    </row>
    <row r="143" spans="1:61" ht="14.4" x14ac:dyDescent="0.3">
      <c r="A143" s="13" t="s">
        <v>25</v>
      </c>
      <c r="B143" s="5">
        <v>31</v>
      </c>
      <c r="C143" s="5">
        <f t="shared" si="313"/>
        <v>744</v>
      </c>
      <c r="D143" s="9">
        <f t="shared" si="300"/>
        <v>192.20430107526883</v>
      </c>
      <c r="E143" s="5">
        <v>143</v>
      </c>
      <c r="H143" s="10"/>
      <c r="J143" s="11">
        <v>1.04</v>
      </c>
      <c r="K143" s="12">
        <f t="shared" si="301"/>
        <v>199.89247311827958</v>
      </c>
      <c r="L143" s="12">
        <f t="shared" si="314"/>
        <v>148.72</v>
      </c>
      <c r="M143" s="11">
        <v>0.73</v>
      </c>
      <c r="N143" s="12">
        <f t="shared" si="302"/>
        <v>140.30913978494624</v>
      </c>
      <c r="O143" s="12">
        <f t="shared" si="315"/>
        <v>104.39</v>
      </c>
      <c r="P143" s="11">
        <v>0.94</v>
      </c>
      <c r="Q143" s="12">
        <f t="shared" si="303"/>
        <v>180.6720430107527</v>
      </c>
      <c r="R143" s="12">
        <f t="shared" si="316"/>
        <v>134.41999999999999</v>
      </c>
      <c r="S143" s="11">
        <v>0.94</v>
      </c>
      <c r="T143" s="12">
        <f t="shared" si="304"/>
        <v>180.6720430107527</v>
      </c>
      <c r="U143" s="12">
        <f t="shared" si="317"/>
        <v>134.41999999999999</v>
      </c>
      <c r="X143" s="10"/>
      <c r="Y143" s="10"/>
      <c r="Z143" s="11">
        <v>0.91</v>
      </c>
      <c r="AA143" s="12">
        <f t="shared" si="318"/>
        <v>174.90591397849465</v>
      </c>
      <c r="AB143" s="12">
        <f t="shared" si="305"/>
        <v>130.13</v>
      </c>
      <c r="AC143" s="11">
        <v>0.35</v>
      </c>
      <c r="AD143" s="12">
        <f t="shared" si="319"/>
        <v>67.271505376344081</v>
      </c>
      <c r="AE143" s="12">
        <f t="shared" si="306"/>
        <v>50.05</v>
      </c>
      <c r="AF143" s="11">
        <v>0.79</v>
      </c>
      <c r="AG143" s="12">
        <f t="shared" si="320"/>
        <v>151.8413978494624</v>
      </c>
      <c r="AH143" s="12">
        <f t="shared" si="307"/>
        <v>112.97</v>
      </c>
      <c r="AI143" s="11">
        <v>0.79</v>
      </c>
      <c r="AJ143" s="12">
        <f t="shared" si="321"/>
        <v>151.8413978494624</v>
      </c>
      <c r="AK143" s="12">
        <f t="shared" si="308"/>
        <v>112.97</v>
      </c>
      <c r="AN143" s="26">
        <f t="shared" si="322"/>
        <v>187.39919354838713</v>
      </c>
      <c r="AO143" s="26">
        <f>(L143+AB143)/2</f>
        <v>139.42500000000001</v>
      </c>
      <c r="AP143" s="26">
        <f t="shared" si="324"/>
        <v>103.79032258064515</v>
      </c>
      <c r="AQ143" s="26">
        <f>(O143+AE143)/2</f>
        <v>77.22</v>
      </c>
      <c r="AR143" s="26">
        <f t="shared" si="326"/>
        <v>166.25672043010755</v>
      </c>
      <c r="AS143" s="26">
        <f t="shared" si="327"/>
        <v>123.69499999999999</v>
      </c>
      <c r="AT143" s="26">
        <f t="shared" si="328"/>
        <v>166.25672043010755</v>
      </c>
      <c r="AU143" s="26">
        <f t="shared" si="334"/>
        <v>123.69499999999999</v>
      </c>
      <c r="AX143" s="11">
        <v>0.62</v>
      </c>
      <c r="AY143" s="12">
        <f t="shared" si="330"/>
        <v>119.16666666666667</v>
      </c>
      <c r="AZ143" s="12">
        <f t="shared" si="309"/>
        <v>88.66</v>
      </c>
      <c r="BA143" s="11">
        <v>0.3</v>
      </c>
      <c r="BB143" s="12">
        <f t="shared" si="331"/>
        <v>57.661290322580648</v>
      </c>
      <c r="BC143" s="12">
        <f t="shared" si="310"/>
        <v>42.9</v>
      </c>
      <c r="BD143" s="11">
        <v>0.56999999999999995</v>
      </c>
      <c r="BE143" s="12">
        <f t="shared" si="332"/>
        <v>109.55645161290322</v>
      </c>
      <c r="BF143" s="12">
        <f t="shared" si="311"/>
        <v>81.509999999999991</v>
      </c>
      <c r="BG143" s="11">
        <v>0.56999999999999995</v>
      </c>
      <c r="BH143" s="12">
        <f t="shared" si="333"/>
        <v>109.55645161290322</v>
      </c>
      <c r="BI143" s="12">
        <f t="shared" si="312"/>
        <v>81.509999999999991</v>
      </c>
    </row>
    <row r="144" spans="1:61" ht="14.4" x14ac:dyDescent="0.3">
      <c r="A144" s="13" t="s">
        <v>26</v>
      </c>
      <c r="B144" s="5">
        <v>30</v>
      </c>
      <c r="C144" s="5">
        <f t="shared" si="313"/>
        <v>720</v>
      </c>
      <c r="D144" s="9">
        <f t="shared" si="300"/>
        <v>150</v>
      </c>
      <c r="E144" s="5">
        <v>108</v>
      </c>
      <c r="H144" s="10"/>
      <c r="J144" s="11">
        <v>1.17</v>
      </c>
      <c r="K144" s="12">
        <f t="shared" si="301"/>
        <v>175.5</v>
      </c>
      <c r="L144" s="12">
        <f t="shared" si="314"/>
        <v>126.35999999999999</v>
      </c>
      <c r="M144" s="11">
        <v>0.59</v>
      </c>
      <c r="N144" s="12">
        <f t="shared" si="302"/>
        <v>88.5</v>
      </c>
      <c r="O144" s="12">
        <f t="shared" si="315"/>
        <v>63.72</v>
      </c>
      <c r="P144" s="11">
        <v>0.95</v>
      </c>
      <c r="Q144" s="12">
        <f t="shared" si="303"/>
        <v>142.5</v>
      </c>
      <c r="R144" s="12">
        <f t="shared" si="316"/>
        <v>102.6</v>
      </c>
      <c r="S144" s="11">
        <v>0.95</v>
      </c>
      <c r="T144" s="12">
        <f t="shared" si="304"/>
        <v>142.5</v>
      </c>
      <c r="U144" s="12">
        <f t="shared" si="317"/>
        <v>102.6</v>
      </c>
      <c r="X144" s="10"/>
      <c r="Y144" s="10"/>
      <c r="Z144" s="11">
        <v>1.1100000000000001</v>
      </c>
      <c r="AA144" s="12">
        <f t="shared" si="318"/>
        <v>166.50000000000003</v>
      </c>
      <c r="AB144" s="12">
        <f t="shared" si="305"/>
        <v>119.88000000000001</v>
      </c>
      <c r="AC144" s="11">
        <v>0.31</v>
      </c>
      <c r="AD144" s="12">
        <f t="shared" si="319"/>
        <v>46.5</v>
      </c>
      <c r="AE144" s="12">
        <f t="shared" si="306"/>
        <v>33.479999999999997</v>
      </c>
      <c r="AF144" s="11">
        <v>0.81</v>
      </c>
      <c r="AG144" s="12">
        <f t="shared" si="320"/>
        <v>121.50000000000001</v>
      </c>
      <c r="AH144" s="12">
        <f t="shared" si="307"/>
        <v>87.48</v>
      </c>
      <c r="AI144" s="11">
        <v>0.81</v>
      </c>
      <c r="AJ144" s="12">
        <f t="shared" si="321"/>
        <v>121.50000000000001</v>
      </c>
      <c r="AK144" s="12">
        <f t="shared" si="308"/>
        <v>87.48</v>
      </c>
      <c r="AN144" s="26">
        <f t="shared" si="322"/>
        <v>171</v>
      </c>
      <c r="AO144" s="26">
        <f t="shared" ref="AO144:AO147" si="335">(L144+AB144)/2</f>
        <v>123.12</v>
      </c>
      <c r="AP144" s="26">
        <f t="shared" si="324"/>
        <v>67.5</v>
      </c>
      <c r="AQ144" s="26">
        <f t="shared" ref="AQ144:AQ147" si="336">(O144+AE144)/2</f>
        <v>48.599999999999994</v>
      </c>
      <c r="AR144" s="26">
        <f t="shared" si="326"/>
        <v>132</v>
      </c>
      <c r="AS144" s="26">
        <f t="shared" si="327"/>
        <v>95.039999999999992</v>
      </c>
      <c r="AT144" s="26">
        <f t="shared" si="328"/>
        <v>132</v>
      </c>
      <c r="AU144" s="26">
        <f>(U144+AK144)/2</f>
        <v>95.039999999999992</v>
      </c>
      <c r="AX144" s="11">
        <v>0.85</v>
      </c>
      <c r="AY144" s="12">
        <f t="shared" si="330"/>
        <v>127.5</v>
      </c>
      <c r="AZ144" s="12">
        <f t="shared" si="309"/>
        <v>91.8</v>
      </c>
      <c r="BA144" s="11">
        <v>0.28000000000000003</v>
      </c>
      <c r="BB144" s="12">
        <f t="shared" si="331"/>
        <v>42.000000000000007</v>
      </c>
      <c r="BC144" s="12">
        <f t="shared" si="310"/>
        <v>30.240000000000002</v>
      </c>
      <c r="BD144" s="11">
        <v>0.6</v>
      </c>
      <c r="BE144" s="12">
        <f t="shared" si="332"/>
        <v>90</v>
      </c>
      <c r="BF144" s="12">
        <f t="shared" si="311"/>
        <v>64.8</v>
      </c>
      <c r="BG144" s="11">
        <v>0.6</v>
      </c>
      <c r="BH144" s="12">
        <f t="shared" si="333"/>
        <v>90</v>
      </c>
      <c r="BI144" s="12">
        <f t="shared" si="312"/>
        <v>64.8</v>
      </c>
    </row>
    <row r="145" spans="1:61" ht="14.4" x14ac:dyDescent="0.3">
      <c r="A145" s="13" t="s">
        <v>5</v>
      </c>
      <c r="B145" s="5">
        <v>31</v>
      </c>
      <c r="C145" s="5">
        <f t="shared" si="313"/>
        <v>744</v>
      </c>
      <c r="D145" s="9">
        <f t="shared" si="300"/>
        <v>86.021505376344081</v>
      </c>
      <c r="E145" s="5">
        <v>64</v>
      </c>
      <c r="H145" s="10"/>
      <c r="J145" s="11">
        <v>1.33</v>
      </c>
      <c r="K145" s="12">
        <f t="shared" si="301"/>
        <v>114.40860215053763</v>
      </c>
      <c r="L145" s="12">
        <f t="shared" si="314"/>
        <v>85.12</v>
      </c>
      <c r="M145" s="11">
        <v>0.45</v>
      </c>
      <c r="N145" s="12">
        <f t="shared" si="302"/>
        <v>38.70967741935484</v>
      </c>
      <c r="O145" s="12">
        <f t="shared" si="315"/>
        <v>28.8</v>
      </c>
      <c r="P145" s="11">
        <v>0.96</v>
      </c>
      <c r="Q145" s="12">
        <f t="shared" si="303"/>
        <v>82.58064516129032</v>
      </c>
      <c r="R145" s="12">
        <f t="shared" si="316"/>
        <v>61.44</v>
      </c>
      <c r="S145" s="11">
        <v>0.96</v>
      </c>
      <c r="T145" s="12">
        <f t="shared" si="304"/>
        <v>82.58064516129032</v>
      </c>
      <c r="U145" s="12">
        <f t="shared" si="317"/>
        <v>61.44</v>
      </c>
      <c r="X145" s="10"/>
      <c r="Y145" s="10"/>
      <c r="Z145" s="11">
        <v>1.4</v>
      </c>
      <c r="AA145" s="12">
        <f t="shared" si="318"/>
        <v>120.4301075268817</v>
      </c>
      <c r="AB145" s="12">
        <f t="shared" si="305"/>
        <v>89.6</v>
      </c>
      <c r="AC145" s="11">
        <v>0.34</v>
      </c>
      <c r="AD145" s="12">
        <f t="shared" si="319"/>
        <v>29.247311827956988</v>
      </c>
      <c r="AE145" s="12">
        <f t="shared" si="306"/>
        <v>21.76</v>
      </c>
      <c r="AF145" s="11">
        <v>0.84</v>
      </c>
      <c r="AG145" s="12">
        <f t="shared" si="320"/>
        <v>72.258064516129025</v>
      </c>
      <c r="AH145" s="12">
        <f t="shared" si="307"/>
        <v>53.76</v>
      </c>
      <c r="AI145" s="11">
        <v>0.84</v>
      </c>
      <c r="AJ145" s="12">
        <f t="shared" si="321"/>
        <v>72.258064516129025</v>
      </c>
      <c r="AK145" s="12">
        <f t="shared" si="308"/>
        <v>53.76</v>
      </c>
      <c r="AN145" s="26">
        <f t="shared" si="322"/>
        <v>117.41935483870967</v>
      </c>
      <c r="AO145" s="26">
        <f t="shared" si="335"/>
        <v>87.36</v>
      </c>
      <c r="AP145" s="26">
        <f t="shared" si="324"/>
        <v>33.978494623655912</v>
      </c>
      <c r="AQ145" s="26">
        <f t="shared" si="336"/>
        <v>25.28</v>
      </c>
      <c r="AR145" s="26">
        <f t="shared" si="326"/>
        <v>77.419354838709666</v>
      </c>
      <c r="AS145" s="26">
        <f t="shared" si="327"/>
        <v>57.599999999999994</v>
      </c>
      <c r="AT145" s="26">
        <f t="shared" si="328"/>
        <v>77.419354838709666</v>
      </c>
      <c r="AU145" s="26">
        <f t="shared" ref="AU145:AU147" si="337">(U145+AK145)/2</f>
        <v>57.599999999999994</v>
      </c>
      <c r="AX145" s="11">
        <v>1.19</v>
      </c>
      <c r="AY145" s="12">
        <f t="shared" si="330"/>
        <v>102.36559139784946</v>
      </c>
      <c r="AZ145" s="12">
        <f t="shared" si="309"/>
        <v>76.16</v>
      </c>
      <c r="BA145" s="11">
        <v>0.3</v>
      </c>
      <c r="BB145" s="12">
        <f t="shared" si="331"/>
        <v>25.806451612903224</v>
      </c>
      <c r="BC145" s="12">
        <f t="shared" si="310"/>
        <v>19.2</v>
      </c>
      <c r="BD145" s="11">
        <v>0.63</v>
      </c>
      <c r="BE145" s="12">
        <f t="shared" si="332"/>
        <v>54.193548387096769</v>
      </c>
      <c r="BF145" s="12">
        <f t="shared" si="311"/>
        <v>40.32</v>
      </c>
      <c r="BG145" s="11">
        <v>0.63</v>
      </c>
      <c r="BH145" s="12">
        <f t="shared" si="333"/>
        <v>54.193548387096769</v>
      </c>
      <c r="BI145" s="12">
        <f t="shared" si="312"/>
        <v>40.32</v>
      </c>
    </row>
    <row r="146" spans="1:61" ht="14.4" x14ac:dyDescent="0.3">
      <c r="A146" s="13" t="s">
        <v>6</v>
      </c>
      <c r="B146" s="5">
        <v>30</v>
      </c>
      <c r="C146" s="5">
        <f t="shared" si="313"/>
        <v>720</v>
      </c>
      <c r="D146" s="9">
        <f t="shared" si="300"/>
        <v>43.055555555555557</v>
      </c>
      <c r="E146" s="5">
        <v>31</v>
      </c>
      <c r="H146" s="10"/>
      <c r="J146" s="11">
        <v>1.52</v>
      </c>
      <c r="K146" s="12">
        <f t="shared" si="301"/>
        <v>65.444444444444443</v>
      </c>
      <c r="L146" s="12">
        <f t="shared" si="314"/>
        <v>47.12</v>
      </c>
      <c r="M146" s="11">
        <v>0.47</v>
      </c>
      <c r="N146" s="12">
        <f t="shared" si="302"/>
        <v>20.236111111111111</v>
      </c>
      <c r="O146" s="12">
        <f t="shared" si="315"/>
        <v>14.569999999999999</v>
      </c>
      <c r="P146" s="11">
        <v>0.97</v>
      </c>
      <c r="Q146" s="12">
        <f t="shared" si="303"/>
        <v>41.763888888888886</v>
      </c>
      <c r="R146" s="12">
        <f t="shared" si="316"/>
        <v>30.07</v>
      </c>
      <c r="S146" s="11">
        <v>0.97</v>
      </c>
      <c r="T146" s="12">
        <f t="shared" si="304"/>
        <v>41.763888888888886</v>
      </c>
      <c r="U146" s="12">
        <f t="shared" si="317"/>
        <v>30.07</v>
      </c>
      <c r="X146" s="10"/>
      <c r="Y146" s="10"/>
      <c r="Z146" s="11">
        <v>1.75</v>
      </c>
      <c r="AA146" s="12">
        <f t="shared" si="318"/>
        <v>75.347222222222229</v>
      </c>
      <c r="AB146" s="12">
        <f t="shared" si="305"/>
        <v>54.25</v>
      </c>
      <c r="AC146" s="11">
        <v>0.4</v>
      </c>
      <c r="AD146" s="12">
        <f t="shared" si="319"/>
        <v>17.222222222222225</v>
      </c>
      <c r="AE146" s="12">
        <f t="shared" si="306"/>
        <v>12.4</v>
      </c>
      <c r="AF146" s="11">
        <v>0.86</v>
      </c>
      <c r="AG146" s="12">
        <f t="shared" si="320"/>
        <v>37.027777777777779</v>
      </c>
      <c r="AH146" s="12">
        <f t="shared" si="307"/>
        <v>26.66</v>
      </c>
      <c r="AI146" s="11">
        <v>0.86</v>
      </c>
      <c r="AJ146" s="12">
        <f t="shared" si="321"/>
        <v>37.027777777777779</v>
      </c>
      <c r="AK146" s="12">
        <f t="shared" si="308"/>
        <v>26.66</v>
      </c>
      <c r="AN146" s="26">
        <f t="shared" si="322"/>
        <v>70.395833333333343</v>
      </c>
      <c r="AO146" s="26">
        <f t="shared" si="335"/>
        <v>50.685000000000002</v>
      </c>
      <c r="AP146" s="26">
        <f t="shared" si="324"/>
        <v>18.729166666666668</v>
      </c>
      <c r="AQ146" s="26">
        <f t="shared" si="336"/>
        <v>13.484999999999999</v>
      </c>
      <c r="AR146" s="26">
        <f t="shared" si="326"/>
        <v>39.395833333333329</v>
      </c>
      <c r="AS146" s="26">
        <f t="shared" si="327"/>
        <v>28.365000000000002</v>
      </c>
      <c r="AT146" s="26">
        <f t="shared" si="328"/>
        <v>39.395833333333329</v>
      </c>
      <c r="AU146" s="26">
        <f t="shared" si="337"/>
        <v>28.365000000000002</v>
      </c>
      <c r="AX146" s="11">
        <v>1.62</v>
      </c>
      <c r="AY146" s="12">
        <f t="shared" si="330"/>
        <v>69.750000000000014</v>
      </c>
      <c r="AZ146" s="12">
        <f t="shared" si="309"/>
        <v>50.220000000000006</v>
      </c>
      <c r="BA146" s="11">
        <v>0.37</v>
      </c>
      <c r="BB146" s="12">
        <f t="shared" si="331"/>
        <v>15.930555555555555</v>
      </c>
      <c r="BC146" s="12">
        <f t="shared" si="310"/>
        <v>11.47</v>
      </c>
      <c r="BD146" s="11">
        <v>0.65</v>
      </c>
      <c r="BE146" s="12">
        <f t="shared" si="332"/>
        <v>27.986111111111114</v>
      </c>
      <c r="BF146" s="12">
        <f t="shared" si="311"/>
        <v>20.150000000000002</v>
      </c>
      <c r="BG146" s="11">
        <v>0.65</v>
      </c>
      <c r="BH146" s="12">
        <f t="shared" si="333"/>
        <v>27.986111111111114</v>
      </c>
      <c r="BI146" s="12">
        <f t="shared" si="312"/>
        <v>20.150000000000002</v>
      </c>
    </row>
    <row r="147" spans="1:61" ht="15" thickBot="1" x14ac:dyDescent="0.35">
      <c r="A147" s="14" t="s">
        <v>7</v>
      </c>
      <c r="B147" s="5">
        <v>31</v>
      </c>
      <c r="C147" s="5">
        <f t="shared" si="313"/>
        <v>744</v>
      </c>
      <c r="D147" s="9">
        <f t="shared" si="300"/>
        <v>28.225806451612904</v>
      </c>
      <c r="E147" s="5">
        <v>21</v>
      </c>
      <c r="H147" s="10"/>
      <c r="J147" s="11">
        <v>1.76</v>
      </c>
      <c r="K147" s="12">
        <f t="shared" si="301"/>
        <v>49.677419354838712</v>
      </c>
      <c r="L147" s="12">
        <f t="shared" si="314"/>
        <v>36.96</v>
      </c>
      <c r="M147" s="11">
        <v>0.48</v>
      </c>
      <c r="N147" s="12">
        <f t="shared" si="302"/>
        <v>13.548387096774194</v>
      </c>
      <c r="O147" s="12">
        <f t="shared" si="315"/>
        <v>10.08</v>
      </c>
      <c r="P147" s="11">
        <v>0.99</v>
      </c>
      <c r="Q147" s="12">
        <f t="shared" si="303"/>
        <v>27.943548387096776</v>
      </c>
      <c r="R147" s="12">
        <f t="shared" si="316"/>
        <v>20.79</v>
      </c>
      <c r="S147" s="11">
        <v>0.99</v>
      </c>
      <c r="T147" s="12">
        <f t="shared" si="304"/>
        <v>27.943548387096776</v>
      </c>
      <c r="U147" s="12">
        <f t="shared" si="317"/>
        <v>20.79</v>
      </c>
      <c r="X147" s="10"/>
      <c r="Y147" s="10"/>
      <c r="Z147" s="11">
        <v>2.15</v>
      </c>
      <c r="AA147" s="12">
        <f t="shared" si="318"/>
        <v>60.685483870967744</v>
      </c>
      <c r="AB147" s="12">
        <f t="shared" si="305"/>
        <v>45.15</v>
      </c>
      <c r="AC147" s="11">
        <v>0.46</v>
      </c>
      <c r="AD147" s="12">
        <f t="shared" si="319"/>
        <v>12.983870967741936</v>
      </c>
      <c r="AE147" s="12">
        <f t="shared" si="306"/>
        <v>9.66</v>
      </c>
      <c r="AF147" s="11">
        <v>0.9</v>
      </c>
      <c r="AG147" s="12">
        <f t="shared" si="320"/>
        <v>25.403225806451616</v>
      </c>
      <c r="AH147" s="12">
        <f t="shared" si="307"/>
        <v>18.900000000000002</v>
      </c>
      <c r="AI147" s="11">
        <v>0.9</v>
      </c>
      <c r="AJ147" s="12">
        <f t="shared" si="321"/>
        <v>25.403225806451616</v>
      </c>
      <c r="AK147" s="12">
        <f t="shared" si="308"/>
        <v>18.900000000000002</v>
      </c>
      <c r="AN147" s="26">
        <f t="shared" si="322"/>
        <v>55.181451612903231</v>
      </c>
      <c r="AO147" s="26">
        <f t="shared" si="335"/>
        <v>41.055</v>
      </c>
      <c r="AP147" s="26">
        <f t="shared" si="324"/>
        <v>13.266129032258064</v>
      </c>
      <c r="AQ147" s="26">
        <f t="shared" si="336"/>
        <v>9.870000000000001</v>
      </c>
      <c r="AR147" s="26">
        <f t="shared" si="326"/>
        <v>26.673387096774196</v>
      </c>
      <c r="AS147" s="26">
        <f t="shared" si="327"/>
        <v>19.844999999999999</v>
      </c>
      <c r="AT147" s="26">
        <f t="shared" si="328"/>
        <v>26.673387096774196</v>
      </c>
      <c r="AU147" s="26">
        <f t="shared" si="337"/>
        <v>19.844999999999999</v>
      </c>
      <c r="AX147" s="11">
        <v>2.19</v>
      </c>
      <c r="AY147" s="12">
        <f t="shared" si="330"/>
        <v>61.814516129032256</v>
      </c>
      <c r="AZ147" s="12">
        <f t="shared" si="309"/>
        <v>45.99</v>
      </c>
      <c r="BA147" s="11">
        <v>0.46</v>
      </c>
      <c r="BB147" s="12">
        <f t="shared" si="331"/>
        <v>12.983870967741936</v>
      </c>
      <c r="BC147" s="12">
        <f t="shared" si="310"/>
        <v>9.66</v>
      </c>
      <c r="BD147" s="11">
        <v>0.77</v>
      </c>
      <c r="BE147" s="12">
        <f t="shared" si="332"/>
        <v>21.733870967741936</v>
      </c>
      <c r="BF147" s="12">
        <f t="shared" si="311"/>
        <v>16.170000000000002</v>
      </c>
      <c r="BG147" s="11">
        <v>0.77</v>
      </c>
      <c r="BH147" s="12">
        <f t="shared" si="333"/>
        <v>21.733870967741936</v>
      </c>
      <c r="BI147" s="12">
        <f t="shared" si="312"/>
        <v>16.170000000000002</v>
      </c>
    </row>
    <row r="149" spans="1:61" x14ac:dyDescent="0.25">
      <c r="A149" s="15" t="s">
        <v>44</v>
      </c>
      <c r="B149" s="7" t="s">
        <v>10</v>
      </c>
      <c r="C149" s="7" t="s">
        <v>11</v>
      </c>
      <c r="E149" s="7" t="s">
        <v>12</v>
      </c>
      <c r="F149" s="7"/>
      <c r="G149" s="7"/>
      <c r="J149" s="36" t="s">
        <v>15</v>
      </c>
      <c r="K149" s="37"/>
      <c r="L149" s="38"/>
      <c r="M149" s="36" t="s">
        <v>16</v>
      </c>
      <c r="N149" s="37"/>
      <c r="O149" s="38"/>
      <c r="P149" s="36" t="s">
        <v>17</v>
      </c>
      <c r="Q149" s="37"/>
      <c r="R149" s="37"/>
      <c r="S149" s="34" t="s">
        <v>18</v>
      </c>
      <c r="T149" s="34"/>
      <c r="U149" s="34"/>
      <c r="Z149" s="36" t="s">
        <v>15</v>
      </c>
      <c r="AA149" s="37"/>
      <c r="AB149" s="38"/>
      <c r="AC149" s="36" t="s">
        <v>16</v>
      </c>
      <c r="AD149" s="37"/>
      <c r="AE149" s="38"/>
      <c r="AF149" s="36" t="s">
        <v>17</v>
      </c>
      <c r="AG149" s="37"/>
      <c r="AH149" s="37"/>
      <c r="AI149" s="34" t="s">
        <v>18</v>
      </c>
      <c r="AJ149" s="34"/>
      <c r="AK149" s="34"/>
      <c r="AN149" s="32" t="s">
        <v>15</v>
      </c>
      <c r="AO149" s="33"/>
      <c r="AP149" s="32" t="s">
        <v>16</v>
      </c>
      <c r="AQ149" s="33"/>
      <c r="AR149" s="32" t="s">
        <v>19</v>
      </c>
      <c r="AS149" s="33"/>
      <c r="AT149" s="34" t="s">
        <v>18</v>
      </c>
      <c r="AU149" s="34"/>
      <c r="AX149" s="36" t="s">
        <v>15</v>
      </c>
      <c r="AY149" s="37"/>
      <c r="AZ149" s="38"/>
      <c r="BA149" s="36" t="s">
        <v>16</v>
      </c>
      <c r="BB149" s="37"/>
      <c r="BC149" s="38"/>
      <c r="BD149" s="36" t="s">
        <v>17</v>
      </c>
      <c r="BE149" s="37"/>
      <c r="BF149" s="37"/>
      <c r="BG149" s="34" t="s">
        <v>18</v>
      </c>
      <c r="BH149" s="34"/>
      <c r="BI149" s="34"/>
    </row>
    <row r="150" spans="1:61" ht="13.8" thickBot="1" x14ac:dyDescent="0.3">
      <c r="D150" s="5" t="s">
        <v>14</v>
      </c>
      <c r="E150" s="5" t="s">
        <v>13</v>
      </c>
      <c r="J150" s="4" t="s">
        <v>48</v>
      </c>
      <c r="K150" s="4" t="s">
        <v>14</v>
      </c>
      <c r="L150" s="4" t="s">
        <v>13</v>
      </c>
      <c r="M150" s="4" t="s">
        <v>48</v>
      </c>
      <c r="N150" s="4" t="s">
        <v>14</v>
      </c>
      <c r="O150" s="4" t="s">
        <v>13</v>
      </c>
      <c r="P150" s="4" t="s">
        <v>48</v>
      </c>
      <c r="Q150" s="4" t="s">
        <v>14</v>
      </c>
      <c r="R150" s="4" t="s">
        <v>13</v>
      </c>
      <c r="S150" s="24" t="s">
        <v>48</v>
      </c>
      <c r="T150" s="24" t="s">
        <v>14</v>
      </c>
      <c r="U150" s="24" t="s">
        <v>13</v>
      </c>
      <c r="Z150" s="4" t="s">
        <v>48</v>
      </c>
      <c r="AA150" s="4" t="s">
        <v>14</v>
      </c>
      <c r="AB150" s="4" t="s">
        <v>13</v>
      </c>
      <c r="AC150" s="4" t="s">
        <v>48</v>
      </c>
      <c r="AD150" s="4" t="s">
        <v>14</v>
      </c>
      <c r="AE150" s="4" t="s">
        <v>13</v>
      </c>
      <c r="AF150" s="4" t="s">
        <v>48</v>
      </c>
      <c r="AG150" s="4" t="s">
        <v>14</v>
      </c>
      <c r="AH150" s="4" t="s">
        <v>13</v>
      </c>
      <c r="AI150" s="24" t="s">
        <v>48</v>
      </c>
      <c r="AJ150" s="24" t="s">
        <v>14</v>
      </c>
      <c r="AK150" s="24" t="s">
        <v>13</v>
      </c>
      <c r="AN150" s="24" t="s">
        <v>14</v>
      </c>
      <c r="AO150" s="24" t="s">
        <v>13</v>
      </c>
      <c r="AP150" s="24" t="s">
        <v>14</v>
      </c>
      <c r="AQ150" s="24" t="s">
        <v>13</v>
      </c>
      <c r="AR150" s="24" t="s">
        <v>14</v>
      </c>
      <c r="AS150" s="24" t="s">
        <v>13</v>
      </c>
      <c r="AT150" s="24" t="s">
        <v>14</v>
      </c>
      <c r="AU150" s="24" t="s">
        <v>13</v>
      </c>
      <c r="AX150" s="4" t="s">
        <v>48</v>
      </c>
      <c r="AY150" s="4" t="s">
        <v>14</v>
      </c>
      <c r="AZ150" s="4" t="s">
        <v>13</v>
      </c>
      <c r="BA150" s="4" t="s">
        <v>48</v>
      </c>
      <c r="BB150" s="4" t="s">
        <v>14</v>
      </c>
      <c r="BC150" s="4" t="s">
        <v>13</v>
      </c>
      <c r="BD150" s="4" t="s">
        <v>48</v>
      </c>
      <c r="BE150" s="4" t="s">
        <v>14</v>
      </c>
      <c r="BF150" s="4" t="s">
        <v>13</v>
      </c>
      <c r="BG150" s="24" t="s">
        <v>48</v>
      </c>
      <c r="BH150" s="24" t="s">
        <v>14</v>
      </c>
      <c r="BI150" s="24" t="s">
        <v>13</v>
      </c>
    </row>
    <row r="151" spans="1:61" ht="14.4" x14ac:dyDescent="0.3">
      <c r="A151" s="8" t="s">
        <v>1</v>
      </c>
      <c r="B151" s="5">
        <v>31</v>
      </c>
      <c r="C151" s="5">
        <f>B151*24</f>
        <v>744</v>
      </c>
      <c r="D151" s="9">
        <f t="shared" ref="D151:D162" si="338">E151*1000/C151</f>
        <v>38.978494623655912</v>
      </c>
      <c r="E151" s="5">
        <v>29</v>
      </c>
      <c r="H151" s="10"/>
      <c r="J151" s="11">
        <v>1.61</v>
      </c>
      <c r="K151" s="12">
        <f t="shared" ref="K151:K162" si="339">J151*D151</f>
        <v>62.755376344086024</v>
      </c>
      <c r="L151" s="12">
        <f>$E151*J151</f>
        <v>46.690000000000005</v>
      </c>
      <c r="M151" s="11">
        <v>0.52</v>
      </c>
      <c r="N151" s="12">
        <f t="shared" ref="N151:N162" si="340">M151*D151</f>
        <v>20.268817204301076</v>
      </c>
      <c r="O151" s="12">
        <f>$E151*M151</f>
        <v>15.08</v>
      </c>
      <c r="P151" s="11">
        <v>1</v>
      </c>
      <c r="Q151" s="12">
        <f t="shared" ref="Q151:Q162" si="341">P151*D151</f>
        <v>38.978494623655912</v>
      </c>
      <c r="R151" s="12">
        <f>$E151*P151</f>
        <v>29</v>
      </c>
      <c r="S151" s="11">
        <v>1</v>
      </c>
      <c r="T151" s="12">
        <f t="shared" ref="T151:T162" si="342">S151*D151</f>
        <v>38.978494623655912</v>
      </c>
      <c r="U151" s="12">
        <f>$E151*S151</f>
        <v>29</v>
      </c>
      <c r="X151" s="10"/>
      <c r="Y151" s="10"/>
      <c r="Z151" s="11">
        <v>1.94</v>
      </c>
      <c r="AA151" s="12">
        <f>Z151*$D151</f>
        <v>75.618279569892465</v>
      </c>
      <c r="AB151" s="12">
        <f t="shared" ref="AB151:AB162" si="343">$E151*Z151</f>
        <v>56.26</v>
      </c>
      <c r="AC151" s="11">
        <v>0.51</v>
      </c>
      <c r="AD151" s="12">
        <f>AC151*$D151</f>
        <v>19.879032258064516</v>
      </c>
      <c r="AE151" s="12">
        <f t="shared" ref="AE151:AE162" si="344">$E151*AC151</f>
        <v>14.790000000000001</v>
      </c>
      <c r="AF151" s="11">
        <v>0.95</v>
      </c>
      <c r="AG151" s="12">
        <f>AF151*$D151</f>
        <v>37.029569892473113</v>
      </c>
      <c r="AH151" s="12">
        <f t="shared" ref="AH151:AH162" si="345">$E151*AF151</f>
        <v>27.549999999999997</v>
      </c>
      <c r="AI151" s="11">
        <v>0.95</v>
      </c>
      <c r="AJ151" s="12">
        <f>AI151*$D151</f>
        <v>37.029569892473113</v>
      </c>
      <c r="AK151" s="12">
        <f t="shared" ref="AK151:AK162" si="346">$E151*AI151</f>
        <v>27.549999999999997</v>
      </c>
      <c r="AN151" s="26">
        <f>(K151+AA151)/2</f>
        <v>69.186827956989248</v>
      </c>
      <c r="AO151" s="26">
        <f>(L151+AB151)/2</f>
        <v>51.475000000000001</v>
      </c>
      <c r="AP151" s="26">
        <f>(N151+AD151)/2</f>
        <v>20.073924731182796</v>
      </c>
      <c r="AQ151" s="26">
        <f>(O151+AE151)/2</f>
        <v>14.935</v>
      </c>
      <c r="AR151" s="26">
        <f>(Q151+AG151)/2</f>
        <v>38.004032258064512</v>
      </c>
      <c r="AS151" s="26">
        <f>(R151+AH151)/2</f>
        <v>28.274999999999999</v>
      </c>
      <c r="AT151" s="26">
        <f>(T151+AJ151)/2</f>
        <v>38.004032258064512</v>
      </c>
      <c r="AU151" s="26">
        <f>(U151+AK151)/2</f>
        <v>28.274999999999999</v>
      </c>
      <c r="AX151" s="11">
        <v>1.92</v>
      </c>
      <c r="AY151" s="12">
        <f>AX151*$D151</f>
        <v>74.838709677419345</v>
      </c>
      <c r="AZ151" s="12">
        <f t="shared" ref="AZ151:AZ162" si="347">$E151*AX151</f>
        <v>55.68</v>
      </c>
      <c r="BA151" s="11">
        <v>0.55000000000000004</v>
      </c>
      <c r="BB151" s="12">
        <f>BA151*$D151</f>
        <v>21.438172043010752</v>
      </c>
      <c r="BC151" s="12">
        <f t="shared" ref="BC151:BC162" si="348">$E151*BA151</f>
        <v>15.950000000000001</v>
      </c>
      <c r="BD151" s="11">
        <v>0.85</v>
      </c>
      <c r="BE151" s="12">
        <f>BD151*$D151</f>
        <v>33.131720430107528</v>
      </c>
      <c r="BF151" s="12">
        <f t="shared" ref="BF151:BF162" si="349">$E151*BD151</f>
        <v>24.65</v>
      </c>
      <c r="BG151" s="11">
        <v>0.85</v>
      </c>
      <c r="BH151" s="12">
        <f>BG151*$D151</f>
        <v>33.131720430107528</v>
      </c>
      <c r="BI151" s="12">
        <f t="shared" ref="BI151:BI162" si="350">$E151*BG151</f>
        <v>24.65</v>
      </c>
    </row>
    <row r="152" spans="1:61" ht="14.4" x14ac:dyDescent="0.3">
      <c r="A152" s="13" t="s">
        <v>2</v>
      </c>
      <c r="B152" s="5">
        <v>28</v>
      </c>
      <c r="C152" s="5">
        <f t="shared" ref="C152:C162" si="351">B152*24</f>
        <v>672</v>
      </c>
      <c r="D152" s="9">
        <f t="shared" si="338"/>
        <v>74.404761904761898</v>
      </c>
      <c r="E152" s="5">
        <v>50</v>
      </c>
      <c r="H152" s="10"/>
      <c r="J152" s="11">
        <v>1.45</v>
      </c>
      <c r="K152" s="12">
        <f t="shared" si="339"/>
        <v>107.88690476190474</v>
      </c>
      <c r="L152" s="12">
        <f t="shared" ref="L152:L162" si="352">$E152*J152</f>
        <v>72.5</v>
      </c>
      <c r="M152" s="11">
        <v>0.45</v>
      </c>
      <c r="N152" s="12">
        <f t="shared" si="340"/>
        <v>33.482142857142854</v>
      </c>
      <c r="O152" s="12">
        <f t="shared" ref="O152:O162" si="353">$E152*M152</f>
        <v>22.5</v>
      </c>
      <c r="P152" s="11">
        <v>0.98</v>
      </c>
      <c r="Q152" s="12">
        <f t="shared" si="341"/>
        <v>72.916666666666657</v>
      </c>
      <c r="R152" s="12">
        <f t="shared" ref="R152:R162" si="354">$E152*P152</f>
        <v>49</v>
      </c>
      <c r="S152" s="11">
        <v>0.98</v>
      </c>
      <c r="T152" s="12">
        <f t="shared" si="342"/>
        <v>72.916666666666657</v>
      </c>
      <c r="U152" s="12">
        <f t="shared" ref="U152:U162" si="355">$E152*S152</f>
        <v>49</v>
      </c>
      <c r="X152" s="10"/>
      <c r="Y152" s="10"/>
      <c r="Z152" s="11">
        <v>1.64</v>
      </c>
      <c r="AA152" s="12">
        <f t="shared" ref="AA152:AA162" si="356">Z152*$D152</f>
        <v>122.0238095238095</v>
      </c>
      <c r="AB152" s="12">
        <f t="shared" si="343"/>
        <v>82</v>
      </c>
      <c r="AC152" s="11">
        <v>0.44</v>
      </c>
      <c r="AD152" s="12">
        <f t="shared" ref="AD152:AD162" si="357">AC152*$D152</f>
        <v>32.738095238095234</v>
      </c>
      <c r="AE152" s="12">
        <f t="shared" si="344"/>
        <v>22</v>
      </c>
      <c r="AF152" s="11">
        <v>0.92</v>
      </c>
      <c r="AG152" s="12">
        <f t="shared" ref="AG152:AG162" si="358">AF152*$D152</f>
        <v>68.452380952380949</v>
      </c>
      <c r="AH152" s="12">
        <f t="shared" si="345"/>
        <v>46</v>
      </c>
      <c r="AI152" s="11">
        <v>0.92</v>
      </c>
      <c r="AJ152" s="12">
        <f t="shared" ref="AJ152:AJ162" si="359">AI152*$D152</f>
        <v>68.452380952380949</v>
      </c>
      <c r="AK152" s="12">
        <f t="shared" si="346"/>
        <v>46</v>
      </c>
      <c r="AN152" s="26">
        <f t="shared" ref="AN152:AN162" si="360">(K152+AA152)/2</f>
        <v>114.95535714285712</v>
      </c>
      <c r="AO152" s="26">
        <f t="shared" ref="AO152:AO157" si="361">(L152+AB152)/2</f>
        <v>77.25</v>
      </c>
      <c r="AP152" s="26">
        <f t="shared" ref="AP152:AP162" si="362">(N152+AD152)/2</f>
        <v>33.110119047619044</v>
      </c>
      <c r="AQ152" s="26">
        <f t="shared" ref="AQ152:AQ157" si="363">(O152+AE152)/2</f>
        <v>22.25</v>
      </c>
      <c r="AR152" s="26">
        <f t="shared" ref="AR152:AR162" si="364">(Q152+AG152)/2</f>
        <v>70.684523809523796</v>
      </c>
      <c r="AS152" s="26">
        <f t="shared" ref="AS152:AS162" si="365">(R152+AH152)/2</f>
        <v>47.5</v>
      </c>
      <c r="AT152" s="26">
        <f t="shared" ref="AT152:AT162" si="366">(T152+AJ152)/2</f>
        <v>70.684523809523796</v>
      </c>
      <c r="AU152" s="26">
        <f t="shared" ref="AU152:AU155" si="367">(U152+AK152)/2</f>
        <v>47.5</v>
      </c>
      <c r="AX152" s="11">
        <v>1.54</v>
      </c>
      <c r="AY152" s="12">
        <f t="shared" ref="AY152:AY162" si="368">AX152*$D152</f>
        <v>114.58333333333333</v>
      </c>
      <c r="AZ152" s="12">
        <f t="shared" si="347"/>
        <v>77</v>
      </c>
      <c r="BA152" s="11">
        <v>0.47</v>
      </c>
      <c r="BB152" s="12">
        <f t="shared" ref="BB152:BB162" si="369">BA152*$D152</f>
        <v>34.970238095238088</v>
      </c>
      <c r="BC152" s="12">
        <f t="shared" si="348"/>
        <v>23.5</v>
      </c>
      <c r="BD152" s="11">
        <v>0.8</v>
      </c>
      <c r="BE152" s="12">
        <f t="shared" ref="BE152:BE162" si="370">BD152*$D152</f>
        <v>59.523809523809518</v>
      </c>
      <c r="BF152" s="12">
        <f t="shared" si="349"/>
        <v>40</v>
      </c>
      <c r="BG152" s="11">
        <v>0.8</v>
      </c>
      <c r="BH152" s="12">
        <f t="shared" ref="BH152:BH162" si="371">BG152*$D152</f>
        <v>59.523809523809518</v>
      </c>
      <c r="BI152" s="12">
        <f t="shared" si="350"/>
        <v>40</v>
      </c>
    </row>
    <row r="153" spans="1:61" ht="14.4" x14ac:dyDescent="0.3">
      <c r="A153" s="13" t="s">
        <v>3</v>
      </c>
      <c r="B153" s="5">
        <v>31</v>
      </c>
      <c r="C153" s="5">
        <f t="shared" si="351"/>
        <v>744</v>
      </c>
      <c r="D153" s="9">
        <f t="shared" si="338"/>
        <v>120.96774193548387</v>
      </c>
      <c r="E153" s="5">
        <v>90</v>
      </c>
      <c r="H153" s="10"/>
      <c r="J153" s="11">
        <v>1.25</v>
      </c>
      <c r="K153" s="12">
        <f t="shared" si="339"/>
        <v>151.20967741935485</v>
      </c>
      <c r="L153" s="12">
        <f t="shared" si="352"/>
        <v>112.5</v>
      </c>
      <c r="M153" s="11">
        <v>0.52</v>
      </c>
      <c r="N153" s="12">
        <f t="shared" si="340"/>
        <v>62.903225806451616</v>
      </c>
      <c r="O153" s="12">
        <f t="shared" si="353"/>
        <v>46.800000000000004</v>
      </c>
      <c r="P153" s="11">
        <v>0.96</v>
      </c>
      <c r="Q153" s="12">
        <f t="shared" si="341"/>
        <v>116.12903225806451</v>
      </c>
      <c r="R153" s="12">
        <f t="shared" si="354"/>
        <v>86.399999999999991</v>
      </c>
      <c r="S153" s="11">
        <v>0.96</v>
      </c>
      <c r="T153" s="12">
        <f t="shared" si="342"/>
        <v>116.12903225806451</v>
      </c>
      <c r="U153" s="12">
        <f t="shared" si="355"/>
        <v>86.399999999999991</v>
      </c>
      <c r="X153" s="10"/>
      <c r="Y153" s="10"/>
      <c r="Z153" s="11">
        <v>1.28</v>
      </c>
      <c r="AA153" s="12">
        <f t="shared" si="356"/>
        <v>154.83870967741936</v>
      </c>
      <c r="AB153" s="12">
        <f t="shared" si="343"/>
        <v>115.2</v>
      </c>
      <c r="AC153" s="11">
        <v>0.35</v>
      </c>
      <c r="AD153" s="12">
        <f t="shared" si="357"/>
        <v>42.338709677419352</v>
      </c>
      <c r="AE153" s="12">
        <f t="shared" si="344"/>
        <v>31.499999999999996</v>
      </c>
      <c r="AF153" s="11">
        <v>0.85</v>
      </c>
      <c r="AG153" s="12">
        <f t="shared" si="358"/>
        <v>102.8225806451613</v>
      </c>
      <c r="AH153" s="12">
        <f t="shared" si="345"/>
        <v>76.5</v>
      </c>
      <c r="AI153" s="11">
        <v>0.85</v>
      </c>
      <c r="AJ153" s="12">
        <f t="shared" si="359"/>
        <v>102.8225806451613</v>
      </c>
      <c r="AK153" s="12">
        <f t="shared" si="346"/>
        <v>76.5</v>
      </c>
      <c r="AN153" s="26">
        <f t="shared" si="360"/>
        <v>153.0241935483871</v>
      </c>
      <c r="AO153" s="26">
        <f t="shared" si="361"/>
        <v>113.85</v>
      </c>
      <c r="AP153" s="26">
        <f t="shared" si="362"/>
        <v>52.620967741935488</v>
      </c>
      <c r="AQ153" s="26">
        <f t="shared" si="363"/>
        <v>39.15</v>
      </c>
      <c r="AR153" s="26">
        <f t="shared" si="364"/>
        <v>109.4758064516129</v>
      </c>
      <c r="AS153" s="26">
        <f t="shared" si="365"/>
        <v>81.449999999999989</v>
      </c>
      <c r="AT153" s="26">
        <f t="shared" si="366"/>
        <v>109.4758064516129</v>
      </c>
      <c r="AU153" s="26">
        <f t="shared" si="367"/>
        <v>81.449999999999989</v>
      </c>
      <c r="AX153" s="11">
        <v>1.06</v>
      </c>
      <c r="AY153" s="12">
        <f t="shared" si="368"/>
        <v>128.2258064516129</v>
      </c>
      <c r="AZ153" s="12">
        <f t="shared" si="347"/>
        <v>95.4</v>
      </c>
      <c r="BA153" s="11">
        <v>0.34</v>
      </c>
      <c r="BB153" s="12">
        <f t="shared" si="369"/>
        <v>41.12903225806452</v>
      </c>
      <c r="BC153" s="12">
        <f t="shared" si="348"/>
        <v>30.6</v>
      </c>
      <c r="BD153" s="11">
        <v>0.67</v>
      </c>
      <c r="BE153" s="12">
        <f t="shared" si="370"/>
        <v>81.048387096774192</v>
      </c>
      <c r="BF153" s="12">
        <f t="shared" si="349"/>
        <v>60.300000000000004</v>
      </c>
      <c r="BG153" s="11">
        <v>0.67</v>
      </c>
      <c r="BH153" s="12">
        <f t="shared" si="371"/>
        <v>81.048387096774192</v>
      </c>
      <c r="BI153" s="12">
        <f t="shared" si="350"/>
        <v>60.300000000000004</v>
      </c>
    </row>
    <row r="154" spans="1:61" ht="14.4" x14ac:dyDescent="0.3">
      <c r="A154" s="13" t="s">
        <v>4</v>
      </c>
      <c r="B154" s="5">
        <v>30</v>
      </c>
      <c r="C154" s="5">
        <f t="shared" si="351"/>
        <v>720</v>
      </c>
      <c r="D154" s="9">
        <f t="shared" si="338"/>
        <v>184.72222222222223</v>
      </c>
      <c r="E154" s="5">
        <v>133</v>
      </c>
      <c r="H154" s="10"/>
      <c r="J154" s="11">
        <v>1.0900000000000001</v>
      </c>
      <c r="K154" s="12">
        <f t="shared" si="339"/>
        <v>201.34722222222226</v>
      </c>
      <c r="L154" s="12">
        <f t="shared" si="352"/>
        <v>144.97</v>
      </c>
      <c r="M154" s="11">
        <v>0.68</v>
      </c>
      <c r="N154" s="12">
        <f t="shared" si="340"/>
        <v>125.61111111111113</v>
      </c>
      <c r="O154" s="12">
        <f t="shared" si="353"/>
        <v>90.440000000000012</v>
      </c>
      <c r="P154" s="11">
        <v>0.94</v>
      </c>
      <c r="Q154" s="12">
        <f t="shared" si="341"/>
        <v>173.63888888888889</v>
      </c>
      <c r="R154" s="12">
        <f t="shared" si="354"/>
        <v>125.02</v>
      </c>
      <c r="S154" s="11">
        <v>0.94</v>
      </c>
      <c r="T154" s="12">
        <f t="shared" si="342"/>
        <v>173.63888888888889</v>
      </c>
      <c r="U154" s="12">
        <f t="shared" si="355"/>
        <v>125.02</v>
      </c>
      <c r="X154" s="10"/>
      <c r="Y154" s="10"/>
      <c r="Z154" s="11">
        <v>0.99</v>
      </c>
      <c r="AA154" s="12">
        <f>Z154*$D154</f>
        <v>182.875</v>
      </c>
      <c r="AB154" s="12">
        <f t="shared" si="343"/>
        <v>131.66999999999999</v>
      </c>
      <c r="AC154" s="11">
        <v>0.34</v>
      </c>
      <c r="AD154" s="12">
        <f>AC154*$D154</f>
        <v>62.805555555555564</v>
      </c>
      <c r="AE154" s="12">
        <f t="shared" si="344"/>
        <v>45.220000000000006</v>
      </c>
      <c r="AF154" s="11">
        <v>0.81</v>
      </c>
      <c r="AG154" s="12">
        <f>AF154*$D154</f>
        <v>149.62500000000003</v>
      </c>
      <c r="AH154" s="12">
        <f t="shared" si="345"/>
        <v>107.73</v>
      </c>
      <c r="AI154" s="11">
        <v>0.81</v>
      </c>
      <c r="AJ154" s="12">
        <f>AI154*$D154</f>
        <v>149.62500000000003</v>
      </c>
      <c r="AK154" s="12">
        <f t="shared" si="346"/>
        <v>107.73</v>
      </c>
      <c r="AN154" s="26">
        <f t="shared" si="360"/>
        <v>192.11111111111114</v>
      </c>
      <c r="AO154" s="26">
        <f t="shared" si="361"/>
        <v>138.32</v>
      </c>
      <c r="AP154" s="26">
        <f t="shared" si="362"/>
        <v>94.208333333333343</v>
      </c>
      <c r="AQ154" s="26">
        <f t="shared" si="363"/>
        <v>67.830000000000013</v>
      </c>
      <c r="AR154" s="26">
        <f t="shared" si="364"/>
        <v>161.63194444444446</v>
      </c>
      <c r="AS154" s="26">
        <f t="shared" si="365"/>
        <v>116.375</v>
      </c>
      <c r="AT154" s="26">
        <f t="shared" si="366"/>
        <v>161.63194444444446</v>
      </c>
      <c r="AU154" s="26">
        <f t="shared" si="367"/>
        <v>116.375</v>
      </c>
      <c r="AX154" s="11">
        <v>0.72</v>
      </c>
      <c r="AY154" s="12">
        <f>AX154*$D154</f>
        <v>133</v>
      </c>
      <c r="AZ154" s="12">
        <f t="shared" si="347"/>
        <v>95.759999999999991</v>
      </c>
      <c r="BA154" s="11">
        <v>0.3</v>
      </c>
      <c r="BB154" s="12">
        <f>BA154*$D154</f>
        <v>55.416666666666664</v>
      </c>
      <c r="BC154" s="12">
        <f t="shared" si="348"/>
        <v>39.9</v>
      </c>
      <c r="BD154" s="11">
        <v>0.59</v>
      </c>
      <c r="BE154" s="12">
        <f>BD154*$D154</f>
        <v>108.98611111111111</v>
      </c>
      <c r="BF154" s="12">
        <f t="shared" si="349"/>
        <v>78.47</v>
      </c>
      <c r="BG154" s="11">
        <v>0.59</v>
      </c>
      <c r="BH154" s="12">
        <f>BG154*$D154</f>
        <v>108.98611111111111</v>
      </c>
      <c r="BI154" s="12">
        <f t="shared" si="350"/>
        <v>78.47</v>
      </c>
    </row>
    <row r="155" spans="1:61" ht="14.4" x14ac:dyDescent="0.3">
      <c r="A155" s="13" t="s">
        <v>22</v>
      </c>
      <c r="B155" s="5">
        <v>31</v>
      </c>
      <c r="C155" s="5">
        <f t="shared" si="351"/>
        <v>744</v>
      </c>
      <c r="D155" s="9">
        <f t="shared" si="338"/>
        <v>211.02150537634409</v>
      </c>
      <c r="E155" s="5">
        <v>157</v>
      </c>
      <c r="H155" s="10"/>
      <c r="J155" s="11">
        <v>1.01</v>
      </c>
      <c r="K155" s="12">
        <f t="shared" si="339"/>
        <v>213.13172043010755</v>
      </c>
      <c r="L155" s="12">
        <f t="shared" si="352"/>
        <v>158.57</v>
      </c>
      <c r="M155" s="11">
        <v>0.79</v>
      </c>
      <c r="N155" s="12">
        <f t="shared" si="340"/>
        <v>166.70698924731184</v>
      </c>
      <c r="O155" s="12">
        <f t="shared" si="353"/>
        <v>124.03</v>
      </c>
      <c r="P155" s="11">
        <v>0.94</v>
      </c>
      <c r="Q155" s="12">
        <f t="shared" si="341"/>
        <v>198.36021505376343</v>
      </c>
      <c r="R155" s="12">
        <f t="shared" si="354"/>
        <v>147.57999999999998</v>
      </c>
      <c r="S155" s="11">
        <v>0.94</v>
      </c>
      <c r="T155" s="12">
        <f t="shared" si="342"/>
        <v>198.36021505376343</v>
      </c>
      <c r="U155" s="12">
        <f t="shared" si="355"/>
        <v>147.57999999999998</v>
      </c>
      <c r="X155" s="10"/>
      <c r="Y155" s="10"/>
      <c r="Z155" s="11">
        <v>0.84</v>
      </c>
      <c r="AA155" s="12">
        <f t="shared" si="356"/>
        <v>177.25806451612902</v>
      </c>
      <c r="AB155" s="12">
        <f t="shared" si="343"/>
        <v>131.88</v>
      </c>
      <c r="AC155" s="11">
        <v>0.4</v>
      </c>
      <c r="AD155" s="12">
        <f t="shared" si="357"/>
        <v>84.408602150537646</v>
      </c>
      <c r="AE155" s="12">
        <f t="shared" si="344"/>
        <v>62.800000000000004</v>
      </c>
      <c r="AF155" s="11">
        <v>0.79</v>
      </c>
      <c r="AG155" s="12">
        <f t="shared" si="358"/>
        <v>166.70698924731184</v>
      </c>
      <c r="AH155" s="12">
        <f t="shared" si="345"/>
        <v>124.03</v>
      </c>
      <c r="AI155" s="11">
        <v>0.79</v>
      </c>
      <c r="AJ155" s="12">
        <f t="shared" si="359"/>
        <v>166.70698924731184</v>
      </c>
      <c r="AK155" s="12">
        <f t="shared" si="346"/>
        <v>124.03</v>
      </c>
      <c r="AN155" s="26">
        <f t="shared" si="360"/>
        <v>195.19489247311827</v>
      </c>
      <c r="AO155" s="26">
        <f t="shared" si="361"/>
        <v>145.22499999999999</v>
      </c>
      <c r="AP155" s="26">
        <f t="shared" si="362"/>
        <v>125.55779569892474</v>
      </c>
      <c r="AQ155" s="26">
        <f t="shared" si="363"/>
        <v>93.415000000000006</v>
      </c>
      <c r="AR155" s="26">
        <f t="shared" si="364"/>
        <v>182.53360215053763</v>
      </c>
      <c r="AS155" s="26">
        <f t="shared" si="365"/>
        <v>135.80500000000001</v>
      </c>
      <c r="AT155" s="26">
        <f t="shared" si="366"/>
        <v>182.53360215053763</v>
      </c>
      <c r="AU155" s="26">
        <f t="shared" si="367"/>
        <v>135.80500000000001</v>
      </c>
      <c r="AX155" s="11">
        <v>0.55000000000000004</v>
      </c>
      <c r="AY155" s="12">
        <f t="shared" si="368"/>
        <v>116.06182795698926</v>
      </c>
      <c r="AZ155" s="12">
        <f t="shared" si="347"/>
        <v>86.350000000000009</v>
      </c>
      <c r="BA155" s="11">
        <v>0.3</v>
      </c>
      <c r="BB155" s="12">
        <f t="shared" si="369"/>
        <v>63.306451612903224</v>
      </c>
      <c r="BC155" s="12">
        <f t="shared" si="348"/>
        <v>47.1</v>
      </c>
      <c r="BD155" s="11">
        <v>0.56000000000000005</v>
      </c>
      <c r="BE155" s="12">
        <f t="shared" si="370"/>
        <v>118.1720430107527</v>
      </c>
      <c r="BF155" s="12">
        <f t="shared" si="349"/>
        <v>87.92</v>
      </c>
      <c r="BG155" s="11">
        <v>0.56000000000000005</v>
      </c>
      <c r="BH155" s="12">
        <f t="shared" si="371"/>
        <v>118.1720430107527</v>
      </c>
      <c r="BI155" s="12">
        <f t="shared" si="350"/>
        <v>87.92</v>
      </c>
    </row>
    <row r="156" spans="1:61" ht="14.4" x14ac:dyDescent="0.3">
      <c r="A156" s="13" t="s">
        <v>23</v>
      </c>
      <c r="B156" s="5">
        <v>30</v>
      </c>
      <c r="C156" s="5">
        <f t="shared" si="351"/>
        <v>720</v>
      </c>
      <c r="D156" s="9">
        <f t="shared" si="338"/>
        <v>231.94444444444446</v>
      </c>
      <c r="E156" s="5">
        <v>167</v>
      </c>
      <c r="H156" s="10"/>
      <c r="I156" s="4" t="s">
        <v>35</v>
      </c>
      <c r="J156" s="11">
        <v>0.97</v>
      </c>
      <c r="K156" s="12">
        <f t="shared" si="339"/>
        <v>224.98611111111111</v>
      </c>
      <c r="L156" s="12">
        <f t="shared" si="352"/>
        <v>161.99</v>
      </c>
      <c r="M156" s="11">
        <v>0.82</v>
      </c>
      <c r="N156" s="12">
        <f t="shared" si="340"/>
        <v>190.19444444444446</v>
      </c>
      <c r="O156" s="12">
        <f t="shared" si="353"/>
        <v>136.94</v>
      </c>
      <c r="P156" s="11">
        <v>0.93</v>
      </c>
      <c r="Q156" s="12">
        <f t="shared" si="341"/>
        <v>215.70833333333334</v>
      </c>
      <c r="R156" s="12">
        <f t="shared" si="354"/>
        <v>155.31</v>
      </c>
      <c r="S156" s="11">
        <v>0.93</v>
      </c>
      <c r="T156" s="12">
        <f t="shared" si="342"/>
        <v>215.70833333333334</v>
      </c>
      <c r="U156" s="12">
        <f t="shared" si="355"/>
        <v>155.31</v>
      </c>
      <c r="W156" s="4" t="s">
        <v>35</v>
      </c>
      <c r="X156" s="10"/>
      <c r="Y156" s="10"/>
      <c r="Z156" s="11">
        <v>0.78</v>
      </c>
      <c r="AA156" s="12">
        <f t="shared" si="356"/>
        <v>180.91666666666669</v>
      </c>
      <c r="AB156" s="12">
        <f t="shared" si="343"/>
        <v>130.26</v>
      </c>
      <c r="AC156" s="11">
        <v>0.45</v>
      </c>
      <c r="AD156" s="12">
        <f t="shared" si="357"/>
        <v>104.37500000000001</v>
      </c>
      <c r="AE156" s="12">
        <f t="shared" si="344"/>
        <v>75.150000000000006</v>
      </c>
      <c r="AF156" s="11">
        <v>0.78</v>
      </c>
      <c r="AG156" s="12">
        <f t="shared" si="358"/>
        <v>180.91666666666669</v>
      </c>
      <c r="AH156" s="12">
        <f t="shared" si="345"/>
        <v>130.26</v>
      </c>
      <c r="AI156" s="11">
        <v>0.78</v>
      </c>
      <c r="AJ156" s="12">
        <f t="shared" si="359"/>
        <v>180.91666666666669</v>
      </c>
      <c r="AK156" s="12">
        <f t="shared" si="346"/>
        <v>130.26</v>
      </c>
      <c r="AM156" s="4" t="s">
        <v>35</v>
      </c>
      <c r="AN156" s="26">
        <f t="shared" si="360"/>
        <v>202.95138888888891</v>
      </c>
      <c r="AO156" s="26">
        <f t="shared" si="361"/>
        <v>146.125</v>
      </c>
      <c r="AP156" s="26">
        <f t="shared" si="362"/>
        <v>147.28472222222223</v>
      </c>
      <c r="AQ156" s="26">
        <f t="shared" si="363"/>
        <v>106.045</v>
      </c>
      <c r="AR156" s="26">
        <f t="shared" si="364"/>
        <v>198.3125</v>
      </c>
      <c r="AS156" s="26">
        <f t="shared" si="365"/>
        <v>142.785</v>
      </c>
      <c r="AT156" s="26">
        <f t="shared" si="366"/>
        <v>198.3125</v>
      </c>
      <c r="AU156" s="26">
        <f>(U156+AK156)/2</f>
        <v>142.785</v>
      </c>
      <c r="AW156" s="4" t="s">
        <v>35</v>
      </c>
      <c r="AX156" s="11">
        <v>0.5</v>
      </c>
      <c r="AY156" s="12">
        <f t="shared" si="368"/>
        <v>115.97222222222223</v>
      </c>
      <c r="AZ156" s="12">
        <f t="shared" si="347"/>
        <v>83.5</v>
      </c>
      <c r="BA156" s="11">
        <v>0.32</v>
      </c>
      <c r="BB156" s="12">
        <f t="shared" si="369"/>
        <v>74.222222222222229</v>
      </c>
      <c r="BC156" s="12">
        <f t="shared" si="348"/>
        <v>53.44</v>
      </c>
      <c r="BD156" s="11">
        <v>0.55000000000000004</v>
      </c>
      <c r="BE156" s="12">
        <f t="shared" si="370"/>
        <v>127.56944444444446</v>
      </c>
      <c r="BF156" s="12">
        <f t="shared" si="349"/>
        <v>91.850000000000009</v>
      </c>
      <c r="BG156" s="11">
        <v>0.55000000000000004</v>
      </c>
      <c r="BH156" s="12">
        <f t="shared" si="371"/>
        <v>127.56944444444446</v>
      </c>
      <c r="BI156" s="12">
        <f t="shared" si="350"/>
        <v>91.850000000000009</v>
      </c>
    </row>
    <row r="157" spans="1:61" ht="14.4" x14ac:dyDescent="0.3">
      <c r="A157" s="13" t="s">
        <v>24</v>
      </c>
      <c r="B157" s="5">
        <v>31</v>
      </c>
      <c r="C157" s="5">
        <f t="shared" si="351"/>
        <v>744</v>
      </c>
      <c r="D157" s="9">
        <f t="shared" si="338"/>
        <v>223.11827956989248</v>
      </c>
      <c r="E157" s="5">
        <v>166</v>
      </c>
      <c r="H157" s="10"/>
      <c r="I157" s="4">
        <v>2</v>
      </c>
      <c r="J157" s="11">
        <v>0.98</v>
      </c>
      <c r="K157" s="12">
        <f t="shared" si="339"/>
        <v>218.65591397849462</v>
      </c>
      <c r="L157" s="12">
        <f t="shared" si="352"/>
        <v>162.68</v>
      </c>
      <c r="M157" s="11">
        <v>0.81</v>
      </c>
      <c r="N157" s="12">
        <f t="shared" si="340"/>
        <v>180.72580645161293</v>
      </c>
      <c r="O157" s="12">
        <f t="shared" si="353"/>
        <v>134.46</v>
      </c>
      <c r="P157" s="11">
        <v>0.93</v>
      </c>
      <c r="Q157" s="12">
        <f t="shared" si="341"/>
        <v>207.50000000000003</v>
      </c>
      <c r="R157" s="12">
        <f t="shared" si="354"/>
        <v>154.38</v>
      </c>
      <c r="S157" s="11">
        <v>0.93</v>
      </c>
      <c r="T157" s="12">
        <f t="shared" si="342"/>
        <v>207.50000000000003</v>
      </c>
      <c r="U157" s="12">
        <f t="shared" si="355"/>
        <v>154.38</v>
      </c>
      <c r="W157" s="4">
        <v>2</v>
      </c>
      <c r="X157" s="10"/>
      <c r="Y157" s="10"/>
      <c r="Z157" s="11">
        <v>0.81</v>
      </c>
      <c r="AA157" s="12">
        <f t="shared" si="356"/>
        <v>180.72580645161293</v>
      </c>
      <c r="AB157" s="12">
        <f t="shared" si="343"/>
        <v>134.46</v>
      </c>
      <c r="AC157" s="11">
        <v>0.42</v>
      </c>
      <c r="AD157" s="12">
        <f t="shared" si="357"/>
        <v>93.709677419354833</v>
      </c>
      <c r="AE157" s="12">
        <f t="shared" si="344"/>
        <v>69.72</v>
      </c>
      <c r="AF157" s="11">
        <v>0.78</v>
      </c>
      <c r="AG157" s="12">
        <f t="shared" si="358"/>
        <v>174.03225806451613</v>
      </c>
      <c r="AH157" s="12">
        <f t="shared" si="345"/>
        <v>129.48000000000002</v>
      </c>
      <c r="AI157" s="11">
        <v>0.78</v>
      </c>
      <c r="AJ157" s="12">
        <f t="shared" si="359"/>
        <v>174.03225806451613</v>
      </c>
      <c r="AK157" s="12">
        <f t="shared" si="346"/>
        <v>129.48000000000002</v>
      </c>
      <c r="AM157" s="4">
        <v>2</v>
      </c>
      <c r="AN157" s="26">
        <f t="shared" si="360"/>
        <v>199.69086021505376</v>
      </c>
      <c r="AO157" s="26">
        <f t="shared" si="361"/>
        <v>148.57</v>
      </c>
      <c r="AP157" s="26">
        <f t="shared" si="362"/>
        <v>137.21774193548387</v>
      </c>
      <c r="AQ157" s="26">
        <f t="shared" si="363"/>
        <v>102.09</v>
      </c>
      <c r="AR157" s="26">
        <f t="shared" si="364"/>
        <v>190.76612903225808</v>
      </c>
      <c r="AS157" s="26">
        <f t="shared" si="365"/>
        <v>141.93</v>
      </c>
      <c r="AT157" s="26">
        <f t="shared" si="366"/>
        <v>190.76612903225808</v>
      </c>
      <c r="AU157" s="26">
        <f t="shared" ref="AU157:AU158" si="372">(U157+AK157)/2</f>
        <v>141.93</v>
      </c>
      <c r="AW157" s="4" t="s">
        <v>65</v>
      </c>
      <c r="AX157" s="11">
        <v>0.52</v>
      </c>
      <c r="AY157" s="12">
        <f t="shared" si="368"/>
        <v>116.02150537634409</v>
      </c>
      <c r="AZ157" s="12">
        <f t="shared" si="347"/>
        <v>86.320000000000007</v>
      </c>
      <c r="BA157" s="11">
        <v>0.31</v>
      </c>
      <c r="BB157" s="12">
        <f t="shared" si="369"/>
        <v>69.166666666666671</v>
      </c>
      <c r="BC157" s="12">
        <f t="shared" si="348"/>
        <v>51.46</v>
      </c>
      <c r="BD157" s="11">
        <v>0.55000000000000004</v>
      </c>
      <c r="BE157" s="12">
        <f t="shared" si="370"/>
        <v>122.71505376344088</v>
      </c>
      <c r="BF157" s="12">
        <f t="shared" si="349"/>
        <v>91.300000000000011</v>
      </c>
      <c r="BG157" s="11">
        <v>0.55000000000000004</v>
      </c>
      <c r="BH157" s="12">
        <f t="shared" si="371"/>
        <v>122.71505376344088</v>
      </c>
      <c r="BI157" s="12">
        <f t="shared" si="350"/>
        <v>91.300000000000011</v>
      </c>
    </row>
    <row r="158" spans="1:61" ht="14.4" x14ac:dyDescent="0.3">
      <c r="A158" s="13" t="s">
        <v>25</v>
      </c>
      <c r="B158" s="5">
        <v>31</v>
      </c>
      <c r="C158" s="5">
        <f t="shared" si="351"/>
        <v>744</v>
      </c>
      <c r="D158" s="9">
        <f t="shared" si="338"/>
        <v>194.89247311827958</v>
      </c>
      <c r="E158" s="5">
        <v>145</v>
      </c>
      <c r="H158" s="10"/>
      <c r="J158" s="11">
        <v>1.04</v>
      </c>
      <c r="K158" s="12">
        <f t="shared" si="339"/>
        <v>202.68817204301078</v>
      </c>
      <c r="L158" s="12">
        <f t="shared" si="352"/>
        <v>150.80000000000001</v>
      </c>
      <c r="M158" s="11">
        <v>0.73</v>
      </c>
      <c r="N158" s="12">
        <f t="shared" si="340"/>
        <v>142.27150537634409</v>
      </c>
      <c r="O158" s="12">
        <f t="shared" si="353"/>
        <v>105.85</v>
      </c>
      <c r="P158" s="11">
        <v>0.94</v>
      </c>
      <c r="Q158" s="12">
        <f t="shared" si="341"/>
        <v>183.19892473118279</v>
      </c>
      <c r="R158" s="12">
        <f t="shared" si="354"/>
        <v>136.29999999999998</v>
      </c>
      <c r="S158" s="11">
        <v>0.94</v>
      </c>
      <c r="T158" s="12">
        <f t="shared" si="342"/>
        <v>183.19892473118279</v>
      </c>
      <c r="U158" s="12">
        <f t="shared" si="355"/>
        <v>136.29999999999998</v>
      </c>
      <c r="X158" s="10"/>
      <c r="Y158" s="10"/>
      <c r="Z158" s="11">
        <v>0.91</v>
      </c>
      <c r="AA158" s="12">
        <f t="shared" si="356"/>
        <v>177.35215053763443</v>
      </c>
      <c r="AB158" s="12">
        <f t="shared" si="343"/>
        <v>131.95000000000002</v>
      </c>
      <c r="AC158" s="11">
        <v>0.35</v>
      </c>
      <c r="AD158" s="12">
        <f t="shared" si="357"/>
        <v>68.212365591397855</v>
      </c>
      <c r="AE158" s="12">
        <f t="shared" si="344"/>
        <v>50.75</v>
      </c>
      <c r="AF158" s="11">
        <v>0.79</v>
      </c>
      <c r="AG158" s="12">
        <f t="shared" si="358"/>
        <v>153.96505376344086</v>
      </c>
      <c r="AH158" s="12">
        <f t="shared" si="345"/>
        <v>114.55000000000001</v>
      </c>
      <c r="AI158" s="11">
        <v>0.79</v>
      </c>
      <c r="AJ158" s="12">
        <f t="shared" si="359"/>
        <v>153.96505376344086</v>
      </c>
      <c r="AK158" s="12">
        <f t="shared" si="346"/>
        <v>114.55000000000001</v>
      </c>
      <c r="AN158" s="26">
        <f t="shared" si="360"/>
        <v>190.02016129032262</v>
      </c>
      <c r="AO158" s="26">
        <f>(L158+AB158)/2</f>
        <v>141.375</v>
      </c>
      <c r="AP158" s="26">
        <f t="shared" si="362"/>
        <v>105.24193548387098</v>
      </c>
      <c r="AQ158" s="26">
        <f>(O158+AE158)/2</f>
        <v>78.3</v>
      </c>
      <c r="AR158" s="26">
        <f t="shared" si="364"/>
        <v>168.58198924731181</v>
      </c>
      <c r="AS158" s="26">
        <f t="shared" si="365"/>
        <v>125.425</v>
      </c>
      <c r="AT158" s="26">
        <f t="shared" si="366"/>
        <v>168.58198924731181</v>
      </c>
      <c r="AU158" s="26">
        <f t="shared" si="372"/>
        <v>125.425</v>
      </c>
      <c r="AX158" s="11">
        <v>0.62</v>
      </c>
      <c r="AY158" s="12">
        <f t="shared" si="368"/>
        <v>120.83333333333334</v>
      </c>
      <c r="AZ158" s="12">
        <f t="shared" si="347"/>
        <v>89.9</v>
      </c>
      <c r="BA158" s="11">
        <v>0.3</v>
      </c>
      <c r="BB158" s="12">
        <f t="shared" si="369"/>
        <v>58.467741935483872</v>
      </c>
      <c r="BC158" s="12">
        <f t="shared" si="348"/>
        <v>43.5</v>
      </c>
      <c r="BD158" s="11">
        <v>0.56999999999999995</v>
      </c>
      <c r="BE158" s="12">
        <f t="shared" si="370"/>
        <v>111.08870967741936</v>
      </c>
      <c r="BF158" s="12">
        <f t="shared" si="349"/>
        <v>82.649999999999991</v>
      </c>
      <c r="BG158" s="11">
        <v>0.56999999999999995</v>
      </c>
      <c r="BH158" s="12">
        <f t="shared" si="371"/>
        <v>111.08870967741936</v>
      </c>
      <c r="BI158" s="12">
        <f t="shared" si="350"/>
        <v>82.649999999999991</v>
      </c>
    </row>
    <row r="159" spans="1:61" ht="14.4" x14ac:dyDescent="0.3">
      <c r="A159" s="13" t="s">
        <v>26</v>
      </c>
      <c r="B159" s="5">
        <v>30</v>
      </c>
      <c r="C159" s="5">
        <f t="shared" si="351"/>
        <v>720</v>
      </c>
      <c r="D159" s="9">
        <f t="shared" si="338"/>
        <v>155.55555555555554</v>
      </c>
      <c r="E159" s="5">
        <v>112</v>
      </c>
      <c r="H159" s="10"/>
      <c r="J159" s="11">
        <v>1.17</v>
      </c>
      <c r="K159" s="12">
        <f t="shared" si="339"/>
        <v>181.99999999999997</v>
      </c>
      <c r="L159" s="12">
        <f t="shared" si="352"/>
        <v>131.04</v>
      </c>
      <c r="M159" s="11">
        <v>0.59</v>
      </c>
      <c r="N159" s="12">
        <f t="shared" si="340"/>
        <v>91.777777777777771</v>
      </c>
      <c r="O159" s="12">
        <f t="shared" si="353"/>
        <v>66.08</v>
      </c>
      <c r="P159" s="11">
        <v>0.95</v>
      </c>
      <c r="Q159" s="12">
        <f t="shared" si="341"/>
        <v>147.77777777777777</v>
      </c>
      <c r="R159" s="12">
        <f t="shared" si="354"/>
        <v>106.39999999999999</v>
      </c>
      <c r="S159" s="11">
        <v>0.95</v>
      </c>
      <c r="T159" s="12">
        <f t="shared" si="342"/>
        <v>147.77777777777777</v>
      </c>
      <c r="U159" s="12">
        <f t="shared" si="355"/>
        <v>106.39999999999999</v>
      </c>
      <c r="X159" s="10"/>
      <c r="Y159" s="10"/>
      <c r="Z159" s="11">
        <v>1.1100000000000001</v>
      </c>
      <c r="AA159" s="12">
        <f t="shared" si="356"/>
        <v>172.66666666666666</v>
      </c>
      <c r="AB159" s="12">
        <f t="shared" si="343"/>
        <v>124.32000000000001</v>
      </c>
      <c r="AC159" s="11">
        <v>0.31</v>
      </c>
      <c r="AD159" s="12">
        <f t="shared" si="357"/>
        <v>48.222222222222221</v>
      </c>
      <c r="AE159" s="12">
        <f t="shared" si="344"/>
        <v>34.72</v>
      </c>
      <c r="AF159" s="11">
        <v>0.81</v>
      </c>
      <c r="AG159" s="12">
        <f t="shared" si="358"/>
        <v>126</v>
      </c>
      <c r="AH159" s="12">
        <f t="shared" si="345"/>
        <v>90.72</v>
      </c>
      <c r="AI159" s="11">
        <v>0.81</v>
      </c>
      <c r="AJ159" s="12">
        <f t="shared" si="359"/>
        <v>126</v>
      </c>
      <c r="AK159" s="12">
        <f t="shared" si="346"/>
        <v>90.72</v>
      </c>
      <c r="AN159" s="26">
        <f t="shared" si="360"/>
        <v>177.33333333333331</v>
      </c>
      <c r="AO159" s="26">
        <f t="shared" ref="AO159:AO162" si="373">(L159+AB159)/2</f>
        <v>127.68</v>
      </c>
      <c r="AP159" s="26">
        <f t="shared" si="362"/>
        <v>70</v>
      </c>
      <c r="AQ159" s="26">
        <f t="shared" ref="AQ159:AQ162" si="374">(O159+AE159)/2</f>
        <v>50.4</v>
      </c>
      <c r="AR159" s="26">
        <f t="shared" si="364"/>
        <v>136.88888888888889</v>
      </c>
      <c r="AS159" s="26">
        <f t="shared" si="365"/>
        <v>98.56</v>
      </c>
      <c r="AT159" s="26">
        <f t="shared" si="366"/>
        <v>136.88888888888889</v>
      </c>
      <c r="AU159" s="26">
        <f>(U159+AK159)/2</f>
        <v>98.56</v>
      </c>
      <c r="AX159" s="11">
        <v>0.85</v>
      </c>
      <c r="AY159" s="12">
        <f t="shared" si="368"/>
        <v>132.2222222222222</v>
      </c>
      <c r="AZ159" s="12">
        <f t="shared" si="347"/>
        <v>95.2</v>
      </c>
      <c r="BA159" s="11">
        <v>0.28000000000000003</v>
      </c>
      <c r="BB159" s="12">
        <f t="shared" si="369"/>
        <v>43.555555555555557</v>
      </c>
      <c r="BC159" s="12">
        <f t="shared" si="348"/>
        <v>31.360000000000003</v>
      </c>
      <c r="BD159" s="11">
        <v>0.6</v>
      </c>
      <c r="BE159" s="12">
        <f t="shared" si="370"/>
        <v>93.333333333333329</v>
      </c>
      <c r="BF159" s="12">
        <f t="shared" si="349"/>
        <v>67.2</v>
      </c>
      <c r="BG159" s="11">
        <v>0.6</v>
      </c>
      <c r="BH159" s="12">
        <f t="shared" si="371"/>
        <v>93.333333333333329</v>
      </c>
      <c r="BI159" s="12">
        <f t="shared" si="350"/>
        <v>67.2</v>
      </c>
    </row>
    <row r="160" spans="1:61" ht="14.4" x14ac:dyDescent="0.3">
      <c r="A160" s="13" t="s">
        <v>5</v>
      </c>
      <c r="B160" s="5">
        <v>31</v>
      </c>
      <c r="C160" s="5">
        <f t="shared" si="351"/>
        <v>744</v>
      </c>
      <c r="D160" s="9">
        <f t="shared" si="338"/>
        <v>87.365591397849457</v>
      </c>
      <c r="E160" s="5">
        <v>65</v>
      </c>
      <c r="H160" s="10"/>
      <c r="J160" s="11">
        <v>1.33</v>
      </c>
      <c r="K160" s="12">
        <f t="shared" si="339"/>
        <v>116.19623655913978</v>
      </c>
      <c r="L160" s="12">
        <f t="shared" si="352"/>
        <v>86.45</v>
      </c>
      <c r="M160" s="11">
        <v>0.45</v>
      </c>
      <c r="N160" s="12">
        <f t="shared" si="340"/>
        <v>39.314516129032256</v>
      </c>
      <c r="O160" s="12">
        <f t="shared" si="353"/>
        <v>29.25</v>
      </c>
      <c r="P160" s="11">
        <v>0.96</v>
      </c>
      <c r="Q160" s="12">
        <f t="shared" si="341"/>
        <v>83.870967741935473</v>
      </c>
      <c r="R160" s="12">
        <f t="shared" si="354"/>
        <v>62.4</v>
      </c>
      <c r="S160" s="11">
        <v>0.96</v>
      </c>
      <c r="T160" s="12">
        <f t="shared" si="342"/>
        <v>83.870967741935473</v>
      </c>
      <c r="U160" s="12">
        <f t="shared" si="355"/>
        <v>62.4</v>
      </c>
      <c r="X160" s="10"/>
      <c r="Y160" s="10"/>
      <c r="Z160" s="11">
        <v>1.4</v>
      </c>
      <c r="AA160" s="12">
        <f t="shared" si="356"/>
        <v>122.31182795698923</v>
      </c>
      <c r="AB160" s="12">
        <f t="shared" si="343"/>
        <v>91</v>
      </c>
      <c r="AC160" s="11">
        <v>0.34</v>
      </c>
      <c r="AD160" s="12">
        <f t="shared" si="357"/>
        <v>29.704301075268816</v>
      </c>
      <c r="AE160" s="12">
        <f t="shared" si="344"/>
        <v>22.1</v>
      </c>
      <c r="AF160" s="11">
        <v>0.84</v>
      </c>
      <c r="AG160" s="12">
        <f t="shared" si="358"/>
        <v>73.387096774193537</v>
      </c>
      <c r="AH160" s="12">
        <f t="shared" si="345"/>
        <v>54.6</v>
      </c>
      <c r="AI160" s="11">
        <v>0.84</v>
      </c>
      <c r="AJ160" s="12">
        <f t="shared" si="359"/>
        <v>73.387096774193537</v>
      </c>
      <c r="AK160" s="12">
        <f t="shared" si="346"/>
        <v>54.6</v>
      </c>
      <c r="AN160" s="26">
        <f t="shared" si="360"/>
        <v>119.25403225806451</v>
      </c>
      <c r="AO160" s="26">
        <f t="shared" si="373"/>
        <v>88.724999999999994</v>
      </c>
      <c r="AP160" s="26">
        <f t="shared" si="362"/>
        <v>34.509408602150536</v>
      </c>
      <c r="AQ160" s="26">
        <f t="shared" si="374"/>
        <v>25.675000000000001</v>
      </c>
      <c r="AR160" s="26">
        <f t="shared" si="364"/>
        <v>78.629032258064512</v>
      </c>
      <c r="AS160" s="26">
        <f t="shared" si="365"/>
        <v>58.5</v>
      </c>
      <c r="AT160" s="26">
        <f t="shared" si="366"/>
        <v>78.629032258064512</v>
      </c>
      <c r="AU160" s="26">
        <f t="shared" ref="AU160:AU162" si="375">(U160+AK160)/2</f>
        <v>58.5</v>
      </c>
      <c r="AX160" s="11">
        <v>1.19</v>
      </c>
      <c r="AY160" s="12">
        <f t="shared" si="368"/>
        <v>103.96505376344085</v>
      </c>
      <c r="AZ160" s="12">
        <f t="shared" si="347"/>
        <v>77.349999999999994</v>
      </c>
      <c r="BA160" s="11">
        <v>0.3</v>
      </c>
      <c r="BB160" s="12">
        <f t="shared" si="369"/>
        <v>26.209677419354836</v>
      </c>
      <c r="BC160" s="12">
        <f t="shared" si="348"/>
        <v>19.5</v>
      </c>
      <c r="BD160" s="11">
        <v>0.63</v>
      </c>
      <c r="BE160" s="12">
        <f t="shared" si="370"/>
        <v>55.04032258064516</v>
      </c>
      <c r="BF160" s="12">
        <f t="shared" si="349"/>
        <v>40.950000000000003</v>
      </c>
      <c r="BG160" s="11">
        <v>0.63</v>
      </c>
      <c r="BH160" s="12">
        <f t="shared" si="371"/>
        <v>55.04032258064516</v>
      </c>
      <c r="BI160" s="12">
        <f t="shared" si="350"/>
        <v>40.950000000000003</v>
      </c>
    </row>
    <row r="161" spans="1:61" ht="14.4" x14ac:dyDescent="0.3">
      <c r="A161" s="13" t="s">
        <v>6</v>
      </c>
      <c r="B161" s="5">
        <v>30</v>
      </c>
      <c r="C161" s="5">
        <f t="shared" si="351"/>
        <v>720</v>
      </c>
      <c r="D161" s="9">
        <f t="shared" si="338"/>
        <v>45.833333333333336</v>
      </c>
      <c r="E161" s="5">
        <v>33</v>
      </c>
      <c r="H161" s="10"/>
      <c r="J161" s="11">
        <v>1.52</v>
      </c>
      <c r="K161" s="12">
        <f t="shared" si="339"/>
        <v>69.666666666666671</v>
      </c>
      <c r="L161" s="12">
        <f t="shared" si="352"/>
        <v>50.160000000000004</v>
      </c>
      <c r="M161" s="11">
        <v>0.47</v>
      </c>
      <c r="N161" s="12">
        <f t="shared" si="340"/>
        <v>21.541666666666668</v>
      </c>
      <c r="O161" s="12">
        <f t="shared" si="353"/>
        <v>15.51</v>
      </c>
      <c r="P161" s="11">
        <v>0.97</v>
      </c>
      <c r="Q161" s="12">
        <f t="shared" si="341"/>
        <v>44.458333333333336</v>
      </c>
      <c r="R161" s="12">
        <f t="shared" si="354"/>
        <v>32.01</v>
      </c>
      <c r="S161" s="11">
        <v>0.97</v>
      </c>
      <c r="T161" s="12">
        <f t="shared" si="342"/>
        <v>44.458333333333336</v>
      </c>
      <c r="U161" s="12">
        <f t="shared" si="355"/>
        <v>32.01</v>
      </c>
      <c r="X161" s="10"/>
      <c r="Y161" s="10"/>
      <c r="Z161" s="11">
        <v>1.75</v>
      </c>
      <c r="AA161" s="12">
        <f t="shared" si="356"/>
        <v>80.208333333333343</v>
      </c>
      <c r="AB161" s="12">
        <f t="shared" si="343"/>
        <v>57.75</v>
      </c>
      <c r="AC161" s="11">
        <v>0.4</v>
      </c>
      <c r="AD161" s="12">
        <f t="shared" si="357"/>
        <v>18.333333333333336</v>
      </c>
      <c r="AE161" s="12">
        <f t="shared" si="344"/>
        <v>13.200000000000001</v>
      </c>
      <c r="AF161" s="11">
        <v>0.86</v>
      </c>
      <c r="AG161" s="12">
        <f t="shared" si="358"/>
        <v>39.416666666666671</v>
      </c>
      <c r="AH161" s="12">
        <f t="shared" si="345"/>
        <v>28.38</v>
      </c>
      <c r="AI161" s="11">
        <v>0.86</v>
      </c>
      <c r="AJ161" s="12">
        <f t="shared" si="359"/>
        <v>39.416666666666671</v>
      </c>
      <c r="AK161" s="12">
        <f t="shared" si="346"/>
        <v>28.38</v>
      </c>
      <c r="AN161" s="26">
        <f t="shared" si="360"/>
        <v>74.9375</v>
      </c>
      <c r="AO161" s="26">
        <f t="shared" si="373"/>
        <v>53.954999999999998</v>
      </c>
      <c r="AP161" s="26">
        <f t="shared" si="362"/>
        <v>19.9375</v>
      </c>
      <c r="AQ161" s="26">
        <f t="shared" si="374"/>
        <v>14.355</v>
      </c>
      <c r="AR161" s="26">
        <f t="shared" si="364"/>
        <v>41.9375</v>
      </c>
      <c r="AS161" s="26">
        <f t="shared" si="365"/>
        <v>30.195</v>
      </c>
      <c r="AT161" s="26">
        <f t="shared" si="366"/>
        <v>41.9375</v>
      </c>
      <c r="AU161" s="26">
        <f t="shared" si="375"/>
        <v>30.195</v>
      </c>
      <c r="AX161" s="11">
        <v>1.62</v>
      </c>
      <c r="AY161" s="12">
        <f t="shared" si="368"/>
        <v>74.250000000000014</v>
      </c>
      <c r="AZ161" s="12">
        <f t="shared" si="347"/>
        <v>53.46</v>
      </c>
      <c r="BA161" s="11">
        <v>0.37</v>
      </c>
      <c r="BB161" s="12">
        <f t="shared" si="369"/>
        <v>16.958333333333336</v>
      </c>
      <c r="BC161" s="12">
        <f t="shared" si="348"/>
        <v>12.209999999999999</v>
      </c>
      <c r="BD161" s="11">
        <v>0.65</v>
      </c>
      <c r="BE161" s="12">
        <f t="shared" si="370"/>
        <v>29.791666666666668</v>
      </c>
      <c r="BF161" s="12">
        <f t="shared" si="349"/>
        <v>21.45</v>
      </c>
      <c r="BG161" s="11">
        <v>0.65</v>
      </c>
      <c r="BH161" s="12">
        <f t="shared" si="371"/>
        <v>29.791666666666668</v>
      </c>
      <c r="BI161" s="12">
        <f t="shared" si="350"/>
        <v>21.45</v>
      </c>
    </row>
    <row r="162" spans="1:61" ht="15" thickBot="1" x14ac:dyDescent="0.35">
      <c r="A162" s="14" t="s">
        <v>7</v>
      </c>
      <c r="B162" s="5">
        <v>31</v>
      </c>
      <c r="C162" s="5">
        <f t="shared" si="351"/>
        <v>744</v>
      </c>
      <c r="D162" s="9">
        <f t="shared" si="338"/>
        <v>29.56989247311828</v>
      </c>
      <c r="E162" s="5">
        <v>22</v>
      </c>
      <c r="H162" s="10"/>
      <c r="J162" s="11">
        <v>1.76</v>
      </c>
      <c r="K162" s="12">
        <f t="shared" si="339"/>
        <v>52.043010752688176</v>
      </c>
      <c r="L162" s="12">
        <f t="shared" si="352"/>
        <v>38.72</v>
      </c>
      <c r="M162" s="11">
        <v>0.48</v>
      </c>
      <c r="N162" s="12">
        <f t="shared" si="340"/>
        <v>14.193548387096774</v>
      </c>
      <c r="O162" s="12">
        <f t="shared" si="353"/>
        <v>10.559999999999999</v>
      </c>
      <c r="P162" s="11">
        <v>0.99</v>
      </c>
      <c r="Q162" s="12">
        <f t="shared" si="341"/>
        <v>29.274193548387096</v>
      </c>
      <c r="R162" s="12">
        <f t="shared" si="354"/>
        <v>21.78</v>
      </c>
      <c r="S162" s="11">
        <v>0.99</v>
      </c>
      <c r="T162" s="12">
        <f t="shared" si="342"/>
        <v>29.274193548387096</v>
      </c>
      <c r="U162" s="12">
        <f t="shared" si="355"/>
        <v>21.78</v>
      </c>
      <c r="X162" s="10"/>
      <c r="Y162" s="10"/>
      <c r="Z162" s="11">
        <v>2.15</v>
      </c>
      <c r="AA162" s="12">
        <f t="shared" si="356"/>
        <v>63.575268817204297</v>
      </c>
      <c r="AB162" s="12">
        <f t="shared" si="343"/>
        <v>47.3</v>
      </c>
      <c r="AC162" s="11">
        <v>0.46</v>
      </c>
      <c r="AD162" s="12">
        <f t="shared" si="357"/>
        <v>13.60215053763441</v>
      </c>
      <c r="AE162" s="12">
        <f t="shared" si="344"/>
        <v>10.120000000000001</v>
      </c>
      <c r="AF162" s="11">
        <v>0.9</v>
      </c>
      <c r="AG162" s="12">
        <f t="shared" si="358"/>
        <v>26.612903225806452</v>
      </c>
      <c r="AH162" s="12">
        <f t="shared" si="345"/>
        <v>19.8</v>
      </c>
      <c r="AI162" s="11">
        <v>0.9</v>
      </c>
      <c r="AJ162" s="12">
        <f t="shared" si="359"/>
        <v>26.612903225806452</v>
      </c>
      <c r="AK162" s="12">
        <f t="shared" si="346"/>
        <v>19.8</v>
      </c>
      <c r="AN162" s="26">
        <f t="shared" si="360"/>
        <v>57.80913978494624</v>
      </c>
      <c r="AO162" s="26">
        <f t="shared" si="373"/>
        <v>43.01</v>
      </c>
      <c r="AP162" s="26">
        <f t="shared" si="362"/>
        <v>13.897849462365592</v>
      </c>
      <c r="AQ162" s="26">
        <f t="shared" si="374"/>
        <v>10.34</v>
      </c>
      <c r="AR162" s="26">
        <f t="shared" si="364"/>
        <v>27.943548387096776</v>
      </c>
      <c r="AS162" s="26">
        <f t="shared" si="365"/>
        <v>20.79</v>
      </c>
      <c r="AT162" s="26">
        <f t="shared" si="366"/>
        <v>27.943548387096776</v>
      </c>
      <c r="AU162" s="26">
        <f t="shared" si="375"/>
        <v>20.79</v>
      </c>
      <c r="AX162" s="11">
        <v>2.19</v>
      </c>
      <c r="AY162" s="12">
        <f t="shared" si="368"/>
        <v>64.758064516129025</v>
      </c>
      <c r="AZ162" s="12">
        <f t="shared" si="347"/>
        <v>48.18</v>
      </c>
      <c r="BA162" s="11">
        <v>0.46</v>
      </c>
      <c r="BB162" s="12">
        <f t="shared" si="369"/>
        <v>13.60215053763441</v>
      </c>
      <c r="BC162" s="12">
        <f t="shared" si="348"/>
        <v>10.120000000000001</v>
      </c>
      <c r="BD162" s="11">
        <v>0.77</v>
      </c>
      <c r="BE162" s="12">
        <f t="shared" si="370"/>
        <v>22.768817204301076</v>
      </c>
      <c r="BF162" s="12">
        <f t="shared" si="349"/>
        <v>16.940000000000001</v>
      </c>
      <c r="BG162" s="11">
        <v>0.77</v>
      </c>
      <c r="BH162" s="12">
        <f t="shared" si="371"/>
        <v>22.768817204301076</v>
      </c>
      <c r="BI162" s="12">
        <f t="shared" si="350"/>
        <v>16.940000000000001</v>
      </c>
    </row>
    <row r="164" spans="1:61" x14ac:dyDescent="0.25">
      <c r="A164" s="15" t="s">
        <v>44</v>
      </c>
      <c r="B164" s="7" t="s">
        <v>10</v>
      </c>
      <c r="C164" s="7" t="s">
        <v>11</v>
      </c>
      <c r="E164" s="7" t="s">
        <v>12</v>
      </c>
      <c r="F164" s="7"/>
      <c r="G164" s="7"/>
      <c r="J164" s="36" t="s">
        <v>15</v>
      </c>
      <c r="K164" s="37"/>
      <c r="L164" s="38"/>
      <c r="M164" s="36" t="s">
        <v>16</v>
      </c>
      <c r="N164" s="37"/>
      <c r="O164" s="38"/>
      <c r="P164" s="36" t="s">
        <v>17</v>
      </c>
      <c r="Q164" s="37"/>
      <c r="R164" s="37"/>
      <c r="S164" s="34" t="s">
        <v>18</v>
      </c>
      <c r="T164" s="34"/>
      <c r="U164" s="34"/>
      <c r="Z164" s="36" t="s">
        <v>15</v>
      </c>
      <c r="AA164" s="37"/>
      <c r="AB164" s="38"/>
      <c r="AC164" s="36" t="s">
        <v>16</v>
      </c>
      <c r="AD164" s="37"/>
      <c r="AE164" s="38"/>
      <c r="AF164" s="36" t="s">
        <v>17</v>
      </c>
      <c r="AG164" s="37"/>
      <c r="AH164" s="37"/>
      <c r="AI164" s="34" t="s">
        <v>18</v>
      </c>
      <c r="AJ164" s="34"/>
      <c r="AK164" s="34"/>
      <c r="AN164" s="32" t="s">
        <v>15</v>
      </c>
      <c r="AO164" s="33"/>
      <c r="AP164" s="32" t="s">
        <v>16</v>
      </c>
      <c r="AQ164" s="33"/>
      <c r="AR164" s="32" t="s">
        <v>19</v>
      </c>
      <c r="AS164" s="33"/>
      <c r="AT164" s="34" t="s">
        <v>18</v>
      </c>
      <c r="AU164" s="34"/>
      <c r="AX164" s="36" t="s">
        <v>15</v>
      </c>
      <c r="AY164" s="37"/>
      <c r="AZ164" s="38"/>
      <c r="BA164" s="36" t="s">
        <v>16</v>
      </c>
      <c r="BB164" s="37"/>
      <c r="BC164" s="38"/>
      <c r="BD164" s="36" t="s">
        <v>17</v>
      </c>
      <c r="BE164" s="37"/>
      <c r="BF164" s="37"/>
      <c r="BG164" s="34" t="s">
        <v>18</v>
      </c>
      <c r="BH164" s="34"/>
      <c r="BI164" s="34"/>
    </row>
    <row r="165" spans="1:61" ht="13.8" thickBot="1" x14ac:dyDescent="0.3">
      <c r="D165" s="5" t="s">
        <v>14</v>
      </c>
      <c r="E165" s="5" t="s">
        <v>13</v>
      </c>
      <c r="J165" s="4" t="s">
        <v>48</v>
      </c>
      <c r="K165" s="4" t="s">
        <v>14</v>
      </c>
      <c r="L165" s="4" t="s">
        <v>13</v>
      </c>
      <c r="M165" s="4" t="s">
        <v>48</v>
      </c>
      <c r="N165" s="4" t="s">
        <v>14</v>
      </c>
      <c r="O165" s="4" t="s">
        <v>13</v>
      </c>
      <c r="P165" s="4" t="s">
        <v>48</v>
      </c>
      <c r="Q165" s="4" t="s">
        <v>14</v>
      </c>
      <c r="R165" s="4" t="s">
        <v>13</v>
      </c>
      <c r="S165" s="24" t="s">
        <v>48</v>
      </c>
      <c r="T165" s="24" t="s">
        <v>14</v>
      </c>
      <c r="U165" s="24" t="s">
        <v>13</v>
      </c>
      <c r="Z165" s="4" t="s">
        <v>48</v>
      </c>
      <c r="AA165" s="4" t="s">
        <v>14</v>
      </c>
      <c r="AB165" s="4" t="s">
        <v>13</v>
      </c>
      <c r="AC165" s="4" t="s">
        <v>48</v>
      </c>
      <c r="AD165" s="4" t="s">
        <v>14</v>
      </c>
      <c r="AE165" s="4" t="s">
        <v>13</v>
      </c>
      <c r="AF165" s="4" t="s">
        <v>48</v>
      </c>
      <c r="AG165" s="4" t="s">
        <v>14</v>
      </c>
      <c r="AH165" s="4" t="s">
        <v>13</v>
      </c>
      <c r="AI165" s="24" t="s">
        <v>48</v>
      </c>
      <c r="AJ165" s="24" t="s">
        <v>14</v>
      </c>
      <c r="AK165" s="24" t="s">
        <v>13</v>
      </c>
      <c r="AN165" s="24" t="s">
        <v>14</v>
      </c>
      <c r="AO165" s="24" t="s">
        <v>13</v>
      </c>
      <c r="AP165" s="24" t="s">
        <v>14</v>
      </c>
      <c r="AQ165" s="24" t="s">
        <v>13</v>
      </c>
      <c r="AR165" s="24" t="s">
        <v>14</v>
      </c>
      <c r="AS165" s="24" t="s">
        <v>13</v>
      </c>
      <c r="AT165" s="24" t="s">
        <v>14</v>
      </c>
      <c r="AU165" s="24" t="s">
        <v>13</v>
      </c>
      <c r="AX165" s="4" t="s">
        <v>48</v>
      </c>
      <c r="AY165" s="4" t="s">
        <v>14</v>
      </c>
      <c r="AZ165" s="4" t="s">
        <v>13</v>
      </c>
      <c r="BA165" s="4" t="s">
        <v>48</v>
      </c>
      <c r="BB165" s="4" t="s">
        <v>14</v>
      </c>
      <c r="BC165" s="4" t="s">
        <v>13</v>
      </c>
      <c r="BD165" s="4" t="s">
        <v>48</v>
      </c>
      <c r="BE165" s="4" t="s">
        <v>14</v>
      </c>
      <c r="BF165" s="4" t="s">
        <v>13</v>
      </c>
      <c r="BG165" s="24" t="s">
        <v>48</v>
      </c>
      <c r="BH165" s="24" t="s">
        <v>14</v>
      </c>
      <c r="BI165" s="24" t="s">
        <v>13</v>
      </c>
    </row>
    <row r="166" spans="1:61" ht="14.4" x14ac:dyDescent="0.3">
      <c r="A166" s="8" t="s">
        <v>1</v>
      </c>
      <c r="B166" s="5">
        <v>31</v>
      </c>
      <c r="C166" s="5">
        <f>B166*24</f>
        <v>744</v>
      </c>
      <c r="D166" s="9">
        <f t="shared" ref="D166:D177" si="376">E166*1000/C166</f>
        <v>36.29032258064516</v>
      </c>
      <c r="E166" s="5">
        <v>27</v>
      </c>
      <c r="H166" s="10"/>
      <c r="J166" s="11">
        <v>1.62</v>
      </c>
      <c r="K166" s="12">
        <f t="shared" ref="K166:K177" si="377">J166*D166</f>
        <v>58.79032258064516</v>
      </c>
      <c r="L166" s="12">
        <f>$E166*J166</f>
        <v>43.74</v>
      </c>
      <c r="M166" s="11">
        <v>0.5</v>
      </c>
      <c r="N166" s="12">
        <f t="shared" ref="N166:N177" si="378">M166*D166</f>
        <v>18.14516129032258</v>
      </c>
      <c r="O166" s="12">
        <f>$E166*M166</f>
        <v>13.5</v>
      </c>
      <c r="P166" s="11">
        <v>1</v>
      </c>
      <c r="Q166" s="12">
        <f t="shared" ref="Q166:Q177" si="379">P166*D166</f>
        <v>36.29032258064516</v>
      </c>
      <c r="R166" s="12">
        <f>$E166*P166</f>
        <v>27</v>
      </c>
      <c r="S166" s="11">
        <v>1</v>
      </c>
      <c r="T166" s="12">
        <f t="shared" ref="T166:T177" si="380">S166*D166</f>
        <v>36.29032258064516</v>
      </c>
      <c r="U166" s="12">
        <f>$E166*S166</f>
        <v>27</v>
      </c>
      <c r="X166" s="10"/>
      <c r="Y166" s="10"/>
      <c r="Z166" s="11">
        <v>1.96</v>
      </c>
      <c r="AA166" s="12">
        <f>Z166*$D166</f>
        <v>71.129032258064512</v>
      </c>
      <c r="AB166" s="12">
        <f t="shared" ref="AB166:AB177" si="381">$E166*Z166</f>
        <v>52.92</v>
      </c>
      <c r="AC166" s="11">
        <v>0.49</v>
      </c>
      <c r="AD166" s="12">
        <f>AC166*$D166</f>
        <v>17.782258064516128</v>
      </c>
      <c r="AE166" s="12">
        <f t="shared" ref="AE166:AE177" si="382">$E166*AC166</f>
        <v>13.23</v>
      </c>
      <c r="AF166" s="11">
        <v>0.95</v>
      </c>
      <c r="AG166" s="12">
        <f>AF166*$D166</f>
        <v>34.475806451612904</v>
      </c>
      <c r="AH166" s="12">
        <f t="shared" ref="AH166:AH177" si="383">$E166*AF166</f>
        <v>25.65</v>
      </c>
      <c r="AI166" s="11">
        <v>0.95</v>
      </c>
      <c r="AJ166" s="12">
        <f>AI166*$D166</f>
        <v>34.475806451612904</v>
      </c>
      <c r="AK166" s="12">
        <f t="shared" ref="AK166:AK177" si="384">$E166*AI166</f>
        <v>25.65</v>
      </c>
      <c r="AN166" s="26">
        <f>(K166+AA166)/2</f>
        <v>64.959677419354833</v>
      </c>
      <c r="AO166" s="26">
        <f>(L166+AB166)/2</f>
        <v>48.33</v>
      </c>
      <c r="AP166" s="26">
        <f>(N166+AD166)/2</f>
        <v>17.963709677419352</v>
      </c>
      <c r="AQ166" s="26">
        <f>(O166+AE166)/2</f>
        <v>13.365</v>
      </c>
      <c r="AR166" s="26">
        <f>(Q166+AG166)/2</f>
        <v>35.383064516129032</v>
      </c>
      <c r="AS166" s="26">
        <f>(R166+AH166)/2</f>
        <v>26.324999999999999</v>
      </c>
      <c r="AT166" s="26">
        <f>(T166+AJ166)/2</f>
        <v>35.383064516129032</v>
      </c>
      <c r="AU166" s="26">
        <f>(U166+AK166)/2</f>
        <v>26.324999999999999</v>
      </c>
      <c r="AX166" s="11">
        <v>1.94</v>
      </c>
      <c r="AY166" s="12">
        <f>AX166*$D166</f>
        <v>70.403225806451616</v>
      </c>
      <c r="AZ166" s="12">
        <f t="shared" ref="AZ166:AZ177" si="385">$E166*AX166</f>
        <v>52.379999999999995</v>
      </c>
      <c r="BA166" s="11">
        <v>0.53</v>
      </c>
      <c r="BB166" s="12">
        <f>BA166*$D166</f>
        <v>19.233870967741936</v>
      </c>
      <c r="BC166" s="12">
        <f t="shared" ref="BC166:BC177" si="386">$E166*BA166</f>
        <v>14.31</v>
      </c>
      <c r="BD166" s="11">
        <v>0.85</v>
      </c>
      <c r="BE166" s="12">
        <f>BD166*$D166</f>
        <v>30.846774193548384</v>
      </c>
      <c r="BF166" s="12">
        <f t="shared" ref="BF166:BF177" si="387">$E166*BD166</f>
        <v>22.95</v>
      </c>
      <c r="BG166" s="11">
        <v>0.85</v>
      </c>
      <c r="BH166" s="12">
        <f>BG166*$D166</f>
        <v>30.846774193548384</v>
      </c>
      <c r="BI166" s="12">
        <f t="shared" ref="BI166:BI177" si="388">$E166*BG166</f>
        <v>22.95</v>
      </c>
    </row>
    <row r="167" spans="1:61" ht="14.4" x14ac:dyDescent="0.3">
      <c r="A167" s="13" t="s">
        <v>2</v>
      </c>
      <c r="B167" s="5">
        <v>28</v>
      </c>
      <c r="C167" s="5">
        <f t="shared" ref="C167:C177" si="389">B167*24</f>
        <v>672</v>
      </c>
      <c r="D167" s="9">
        <f t="shared" si="376"/>
        <v>74.404761904761898</v>
      </c>
      <c r="E167" s="5">
        <v>50</v>
      </c>
      <c r="H167" s="10"/>
      <c r="J167" s="11">
        <v>1.46</v>
      </c>
      <c r="K167" s="12">
        <f t="shared" si="377"/>
        <v>108.63095238095237</v>
      </c>
      <c r="L167" s="12">
        <f t="shared" ref="L167:L177" si="390">$E167*J167</f>
        <v>73</v>
      </c>
      <c r="M167" s="11">
        <v>0.43</v>
      </c>
      <c r="N167" s="12">
        <f t="shared" si="378"/>
        <v>31.994047619047617</v>
      </c>
      <c r="O167" s="12">
        <f t="shared" ref="O167:O177" si="391">$E167*M167</f>
        <v>21.5</v>
      </c>
      <c r="P167" s="11">
        <v>0.99</v>
      </c>
      <c r="Q167" s="12">
        <f t="shared" si="379"/>
        <v>73.660714285714278</v>
      </c>
      <c r="R167" s="12">
        <f t="shared" ref="R167:R177" si="392">$E167*P167</f>
        <v>49.5</v>
      </c>
      <c r="S167" s="11">
        <v>0.99</v>
      </c>
      <c r="T167" s="12">
        <f t="shared" si="380"/>
        <v>73.660714285714278</v>
      </c>
      <c r="U167" s="12">
        <f t="shared" ref="U167:U177" si="393">$E167*S167</f>
        <v>49.5</v>
      </c>
      <c r="X167" s="10"/>
      <c r="Y167" s="10"/>
      <c r="Z167" s="11">
        <v>1.65</v>
      </c>
      <c r="AA167" s="12">
        <f t="shared" ref="AA167:AA177" si="394">Z167*$D167</f>
        <v>122.76785714285712</v>
      </c>
      <c r="AB167" s="12">
        <f t="shared" si="381"/>
        <v>82.5</v>
      </c>
      <c r="AC167" s="11">
        <v>0.41</v>
      </c>
      <c r="AD167" s="12">
        <f t="shared" ref="AD167:AD177" si="395">AC167*$D167</f>
        <v>30.505952380952376</v>
      </c>
      <c r="AE167" s="12">
        <f t="shared" si="382"/>
        <v>20.5</v>
      </c>
      <c r="AF167" s="11">
        <v>0.91</v>
      </c>
      <c r="AG167" s="12">
        <f t="shared" ref="AG167:AG177" si="396">AF167*$D167</f>
        <v>67.708333333333329</v>
      </c>
      <c r="AH167" s="12">
        <f t="shared" si="383"/>
        <v>45.5</v>
      </c>
      <c r="AI167" s="11">
        <v>0.91</v>
      </c>
      <c r="AJ167" s="12">
        <f t="shared" ref="AJ167:AJ177" si="397">AI167*$D167</f>
        <v>67.708333333333329</v>
      </c>
      <c r="AK167" s="12">
        <f t="shared" si="384"/>
        <v>45.5</v>
      </c>
      <c r="AN167" s="26">
        <f t="shared" ref="AN167:AN177" si="398">(K167+AA167)/2</f>
        <v>115.69940476190474</v>
      </c>
      <c r="AO167" s="26">
        <f t="shared" ref="AO167:AO172" si="399">(L167+AB167)/2</f>
        <v>77.75</v>
      </c>
      <c r="AP167" s="26">
        <f t="shared" ref="AP167:AP177" si="400">(N167+AD167)/2</f>
        <v>31.249999999999996</v>
      </c>
      <c r="AQ167" s="26">
        <f t="shared" ref="AQ167:AQ172" si="401">(O167+AE167)/2</f>
        <v>21</v>
      </c>
      <c r="AR167" s="26">
        <f t="shared" ref="AR167:AR177" si="402">(Q167+AG167)/2</f>
        <v>70.684523809523796</v>
      </c>
      <c r="AS167" s="26">
        <f t="shared" ref="AS167:AS177" si="403">(R167+AH167)/2</f>
        <v>47.5</v>
      </c>
      <c r="AT167" s="26">
        <f t="shared" ref="AT167:AT177" si="404">(T167+AJ167)/2</f>
        <v>70.684523809523796</v>
      </c>
      <c r="AU167" s="26">
        <f t="shared" ref="AU167:AU170" si="405">(U167+AK167)/2</f>
        <v>47.5</v>
      </c>
      <c r="AX167" s="11">
        <v>1.53</v>
      </c>
      <c r="AY167" s="12">
        <f t="shared" ref="AY167:AY177" si="406">AX167*$D167</f>
        <v>113.83928571428571</v>
      </c>
      <c r="AZ167" s="12">
        <f t="shared" si="385"/>
        <v>76.5</v>
      </c>
      <c r="BA167" s="11">
        <v>0.44</v>
      </c>
      <c r="BB167" s="12">
        <f t="shared" ref="BB167:BB177" si="407">BA167*$D167</f>
        <v>32.738095238095234</v>
      </c>
      <c r="BC167" s="12">
        <f t="shared" si="386"/>
        <v>22</v>
      </c>
      <c r="BD167" s="11">
        <v>0.78</v>
      </c>
      <c r="BE167" s="12">
        <f t="shared" ref="BE167:BE177" si="408">BD167*$D167</f>
        <v>58.035714285714285</v>
      </c>
      <c r="BF167" s="12">
        <f t="shared" si="387"/>
        <v>39</v>
      </c>
      <c r="BG167" s="11">
        <v>0.78</v>
      </c>
      <c r="BH167" s="12">
        <f t="shared" ref="BH167:BH177" si="409">BG167*$D167</f>
        <v>58.035714285714285</v>
      </c>
      <c r="BI167" s="12">
        <f t="shared" si="388"/>
        <v>39</v>
      </c>
    </row>
    <row r="168" spans="1:61" ht="14.4" x14ac:dyDescent="0.3">
      <c r="A168" s="13" t="s">
        <v>3</v>
      </c>
      <c r="B168" s="5">
        <v>31</v>
      </c>
      <c r="C168" s="5">
        <f t="shared" si="389"/>
        <v>744</v>
      </c>
      <c r="D168" s="9">
        <f t="shared" si="376"/>
        <v>119.6236559139785</v>
      </c>
      <c r="E168" s="5">
        <v>89</v>
      </c>
      <c r="H168" s="10"/>
      <c r="J168" s="11">
        <v>1.26</v>
      </c>
      <c r="K168" s="12">
        <f t="shared" si="377"/>
        <v>150.7258064516129</v>
      </c>
      <c r="L168" s="12">
        <f t="shared" si="390"/>
        <v>112.14</v>
      </c>
      <c r="M168" s="11">
        <v>0.51</v>
      </c>
      <c r="N168" s="12">
        <f t="shared" si="378"/>
        <v>61.008064516129032</v>
      </c>
      <c r="O168" s="12">
        <f t="shared" si="391"/>
        <v>45.39</v>
      </c>
      <c r="P168" s="11">
        <v>0.96</v>
      </c>
      <c r="Q168" s="12">
        <f t="shared" si="379"/>
        <v>114.83870967741935</v>
      </c>
      <c r="R168" s="12">
        <f t="shared" si="392"/>
        <v>85.44</v>
      </c>
      <c r="S168" s="11">
        <v>0.96</v>
      </c>
      <c r="T168" s="12">
        <f t="shared" si="380"/>
        <v>114.83870967741935</v>
      </c>
      <c r="U168" s="12">
        <f t="shared" si="393"/>
        <v>85.44</v>
      </c>
      <c r="X168" s="10"/>
      <c r="Y168" s="10"/>
      <c r="Z168" s="11">
        <v>1.28</v>
      </c>
      <c r="AA168" s="12">
        <f t="shared" si="394"/>
        <v>153.11827956989248</v>
      </c>
      <c r="AB168" s="12">
        <f t="shared" si="381"/>
        <v>113.92</v>
      </c>
      <c r="AC168" s="11">
        <v>0.33</v>
      </c>
      <c r="AD168" s="12">
        <f t="shared" si="395"/>
        <v>39.475806451612904</v>
      </c>
      <c r="AE168" s="12">
        <f t="shared" si="382"/>
        <v>29.37</v>
      </c>
      <c r="AF168" s="11">
        <v>0.84</v>
      </c>
      <c r="AG168" s="12">
        <f t="shared" si="396"/>
        <v>100.48387096774194</v>
      </c>
      <c r="AH168" s="12">
        <f t="shared" si="383"/>
        <v>74.759999999999991</v>
      </c>
      <c r="AI168" s="11">
        <v>0.84</v>
      </c>
      <c r="AJ168" s="12">
        <f t="shared" si="397"/>
        <v>100.48387096774194</v>
      </c>
      <c r="AK168" s="12">
        <f t="shared" si="384"/>
        <v>74.759999999999991</v>
      </c>
      <c r="AN168" s="26">
        <f t="shared" si="398"/>
        <v>151.9220430107527</v>
      </c>
      <c r="AO168" s="26">
        <f t="shared" si="399"/>
        <v>113.03</v>
      </c>
      <c r="AP168" s="26">
        <f t="shared" si="400"/>
        <v>50.241935483870968</v>
      </c>
      <c r="AQ168" s="26">
        <f t="shared" si="401"/>
        <v>37.380000000000003</v>
      </c>
      <c r="AR168" s="26">
        <f t="shared" si="402"/>
        <v>107.66129032258064</v>
      </c>
      <c r="AS168" s="26">
        <f t="shared" si="403"/>
        <v>80.099999999999994</v>
      </c>
      <c r="AT168" s="26">
        <f t="shared" si="404"/>
        <v>107.66129032258064</v>
      </c>
      <c r="AU168" s="26">
        <f t="shared" si="405"/>
        <v>80.099999999999994</v>
      </c>
      <c r="AX168" s="11">
        <v>1.05</v>
      </c>
      <c r="AY168" s="12">
        <f t="shared" si="406"/>
        <v>125.60483870967742</v>
      </c>
      <c r="AZ168" s="12">
        <f t="shared" si="385"/>
        <v>93.45</v>
      </c>
      <c r="BA168" s="11">
        <v>0.32</v>
      </c>
      <c r="BB168" s="12">
        <f t="shared" si="407"/>
        <v>38.27956989247312</v>
      </c>
      <c r="BC168" s="12">
        <f t="shared" si="386"/>
        <v>28.48</v>
      </c>
      <c r="BD168" s="11">
        <v>0.67</v>
      </c>
      <c r="BE168" s="12">
        <f t="shared" si="408"/>
        <v>80.147849462365599</v>
      </c>
      <c r="BF168" s="12">
        <f t="shared" si="387"/>
        <v>59.63</v>
      </c>
      <c r="BG168" s="11">
        <v>0.67</v>
      </c>
      <c r="BH168" s="12">
        <f t="shared" si="409"/>
        <v>80.147849462365599</v>
      </c>
      <c r="BI168" s="12">
        <f t="shared" si="388"/>
        <v>59.63</v>
      </c>
    </row>
    <row r="169" spans="1:61" ht="14.4" x14ac:dyDescent="0.3">
      <c r="A169" s="13" t="s">
        <v>4</v>
      </c>
      <c r="B169" s="5">
        <v>30</v>
      </c>
      <c r="C169" s="5">
        <f t="shared" si="389"/>
        <v>720</v>
      </c>
      <c r="D169" s="9">
        <f t="shared" si="376"/>
        <v>190.27777777777777</v>
      </c>
      <c r="E169" s="5">
        <v>137</v>
      </c>
      <c r="H169" s="10"/>
      <c r="J169" s="11">
        <v>1.1000000000000001</v>
      </c>
      <c r="K169" s="12">
        <f t="shared" si="377"/>
        <v>209.30555555555557</v>
      </c>
      <c r="L169" s="12">
        <f t="shared" si="390"/>
        <v>150.70000000000002</v>
      </c>
      <c r="M169" s="11">
        <v>0.68</v>
      </c>
      <c r="N169" s="12">
        <f t="shared" si="378"/>
        <v>129.38888888888889</v>
      </c>
      <c r="O169" s="12">
        <f t="shared" si="391"/>
        <v>93.160000000000011</v>
      </c>
      <c r="P169" s="11">
        <v>0.94</v>
      </c>
      <c r="Q169" s="12">
        <f t="shared" si="379"/>
        <v>178.86111111111109</v>
      </c>
      <c r="R169" s="12">
        <f t="shared" si="392"/>
        <v>128.78</v>
      </c>
      <c r="S169" s="11">
        <v>0.94</v>
      </c>
      <c r="T169" s="12">
        <f t="shared" si="380"/>
        <v>178.86111111111109</v>
      </c>
      <c r="U169" s="12">
        <f t="shared" si="393"/>
        <v>128.78</v>
      </c>
      <c r="X169" s="10"/>
      <c r="Y169" s="10"/>
      <c r="Z169" s="11">
        <v>0.99</v>
      </c>
      <c r="AA169" s="12">
        <f>Z169*$D169</f>
        <v>188.375</v>
      </c>
      <c r="AB169" s="12">
        <f t="shared" si="381"/>
        <v>135.63</v>
      </c>
      <c r="AC169" s="11">
        <v>0.33</v>
      </c>
      <c r="AD169" s="12">
        <f>AC169*$D169</f>
        <v>62.791666666666664</v>
      </c>
      <c r="AE169" s="12">
        <f t="shared" si="382"/>
        <v>45.21</v>
      </c>
      <c r="AF169" s="11">
        <v>0.8</v>
      </c>
      <c r="AG169" s="12">
        <f>AF169*$D169</f>
        <v>152.22222222222223</v>
      </c>
      <c r="AH169" s="12">
        <f t="shared" si="383"/>
        <v>109.60000000000001</v>
      </c>
      <c r="AI169" s="11">
        <v>0.8</v>
      </c>
      <c r="AJ169" s="12">
        <f>AI169*$D169</f>
        <v>152.22222222222223</v>
      </c>
      <c r="AK169" s="12">
        <f t="shared" si="384"/>
        <v>109.60000000000001</v>
      </c>
      <c r="AN169" s="26">
        <f t="shared" si="398"/>
        <v>198.84027777777777</v>
      </c>
      <c r="AO169" s="26">
        <f t="shared" si="399"/>
        <v>143.16500000000002</v>
      </c>
      <c r="AP169" s="26">
        <f t="shared" si="400"/>
        <v>96.090277777777771</v>
      </c>
      <c r="AQ169" s="26">
        <f t="shared" si="401"/>
        <v>69.185000000000002</v>
      </c>
      <c r="AR169" s="26">
        <f t="shared" si="402"/>
        <v>165.54166666666666</v>
      </c>
      <c r="AS169" s="26">
        <f t="shared" si="403"/>
        <v>119.19</v>
      </c>
      <c r="AT169" s="26">
        <f t="shared" si="404"/>
        <v>165.54166666666666</v>
      </c>
      <c r="AU169" s="26">
        <f t="shared" si="405"/>
        <v>119.19</v>
      </c>
      <c r="AX169" s="11">
        <v>0.71</v>
      </c>
      <c r="AY169" s="12">
        <f>AX169*$D169</f>
        <v>135.0972222222222</v>
      </c>
      <c r="AZ169" s="12">
        <f t="shared" si="385"/>
        <v>97.27</v>
      </c>
      <c r="BA169" s="11">
        <v>0.28000000000000003</v>
      </c>
      <c r="BB169" s="12">
        <f>BA169*$D169</f>
        <v>53.277777777777779</v>
      </c>
      <c r="BC169" s="12">
        <f t="shared" si="386"/>
        <v>38.360000000000007</v>
      </c>
      <c r="BD169" s="11">
        <v>0.59</v>
      </c>
      <c r="BE169" s="12">
        <f>BD169*$D169</f>
        <v>112.26388888888889</v>
      </c>
      <c r="BF169" s="12">
        <f t="shared" si="387"/>
        <v>80.83</v>
      </c>
      <c r="BG169" s="11">
        <v>0.59</v>
      </c>
      <c r="BH169" s="12">
        <f>BG169*$D169</f>
        <v>112.26388888888889</v>
      </c>
      <c r="BI169" s="12">
        <f t="shared" si="388"/>
        <v>80.83</v>
      </c>
    </row>
    <row r="170" spans="1:61" ht="14.4" x14ac:dyDescent="0.3">
      <c r="A170" s="13" t="s">
        <v>22</v>
      </c>
      <c r="B170" s="5">
        <v>31</v>
      </c>
      <c r="C170" s="5">
        <f t="shared" si="389"/>
        <v>744</v>
      </c>
      <c r="D170" s="9">
        <f t="shared" si="376"/>
        <v>225.80645161290323</v>
      </c>
      <c r="E170" s="5">
        <v>168</v>
      </c>
      <c r="H170" s="10"/>
      <c r="J170" s="11">
        <v>1.01</v>
      </c>
      <c r="K170" s="12">
        <f t="shared" si="377"/>
        <v>228.06451612903226</v>
      </c>
      <c r="L170" s="12">
        <f t="shared" si="390"/>
        <v>169.68</v>
      </c>
      <c r="M170" s="11">
        <v>0.79</v>
      </c>
      <c r="N170" s="12">
        <f t="shared" si="378"/>
        <v>178.38709677419357</v>
      </c>
      <c r="O170" s="12">
        <f t="shared" si="391"/>
        <v>132.72</v>
      </c>
      <c r="P170" s="11">
        <v>0.94</v>
      </c>
      <c r="Q170" s="12">
        <f t="shared" si="379"/>
        <v>212.25806451612902</v>
      </c>
      <c r="R170" s="12">
        <f t="shared" si="392"/>
        <v>157.91999999999999</v>
      </c>
      <c r="S170" s="11">
        <v>0.94</v>
      </c>
      <c r="T170" s="12">
        <f t="shared" si="380"/>
        <v>212.25806451612902</v>
      </c>
      <c r="U170" s="12">
        <f t="shared" si="393"/>
        <v>157.91999999999999</v>
      </c>
      <c r="X170" s="10"/>
      <c r="Y170" s="10"/>
      <c r="Z170" s="11">
        <v>0.84</v>
      </c>
      <c r="AA170" s="12">
        <f t="shared" si="394"/>
        <v>189.67741935483872</v>
      </c>
      <c r="AB170" s="12">
        <f t="shared" si="381"/>
        <v>141.12</v>
      </c>
      <c r="AC170" s="11">
        <v>0.39</v>
      </c>
      <c r="AD170" s="12">
        <f t="shared" si="395"/>
        <v>88.064516129032256</v>
      </c>
      <c r="AE170" s="12">
        <f t="shared" si="382"/>
        <v>65.52</v>
      </c>
      <c r="AF170" s="11">
        <v>0.79</v>
      </c>
      <c r="AG170" s="12">
        <f t="shared" si="396"/>
        <v>178.38709677419357</v>
      </c>
      <c r="AH170" s="12">
        <f t="shared" si="383"/>
        <v>132.72</v>
      </c>
      <c r="AI170" s="11">
        <v>0.79</v>
      </c>
      <c r="AJ170" s="12">
        <f t="shared" si="397"/>
        <v>178.38709677419357</v>
      </c>
      <c r="AK170" s="12">
        <f t="shared" si="384"/>
        <v>132.72</v>
      </c>
      <c r="AN170" s="26">
        <f t="shared" si="398"/>
        <v>208.87096774193549</v>
      </c>
      <c r="AO170" s="26">
        <f t="shared" si="399"/>
        <v>155.4</v>
      </c>
      <c r="AP170" s="26">
        <f t="shared" si="400"/>
        <v>133.22580645161293</v>
      </c>
      <c r="AQ170" s="26">
        <f t="shared" si="401"/>
        <v>99.12</v>
      </c>
      <c r="AR170" s="26">
        <f t="shared" si="402"/>
        <v>195.32258064516128</v>
      </c>
      <c r="AS170" s="26">
        <f t="shared" si="403"/>
        <v>145.32</v>
      </c>
      <c r="AT170" s="26">
        <f t="shared" si="404"/>
        <v>195.32258064516128</v>
      </c>
      <c r="AU170" s="26">
        <f t="shared" si="405"/>
        <v>145.32</v>
      </c>
      <c r="AX170" s="11">
        <v>0.55000000000000004</v>
      </c>
      <c r="AY170" s="12">
        <f t="shared" si="406"/>
        <v>124.19354838709678</v>
      </c>
      <c r="AZ170" s="12">
        <f t="shared" si="385"/>
        <v>92.4</v>
      </c>
      <c r="BA170" s="11">
        <v>0.3</v>
      </c>
      <c r="BB170" s="12">
        <f t="shared" si="407"/>
        <v>67.741935483870961</v>
      </c>
      <c r="BC170" s="12">
        <f t="shared" si="386"/>
        <v>50.4</v>
      </c>
      <c r="BD170" s="11">
        <v>0.56999999999999995</v>
      </c>
      <c r="BE170" s="12">
        <f t="shared" si="408"/>
        <v>128.70967741935482</v>
      </c>
      <c r="BF170" s="12">
        <f t="shared" si="387"/>
        <v>95.759999999999991</v>
      </c>
      <c r="BG170" s="11">
        <v>0.56999999999999995</v>
      </c>
      <c r="BH170" s="12">
        <f t="shared" si="409"/>
        <v>128.70967741935482</v>
      </c>
      <c r="BI170" s="12">
        <f t="shared" si="388"/>
        <v>95.759999999999991</v>
      </c>
    </row>
    <row r="171" spans="1:61" ht="14.4" x14ac:dyDescent="0.3">
      <c r="A171" s="13" t="s">
        <v>23</v>
      </c>
      <c r="B171" s="5">
        <v>30</v>
      </c>
      <c r="C171" s="5">
        <f t="shared" si="389"/>
        <v>720</v>
      </c>
      <c r="D171" s="9">
        <f t="shared" si="376"/>
        <v>251.38888888888889</v>
      </c>
      <c r="E171" s="5">
        <v>181</v>
      </c>
      <c r="H171" s="10"/>
      <c r="I171" s="4" t="s">
        <v>36</v>
      </c>
      <c r="J171" s="11">
        <v>0.97</v>
      </c>
      <c r="K171" s="12">
        <f t="shared" si="377"/>
        <v>243.8472222222222</v>
      </c>
      <c r="L171" s="12">
        <f t="shared" si="390"/>
        <v>175.57</v>
      </c>
      <c r="M171" s="11">
        <v>0.82</v>
      </c>
      <c r="N171" s="12">
        <f t="shared" si="378"/>
        <v>206.13888888888889</v>
      </c>
      <c r="O171" s="12">
        <f t="shared" si="391"/>
        <v>148.41999999999999</v>
      </c>
      <c r="P171" s="11">
        <v>0.93</v>
      </c>
      <c r="Q171" s="12">
        <f t="shared" si="379"/>
        <v>233.79166666666669</v>
      </c>
      <c r="R171" s="12">
        <f t="shared" si="392"/>
        <v>168.33</v>
      </c>
      <c r="S171" s="11">
        <v>0.93</v>
      </c>
      <c r="T171" s="12">
        <f t="shared" si="380"/>
        <v>233.79166666666669</v>
      </c>
      <c r="U171" s="12">
        <f t="shared" si="393"/>
        <v>168.33</v>
      </c>
      <c r="W171" s="4" t="s">
        <v>36</v>
      </c>
      <c r="X171" s="10"/>
      <c r="Y171" s="10"/>
      <c r="Z171" s="11">
        <v>0.78</v>
      </c>
      <c r="AA171" s="12">
        <f t="shared" si="394"/>
        <v>196.08333333333334</v>
      </c>
      <c r="AB171" s="12">
        <f t="shared" si="381"/>
        <v>141.18</v>
      </c>
      <c r="AC171" s="11">
        <v>0.45</v>
      </c>
      <c r="AD171" s="12">
        <f t="shared" si="395"/>
        <v>113.125</v>
      </c>
      <c r="AE171" s="12">
        <f t="shared" si="382"/>
        <v>81.45</v>
      </c>
      <c r="AF171" s="11">
        <v>0.78</v>
      </c>
      <c r="AG171" s="12">
        <f t="shared" si="396"/>
        <v>196.08333333333334</v>
      </c>
      <c r="AH171" s="12">
        <f t="shared" si="383"/>
        <v>141.18</v>
      </c>
      <c r="AI171" s="11">
        <v>0.78</v>
      </c>
      <c r="AJ171" s="12">
        <f t="shared" si="397"/>
        <v>196.08333333333334</v>
      </c>
      <c r="AK171" s="12">
        <f t="shared" si="384"/>
        <v>141.18</v>
      </c>
      <c r="AM171" s="4" t="s">
        <v>36</v>
      </c>
      <c r="AN171" s="26">
        <f t="shared" si="398"/>
        <v>219.96527777777777</v>
      </c>
      <c r="AO171" s="26">
        <f t="shared" si="399"/>
        <v>158.375</v>
      </c>
      <c r="AP171" s="26">
        <f t="shared" si="400"/>
        <v>159.63194444444446</v>
      </c>
      <c r="AQ171" s="26">
        <f t="shared" si="401"/>
        <v>114.935</v>
      </c>
      <c r="AR171" s="26">
        <f t="shared" si="402"/>
        <v>214.9375</v>
      </c>
      <c r="AS171" s="26">
        <f t="shared" si="403"/>
        <v>154.755</v>
      </c>
      <c r="AT171" s="26">
        <f t="shared" si="404"/>
        <v>214.9375</v>
      </c>
      <c r="AU171" s="26">
        <f>(U171+AK171)/2</f>
        <v>154.755</v>
      </c>
      <c r="AW171" s="40" t="s">
        <v>36</v>
      </c>
      <c r="AX171" s="11">
        <v>0.49</v>
      </c>
      <c r="AY171" s="12">
        <f t="shared" si="406"/>
        <v>123.18055555555556</v>
      </c>
      <c r="AZ171" s="12">
        <f t="shared" si="385"/>
        <v>88.69</v>
      </c>
      <c r="BA171" s="11">
        <v>0.31</v>
      </c>
      <c r="BB171" s="12">
        <f t="shared" si="407"/>
        <v>77.930555555555557</v>
      </c>
      <c r="BC171" s="12">
        <f t="shared" si="386"/>
        <v>56.11</v>
      </c>
      <c r="BD171" s="11">
        <v>0.55000000000000004</v>
      </c>
      <c r="BE171" s="12">
        <f t="shared" si="408"/>
        <v>138.26388888888889</v>
      </c>
      <c r="BF171" s="12">
        <f t="shared" si="387"/>
        <v>99.550000000000011</v>
      </c>
      <c r="BG171" s="11">
        <v>0.55000000000000004</v>
      </c>
      <c r="BH171" s="12">
        <f t="shared" si="409"/>
        <v>138.26388888888889</v>
      </c>
      <c r="BI171" s="12">
        <f t="shared" si="388"/>
        <v>99.550000000000011</v>
      </c>
    </row>
    <row r="172" spans="1:61" ht="14.4" x14ac:dyDescent="0.3">
      <c r="A172" s="13" t="s">
        <v>24</v>
      </c>
      <c r="B172" s="5">
        <v>31</v>
      </c>
      <c r="C172" s="5">
        <f t="shared" si="389"/>
        <v>744</v>
      </c>
      <c r="D172" s="9">
        <f t="shared" si="376"/>
        <v>237.90322580645162</v>
      </c>
      <c r="E172" s="5">
        <v>177</v>
      </c>
      <c r="H172" s="10"/>
      <c r="I172" s="4">
        <v>1</v>
      </c>
      <c r="J172" s="11">
        <v>0.98</v>
      </c>
      <c r="K172" s="12">
        <f t="shared" si="377"/>
        <v>233.14516129032259</v>
      </c>
      <c r="L172" s="12">
        <f t="shared" si="390"/>
        <v>173.46</v>
      </c>
      <c r="M172" s="11">
        <v>0.81</v>
      </c>
      <c r="N172" s="12">
        <f t="shared" si="378"/>
        <v>192.70161290322582</v>
      </c>
      <c r="O172" s="12">
        <f t="shared" si="391"/>
        <v>143.37</v>
      </c>
      <c r="P172" s="11">
        <v>0.93</v>
      </c>
      <c r="Q172" s="12">
        <f t="shared" si="379"/>
        <v>221.25</v>
      </c>
      <c r="R172" s="12">
        <f t="shared" si="392"/>
        <v>164.61</v>
      </c>
      <c r="S172" s="11">
        <v>0.93</v>
      </c>
      <c r="T172" s="12">
        <f t="shared" si="380"/>
        <v>221.25</v>
      </c>
      <c r="U172" s="12">
        <f t="shared" si="393"/>
        <v>164.61</v>
      </c>
      <c r="W172" s="4">
        <v>1</v>
      </c>
      <c r="X172" s="10"/>
      <c r="Y172" s="10"/>
      <c r="Z172" s="11">
        <v>0.81</v>
      </c>
      <c r="AA172" s="12">
        <f t="shared" si="394"/>
        <v>192.70161290322582</v>
      </c>
      <c r="AB172" s="12">
        <f t="shared" si="381"/>
        <v>143.37</v>
      </c>
      <c r="AC172" s="11">
        <v>0.42</v>
      </c>
      <c r="AD172" s="12">
        <f t="shared" si="395"/>
        <v>99.91935483870968</v>
      </c>
      <c r="AE172" s="12">
        <f t="shared" si="382"/>
        <v>74.34</v>
      </c>
      <c r="AF172" s="11">
        <v>0.78</v>
      </c>
      <c r="AG172" s="12">
        <f t="shared" si="396"/>
        <v>185.56451612903226</v>
      </c>
      <c r="AH172" s="12">
        <f t="shared" si="383"/>
        <v>138.06</v>
      </c>
      <c r="AI172" s="11">
        <v>0.78</v>
      </c>
      <c r="AJ172" s="12">
        <f t="shared" si="397"/>
        <v>185.56451612903226</v>
      </c>
      <c r="AK172" s="12">
        <f t="shared" si="384"/>
        <v>138.06</v>
      </c>
      <c r="AM172" s="4">
        <v>1</v>
      </c>
      <c r="AN172" s="26">
        <f t="shared" si="398"/>
        <v>212.92338709677421</v>
      </c>
      <c r="AO172" s="26">
        <f t="shared" si="399"/>
        <v>158.41500000000002</v>
      </c>
      <c r="AP172" s="26">
        <f t="shared" si="400"/>
        <v>146.31048387096774</v>
      </c>
      <c r="AQ172" s="26">
        <f t="shared" si="401"/>
        <v>108.855</v>
      </c>
      <c r="AR172" s="26">
        <f t="shared" si="402"/>
        <v>203.40725806451613</v>
      </c>
      <c r="AS172" s="26">
        <f t="shared" si="403"/>
        <v>151.33500000000001</v>
      </c>
      <c r="AT172" s="26">
        <f t="shared" si="404"/>
        <v>203.40725806451613</v>
      </c>
      <c r="AU172" s="26">
        <f t="shared" ref="AU172:AU173" si="410">(U172+AK172)/2</f>
        <v>151.33500000000001</v>
      </c>
      <c r="AW172" s="40" t="s">
        <v>69</v>
      </c>
      <c r="AX172" s="11">
        <v>0.51</v>
      </c>
      <c r="AY172" s="12">
        <f t="shared" si="406"/>
        <v>121.33064516129032</v>
      </c>
      <c r="AZ172" s="12">
        <f t="shared" si="385"/>
        <v>90.27</v>
      </c>
      <c r="BA172" s="11">
        <v>0.3</v>
      </c>
      <c r="BB172" s="12">
        <f t="shared" si="407"/>
        <v>71.370967741935488</v>
      </c>
      <c r="BC172" s="12">
        <f t="shared" si="386"/>
        <v>53.1</v>
      </c>
      <c r="BD172" s="11">
        <v>0.55000000000000004</v>
      </c>
      <c r="BE172" s="12">
        <f t="shared" si="408"/>
        <v>130.84677419354841</v>
      </c>
      <c r="BF172" s="12">
        <f t="shared" si="387"/>
        <v>97.350000000000009</v>
      </c>
      <c r="BG172" s="11">
        <v>0.55000000000000004</v>
      </c>
      <c r="BH172" s="12">
        <f t="shared" si="409"/>
        <v>130.84677419354841</v>
      </c>
      <c r="BI172" s="12">
        <f t="shared" si="388"/>
        <v>97.350000000000009</v>
      </c>
    </row>
    <row r="173" spans="1:61" ht="14.4" x14ac:dyDescent="0.3">
      <c r="A173" s="13" t="s">
        <v>25</v>
      </c>
      <c r="B173" s="5">
        <v>31</v>
      </c>
      <c r="C173" s="5">
        <f t="shared" si="389"/>
        <v>744</v>
      </c>
      <c r="D173" s="9">
        <f t="shared" si="376"/>
        <v>206.98924731182797</v>
      </c>
      <c r="E173" s="5">
        <v>154</v>
      </c>
      <c r="H173" s="10"/>
      <c r="J173" s="11">
        <v>1.05</v>
      </c>
      <c r="K173" s="12">
        <f t="shared" si="377"/>
        <v>217.33870967741939</v>
      </c>
      <c r="L173" s="12">
        <f t="shared" si="390"/>
        <v>161.70000000000002</v>
      </c>
      <c r="M173" s="11">
        <v>0.73</v>
      </c>
      <c r="N173" s="12">
        <f t="shared" si="378"/>
        <v>151.1021505376344</v>
      </c>
      <c r="O173" s="12">
        <f t="shared" si="391"/>
        <v>112.42</v>
      </c>
      <c r="P173" s="11">
        <v>0.93</v>
      </c>
      <c r="Q173" s="12">
        <f t="shared" si="379"/>
        <v>192.50000000000003</v>
      </c>
      <c r="R173" s="12">
        <f t="shared" si="392"/>
        <v>143.22</v>
      </c>
      <c r="S173" s="11">
        <v>0.93</v>
      </c>
      <c r="T173" s="12">
        <f t="shared" si="380"/>
        <v>192.50000000000003</v>
      </c>
      <c r="U173" s="12">
        <f t="shared" si="393"/>
        <v>143.22</v>
      </c>
      <c r="X173" s="10"/>
      <c r="Y173" s="10"/>
      <c r="Z173" s="11">
        <v>0.91</v>
      </c>
      <c r="AA173" s="12">
        <f t="shared" si="394"/>
        <v>188.36021505376345</v>
      </c>
      <c r="AB173" s="12">
        <f t="shared" si="381"/>
        <v>140.14000000000001</v>
      </c>
      <c r="AC173" s="11">
        <v>0.34</v>
      </c>
      <c r="AD173" s="12">
        <f t="shared" si="395"/>
        <v>70.376344086021518</v>
      </c>
      <c r="AE173" s="12">
        <f t="shared" si="382"/>
        <v>52.360000000000007</v>
      </c>
      <c r="AF173" s="11">
        <v>0.79</v>
      </c>
      <c r="AG173" s="12">
        <f t="shared" si="396"/>
        <v>163.52150537634409</v>
      </c>
      <c r="AH173" s="12">
        <f t="shared" si="383"/>
        <v>121.66000000000001</v>
      </c>
      <c r="AI173" s="11">
        <v>0.79</v>
      </c>
      <c r="AJ173" s="12">
        <f t="shared" si="397"/>
        <v>163.52150537634409</v>
      </c>
      <c r="AK173" s="12">
        <f t="shared" si="384"/>
        <v>121.66000000000001</v>
      </c>
      <c r="AN173" s="26">
        <f t="shared" si="398"/>
        <v>202.84946236559142</v>
      </c>
      <c r="AO173" s="26">
        <f>(L173+AB173)/2</f>
        <v>150.92000000000002</v>
      </c>
      <c r="AP173" s="26">
        <f t="shared" si="400"/>
        <v>110.73924731182797</v>
      </c>
      <c r="AQ173" s="26">
        <f>(O173+AE173)/2</f>
        <v>82.39</v>
      </c>
      <c r="AR173" s="26">
        <f t="shared" si="402"/>
        <v>178.01075268817206</v>
      </c>
      <c r="AS173" s="26">
        <f t="shared" si="403"/>
        <v>132.44</v>
      </c>
      <c r="AT173" s="26">
        <f t="shared" si="404"/>
        <v>178.01075268817206</v>
      </c>
      <c r="AU173" s="26">
        <f t="shared" si="410"/>
        <v>132.44</v>
      </c>
      <c r="AX173" s="11">
        <v>0.62</v>
      </c>
      <c r="AY173" s="12">
        <f t="shared" si="406"/>
        <v>128.33333333333334</v>
      </c>
      <c r="AZ173" s="12">
        <f t="shared" si="385"/>
        <v>95.48</v>
      </c>
      <c r="BA173" s="11">
        <v>0.28999999999999998</v>
      </c>
      <c r="BB173" s="12">
        <f t="shared" si="407"/>
        <v>60.026881720430104</v>
      </c>
      <c r="BC173" s="12">
        <f t="shared" si="386"/>
        <v>44.66</v>
      </c>
      <c r="BD173" s="11">
        <v>0.57999999999999996</v>
      </c>
      <c r="BE173" s="12">
        <f t="shared" si="408"/>
        <v>120.05376344086021</v>
      </c>
      <c r="BF173" s="12">
        <f t="shared" si="387"/>
        <v>89.32</v>
      </c>
      <c r="BG173" s="11">
        <v>0.57999999999999996</v>
      </c>
      <c r="BH173" s="12">
        <f t="shared" si="409"/>
        <v>120.05376344086021</v>
      </c>
      <c r="BI173" s="12">
        <f t="shared" si="388"/>
        <v>89.32</v>
      </c>
    </row>
    <row r="174" spans="1:61" ht="14.4" x14ac:dyDescent="0.3">
      <c r="A174" s="13" t="s">
        <v>26</v>
      </c>
      <c r="B174" s="5">
        <v>30</v>
      </c>
      <c r="C174" s="5">
        <f t="shared" si="389"/>
        <v>720</v>
      </c>
      <c r="D174" s="9">
        <f t="shared" si="376"/>
        <v>155.55555555555554</v>
      </c>
      <c r="E174" s="5">
        <v>112</v>
      </c>
      <c r="H174" s="10"/>
      <c r="J174" s="11">
        <v>1.18</v>
      </c>
      <c r="K174" s="12">
        <f t="shared" si="377"/>
        <v>183.55555555555554</v>
      </c>
      <c r="L174" s="12">
        <f t="shared" si="390"/>
        <v>132.16</v>
      </c>
      <c r="M174" s="11">
        <v>0.57999999999999996</v>
      </c>
      <c r="N174" s="12">
        <f t="shared" si="378"/>
        <v>90.222222222222214</v>
      </c>
      <c r="O174" s="12">
        <f t="shared" si="391"/>
        <v>64.959999999999994</v>
      </c>
      <c r="P174" s="11">
        <v>0.95</v>
      </c>
      <c r="Q174" s="12">
        <f t="shared" si="379"/>
        <v>147.77777777777777</v>
      </c>
      <c r="R174" s="12">
        <f t="shared" si="392"/>
        <v>106.39999999999999</v>
      </c>
      <c r="S174" s="11">
        <v>0.95</v>
      </c>
      <c r="T174" s="12">
        <f t="shared" si="380"/>
        <v>147.77777777777777</v>
      </c>
      <c r="U174" s="12">
        <f t="shared" si="393"/>
        <v>106.39999999999999</v>
      </c>
      <c r="X174" s="10"/>
      <c r="Y174" s="10"/>
      <c r="Z174" s="11">
        <v>1.1200000000000001</v>
      </c>
      <c r="AA174" s="12">
        <f t="shared" si="394"/>
        <v>174.22222222222223</v>
      </c>
      <c r="AB174" s="12">
        <f t="shared" si="381"/>
        <v>125.44000000000001</v>
      </c>
      <c r="AC174" s="11">
        <v>0.3</v>
      </c>
      <c r="AD174" s="12">
        <f t="shared" si="395"/>
        <v>46.666666666666664</v>
      </c>
      <c r="AE174" s="12">
        <f t="shared" si="382"/>
        <v>33.6</v>
      </c>
      <c r="AF174" s="11">
        <v>0.81</v>
      </c>
      <c r="AG174" s="12">
        <f t="shared" si="396"/>
        <v>126</v>
      </c>
      <c r="AH174" s="12">
        <f t="shared" si="383"/>
        <v>90.72</v>
      </c>
      <c r="AI174" s="11">
        <v>0.81</v>
      </c>
      <c r="AJ174" s="12">
        <f t="shared" si="397"/>
        <v>126</v>
      </c>
      <c r="AK174" s="12">
        <f t="shared" si="384"/>
        <v>90.72</v>
      </c>
      <c r="AN174" s="26">
        <f t="shared" si="398"/>
        <v>178.88888888888889</v>
      </c>
      <c r="AO174" s="26">
        <f t="shared" ref="AO174:AO177" si="411">(L174+AB174)/2</f>
        <v>128.80000000000001</v>
      </c>
      <c r="AP174" s="26">
        <f t="shared" si="400"/>
        <v>68.444444444444443</v>
      </c>
      <c r="AQ174" s="26">
        <f t="shared" ref="AQ174:AQ177" si="412">(O174+AE174)/2</f>
        <v>49.28</v>
      </c>
      <c r="AR174" s="26">
        <f t="shared" si="402"/>
        <v>136.88888888888889</v>
      </c>
      <c r="AS174" s="26">
        <f t="shared" si="403"/>
        <v>98.56</v>
      </c>
      <c r="AT174" s="26">
        <f t="shared" si="404"/>
        <v>136.88888888888889</v>
      </c>
      <c r="AU174" s="26">
        <f>(U174+AK174)/2</f>
        <v>98.56</v>
      </c>
      <c r="AX174" s="11">
        <v>0.85</v>
      </c>
      <c r="AY174" s="12">
        <f t="shared" si="406"/>
        <v>132.2222222222222</v>
      </c>
      <c r="AZ174" s="12">
        <f t="shared" si="385"/>
        <v>95.2</v>
      </c>
      <c r="BA174" s="11">
        <v>0.27</v>
      </c>
      <c r="BB174" s="12">
        <f t="shared" si="407"/>
        <v>42</v>
      </c>
      <c r="BC174" s="12">
        <f t="shared" si="386"/>
        <v>30.240000000000002</v>
      </c>
      <c r="BD174" s="11">
        <v>0.6</v>
      </c>
      <c r="BE174" s="12">
        <f t="shared" si="408"/>
        <v>93.333333333333329</v>
      </c>
      <c r="BF174" s="12">
        <f t="shared" si="387"/>
        <v>67.2</v>
      </c>
      <c r="BG174" s="11">
        <v>0.6</v>
      </c>
      <c r="BH174" s="12">
        <f t="shared" si="409"/>
        <v>93.333333333333329</v>
      </c>
      <c r="BI174" s="12">
        <f t="shared" si="388"/>
        <v>67.2</v>
      </c>
    </row>
    <row r="175" spans="1:61" ht="14.4" x14ac:dyDescent="0.3">
      <c r="A175" s="13" t="s">
        <v>5</v>
      </c>
      <c r="B175" s="5">
        <v>31</v>
      </c>
      <c r="C175" s="5">
        <f t="shared" si="389"/>
        <v>744</v>
      </c>
      <c r="D175" s="9">
        <f t="shared" si="376"/>
        <v>90.053763440860209</v>
      </c>
      <c r="E175" s="5">
        <v>67</v>
      </c>
      <c r="H175" s="10"/>
      <c r="J175" s="11">
        <v>1.35</v>
      </c>
      <c r="K175" s="12">
        <f t="shared" si="377"/>
        <v>121.5725806451613</v>
      </c>
      <c r="L175" s="12">
        <f t="shared" si="390"/>
        <v>90.45</v>
      </c>
      <c r="M175" s="11">
        <v>0.43</v>
      </c>
      <c r="N175" s="12">
        <f t="shared" si="378"/>
        <v>38.723118279569889</v>
      </c>
      <c r="O175" s="12">
        <f t="shared" si="391"/>
        <v>28.81</v>
      </c>
      <c r="P175" s="11">
        <v>0.96</v>
      </c>
      <c r="Q175" s="12">
        <f t="shared" si="379"/>
        <v>86.451612903225794</v>
      </c>
      <c r="R175" s="12">
        <f t="shared" si="392"/>
        <v>64.319999999999993</v>
      </c>
      <c r="S175" s="11">
        <v>0.96</v>
      </c>
      <c r="T175" s="12">
        <f t="shared" si="380"/>
        <v>86.451612903225794</v>
      </c>
      <c r="U175" s="12">
        <f t="shared" si="393"/>
        <v>64.319999999999993</v>
      </c>
      <c r="X175" s="10"/>
      <c r="Y175" s="10"/>
      <c r="Z175" s="11">
        <v>1.43</v>
      </c>
      <c r="AA175" s="12">
        <f t="shared" si="394"/>
        <v>128.77688172043008</v>
      </c>
      <c r="AB175" s="12">
        <f t="shared" si="381"/>
        <v>95.81</v>
      </c>
      <c r="AC175" s="11">
        <v>0.33</v>
      </c>
      <c r="AD175" s="12">
        <f t="shared" si="395"/>
        <v>29.717741935483872</v>
      </c>
      <c r="AE175" s="12">
        <f t="shared" si="382"/>
        <v>22.11</v>
      </c>
      <c r="AF175" s="11">
        <v>0.84</v>
      </c>
      <c r="AG175" s="12">
        <f t="shared" si="396"/>
        <v>75.645161290322577</v>
      </c>
      <c r="AH175" s="12">
        <f t="shared" si="383"/>
        <v>56.28</v>
      </c>
      <c r="AI175" s="11">
        <v>0.84</v>
      </c>
      <c r="AJ175" s="12">
        <f t="shared" si="397"/>
        <v>75.645161290322577</v>
      </c>
      <c r="AK175" s="12">
        <f t="shared" si="384"/>
        <v>56.28</v>
      </c>
      <c r="AN175" s="26">
        <f t="shared" si="398"/>
        <v>125.17473118279568</v>
      </c>
      <c r="AO175" s="26">
        <f t="shared" si="411"/>
        <v>93.13</v>
      </c>
      <c r="AP175" s="26">
        <f t="shared" si="400"/>
        <v>34.22043010752688</v>
      </c>
      <c r="AQ175" s="26">
        <f t="shared" si="412"/>
        <v>25.46</v>
      </c>
      <c r="AR175" s="26">
        <f t="shared" si="402"/>
        <v>81.048387096774178</v>
      </c>
      <c r="AS175" s="26">
        <f t="shared" si="403"/>
        <v>60.3</v>
      </c>
      <c r="AT175" s="26">
        <f t="shared" si="404"/>
        <v>81.048387096774178</v>
      </c>
      <c r="AU175" s="26">
        <f t="shared" ref="AU175:AU177" si="413">(U175+AK175)/2</f>
        <v>60.3</v>
      </c>
      <c r="AX175" s="11">
        <v>1.22</v>
      </c>
      <c r="AY175" s="12">
        <f t="shared" si="406"/>
        <v>109.86559139784946</v>
      </c>
      <c r="AZ175" s="12">
        <f t="shared" si="385"/>
        <v>81.739999999999995</v>
      </c>
      <c r="BA175" s="11">
        <v>0.28999999999999998</v>
      </c>
      <c r="BB175" s="12">
        <f t="shared" si="407"/>
        <v>26.11559139784946</v>
      </c>
      <c r="BC175" s="12">
        <f t="shared" si="386"/>
        <v>19.43</v>
      </c>
      <c r="BD175" s="11">
        <v>0.64</v>
      </c>
      <c r="BE175" s="12">
        <f t="shared" si="408"/>
        <v>57.634408602150536</v>
      </c>
      <c r="BF175" s="12">
        <f t="shared" si="387"/>
        <v>42.88</v>
      </c>
      <c r="BG175" s="11">
        <v>0.64</v>
      </c>
      <c r="BH175" s="12">
        <f t="shared" si="409"/>
        <v>57.634408602150536</v>
      </c>
      <c r="BI175" s="12">
        <f t="shared" si="388"/>
        <v>42.88</v>
      </c>
    </row>
    <row r="176" spans="1:61" ht="14.4" x14ac:dyDescent="0.3">
      <c r="A176" s="13" t="s">
        <v>6</v>
      </c>
      <c r="B176" s="5">
        <v>30</v>
      </c>
      <c r="C176" s="5">
        <f t="shared" si="389"/>
        <v>720</v>
      </c>
      <c r="D176" s="9">
        <f t="shared" si="376"/>
        <v>43.055555555555557</v>
      </c>
      <c r="E176" s="5">
        <v>31</v>
      </c>
      <c r="H176" s="10"/>
      <c r="J176" s="11">
        <v>1.53</v>
      </c>
      <c r="K176" s="12">
        <f t="shared" si="377"/>
        <v>65.875</v>
      </c>
      <c r="L176" s="12">
        <f t="shared" si="390"/>
        <v>47.43</v>
      </c>
      <c r="M176" s="11">
        <v>0.45</v>
      </c>
      <c r="N176" s="12">
        <f t="shared" si="378"/>
        <v>19.375</v>
      </c>
      <c r="O176" s="12">
        <f t="shared" si="391"/>
        <v>13.950000000000001</v>
      </c>
      <c r="P176" s="11">
        <v>0.98</v>
      </c>
      <c r="Q176" s="12">
        <f t="shared" si="379"/>
        <v>42.194444444444443</v>
      </c>
      <c r="R176" s="12">
        <f t="shared" si="392"/>
        <v>30.38</v>
      </c>
      <c r="S176" s="11">
        <v>0.98</v>
      </c>
      <c r="T176" s="12">
        <f t="shared" si="380"/>
        <v>42.194444444444443</v>
      </c>
      <c r="U176" s="12">
        <f t="shared" si="393"/>
        <v>30.38</v>
      </c>
      <c r="X176" s="10"/>
      <c r="Y176" s="10"/>
      <c r="Z176" s="11">
        <v>1.76</v>
      </c>
      <c r="AA176" s="12">
        <f t="shared" si="394"/>
        <v>75.777777777777786</v>
      </c>
      <c r="AB176" s="12">
        <f t="shared" si="381"/>
        <v>54.56</v>
      </c>
      <c r="AC176" s="11">
        <v>0.39</v>
      </c>
      <c r="AD176" s="12">
        <f t="shared" si="395"/>
        <v>16.791666666666668</v>
      </c>
      <c r="AE176" s="12">
        <f t="shared" si="382"/>
        <v>12.09</v>
      </c>
      <c r="AF176" s="11">
        <v>0.85</v>
      </c>
      <c r="AG176" s="12">
        <f t="shared" si="396"/>
        <v>36.597222222222221</v>
      </c>
      <c r="AH176" s="12">
        <f t="shared" si="383"/>
        <v>26.349999999999998</v>
      </c>
      <c r="AI176" s="11">
        <v>0.85</v>
      </c>
      <c r="AJ176" s="12">
        <f t="shared" si="397"/>
        <v>36.597222222222221</v>
      </c>
      <c r="AK176" s="12">
        <f t="shared" si="384"/>
        <v>26.349999999999998</v>
      </c>
      <c r="AN176" s="26">
        <f t="shared" si="398"/>
        <v>70.826388888888886</v>
      </c>
      <c r="AO176" s="26">
        <f t="shared" si="411"/>
        <v>50.995000000000005</v>
      </c>
      <c r="AP176" s="26">
        <f t="shared" si="400"/>
        <v>18.083333333333336</v>
      </c>
      <c r="AQ176" s="26">
        <f t="shared" si="412"/>
        <v>13.02</v>
      </c>
      <c r="AR176" s="26">
        <f t="shared" si="402"/>
        <v>39.395833333333329</v>
      </c>
      <c r="AS176" s="26">
        <f t="shared" si="403"/>
        <v>28.364999999999998</v>
      </c>
      <c r="AT176" s="26">
        <f t="shared" si="404"/>
        <v>39.395833333333329</v>
      </c>
      <c r="AU176" s="26">
        <f t="shared" si="413"/>
        <v>28.364999999999998</v>
      </c>
      <c r="AX176" s="11">
        <v>1.62</v>
      </c>
      <c r="AY176" s="12">
        <f t="shared" si="406"/>
        <v>69.750000000000014</v>
      </c>
      <c r="AZ176" s="12">
        <f t="shared" si="385"/>
        <v>50.220000000000006</v>
      </c>
      <c r="BA176" s="11">
        <v>0.35</v>
      </c>
      <c r="BB176" s="12">
        <f t="shared" si="407"/>
        <v>15.069444444444445</v>
      </c>
      <c r="BC176" s="12">
        <f t="shared" si="386"/>
        <v>10.85</v>
      </c>
      <c r="BD176" s="11">
        <v>0.64</v>
      </c>
      <c r="BE176" s="12">
        <f t="shared" si="408"/>
        <v>27.555555555555557</v>
      </c>
      <c r="BF176" s="12">
        <f t="shared" si="387"/>
        <v>19.84</v>
      </c>
      <c r="BG176" s="11">
        <v>0.64</v>
      </c>
      <c r="BH176" s="12">
        <f t="shared" si="409"/>
        <v>27.555555555555557</v>
      </c>
      <c r="BI176" s="12">
        <f t="shared" si="388"/>
        <v>19.84</v>
      </c>
    </row>
    <row r="177" spans="1:61" ht="15" thickBot="1" x14ac:dyDescent="0.35">
      <c r="A177" s="14" t="s">
        <v>7</v>
      </c>
      <c r="B177" s="5">
        <v>31</v>
      </c>
      <c r="C177" s="5">
        <f t="shared" si="389"/>
        <v>744</v>
      </c>
      <c r="D177" s="9">
        <f t="shared" si="376"/>
        <v>29.56989247311828</v>
      </c>
      <c r="E177" s="5">
        <v>22</v>
      </c>
      <c r="H177" s="10"/>
      <c r="J177" s="11">
        <v>1.81</v>
      </c>
      <c r="K177" s="12">
        <f t="shared" si="377"/>
        <v>53.521505376344088</v>
      </c>
      <c r="L177" s="12">
        <f t="shared" si="390"/>
        <v>39.82</v>
      </c>
      <c r="M177" s="11">
        <v>0.45</v>
      </c>
      <c r="N177" s="12">
        <f t="shared" si="378"/>
        <v>13.306451612903226</v>
      </c>
      <c r="O177" s="12">
        <f t="shared" si="391"/>
        <v>9.9</v>
      </c>
      <c r="P177" s="11">
        <v>1</v>
      </c>
      <c r="Q177" s="12">
        <f t="shared" si="379"/>
        <v>29.56989247311828</v>
      </c>
      <c r="R177" s="12">
        <f t="shared" si="392"/>
        <v>22</v>
      </c>
      <c r="S177" s="11">
        <v>1</v>
      </c>
      <c r="T177" s="12">
        <f t="shared" si="380"/>
        <v>29.56989247311828</v>
      </c>
      <c r="U177" s="12">
        <f t="shared" si="393"/>
        <v>22</v>
      </c>
      <c r="X177" s="10"/>
      <c r="Y177" s="10"/>
      <c r="Z177" s="11">
        <v>2.23</v>
      </c>
      <c r="AA177" s="12">
        <f t="shared" si="394"/>
        <v>65.94086021505376</v>
      </c>
      <c r="AB177" s="12">
        <f t="shared" si="381"/>
        <v>49.06</v>
      </c>
      <c r="AC177" s="11">
        <v>0.42</v>
      </c>
      <c r="AD177" s="12">
        <f t="shared" si="395"/>
        <v>12.419354838709678</v>
      </c>
      <c r="AE177" s="12">
        <f t="shared" si="382"/>
        <v>9.24</v>
      </c>
      <c r="AF177" s="11">
        <v>0.9</v>
      </c>
      <c r="AG177" s="12">
        <f t="shared" si="396"/>
        <v>26.612903225806452</v>
      </c>
      <c r="AH177" s="12">
        <f t="shared" si="383"/>
        <v>19.8</v>
      </c>
      <c r="AI177" s="11">
        <v>0.9</v>
      </c>
      <c r="AJ177" s="12">
        <f t="shared" si="397"/>
        <v>26.612903225806452</v>
      </c>
      <c r="AK177" s="12">
        <f t="shared" si="384"/>
        <v>19.8</v>
      </c>
      <c r="AN177" s="26">
        <f t="shared" si="398"/>
        <v>59.731182795698928</v>
      </c>
      <c r="AO177" s="26">
        <f t="shared" si="411"/>
        <v>44.44</v>
      </c>
      <c r="AP177" s="26">
        <f t="shared" si="400"/>
        <v>12.862903225806452</v>
      </c>
      <c r="AQ177" s="26">
        <f t="shared" si="412"/>
        <v>9.57</v>
      </c>
      <c r="AR177" s="26">
        <f t="shared" si="402"/>
        <v>28.091397849462368</v>
      </c>
      <c r="AS177" s="26">
        <f t="shared" si="403"/>
        <v>20.9</v>
      </c>
      <c r="AT177" s="26">
        <f t="shared" si="404"/>
        <v>28.091397849462368</v>
      </c>
      <c r="AU177" s="26">
        <f t="shared" si="413"/>
        <v>20.9</v>
      </c>
      <c r="AX177" s="11">
        <v>2.19</v>
      </c>
      <c r="AY177" s="12">
        <f t="shared" si="406"/>
        <v>64.758064516129025</v>
      </c>
      <c r="AZ177" s="12">
        <f t="shared" si="385"/>
        <v>48.18</v>
      </c>
      <c r="BA177" s="11">
        <v>0.43</v>
      </c>
      <c r="BB177" s="12">
        <f t="shared" si="407"/>
        <v>12.71505376344086</v>
      </c>
      <c r="BC177" s="12">
        <f t="shared" si="386"/>
        <v>9.4599999999999991</v>
      </c>
      <c r="BD177" s="11">
        <v>0.75</v>
      </c>
      <c r="BE177" s="12">
        <f t="shared" si="408"/>
        <v>22.177419354838712</v>
      </c>
      <c r="BF177" s="12">
        <f t="shared" si="387"/>
        <v>16.5</v>
      </c>
      <c r="BG177" s="11">
        <v>0.75</v>
      </c>
      <c r="BH177" s="12">
        <f t="shared" si="409"/>
        <v>22.177419354838712</v>
      </c>
      <c r="BI177" s="12">
        <f t="shared" si="388"/>
        <v>16.5</v>
      </c>
    </row>
    <row r="179" spans="1:61" x14ac:dyDescent="0.25">
      <c r="A179" s="15" t="s">
        <v>44</v>
      </c>
      <c r="B179" s="7" t="s">
        <v>10</v>
      </c>
      <c r="C179" s="7" t="s">
        <v>11</v>
      </c>
      <c r="E179" s="7" t="s">
        <v>12</v>
      </c>
      <c r="F179" s="7"/>
      <c r="G179" s="7"/>
      <c r="J179" s="36" t="s">
        <v>15</v>
      </c>
      <c r="K179" s="37"/>
      <c r="L179" s="38"/>
      <c r="M179" s="36" t="s">
        <v>16</v>
      </c>
      <c r="N179" s="37"/>
      <c r="O179" s="38"/>
      <c r="P179" s="36" t="s">
        <v>17</v>
      </c>
      <c r="Q179" s="37"/>
      <c r="R179" s="37"/>
      <c r="S179" s="34" t="s">
        <v>18</v>
      </c>
      <c r="T179" s="34"/>
      <c r="U179" s="34"/>
      <c r="Z179" s="36" t="s">
        <v>15</v>
      </c>
      <c r="AA179" s="37"/>
      <c r="AB179" s="38"/>
      <c r="AC179" s="36" t="s">
        <v>16</v>
      </c>
      <c r="AD179" s="37"/>
      <c r="AE179" s="38"/>
      <c r="AF179" s="36" t="s">
        <v>17</v>
      </c>
      <c r="AG179" s="37"/>
      <c r="AH179" s="37"/>
      <c r="AI179" s="34" t="s">
        <v>18</v>
      </c>
      <c r="AJ179" s="34"/>
      <c r="AK179" s="34"/>
      <c r="AN179" s="32" t="s">
        <v>15</v>
      </c>
      <c r="AO179" s="33"/>
      <c r="AP179" s="32" t="s">
        <v>16</v>
      </c>
      <c r="AQ179" s="33"/>
      <c r="AR179" s="32" t="s">
        <v>19</v>
      </c>
      <c r="AS179" s="33"/>
      <c r="AT179" s="34" t="s">
        <v>18</v>
      </c>
      <c r="AU179" s="34"/>
      <c r="AX179" s="36" t="s">
        <v>15</v>
      </c>
      <c r="AY179" s="37"/>
      <c r="AZ179" s="38"/>
      <c r="BA179" s="36" t="s">
        <v>16</v>
      </c>
      <c r="BB179" s="37"/>
      <c r="BC179" s="38"/>
      <c r="BD179" s="36" t="s">
        <v>17</v>
      </c>
      <c r="BE179" s="37"/>
      <c r="BF179" s="37"/>
      <c r="BG179" s="34" t="s">
        <v>18</v>
      </c>
      <c r="BH179" s="34"/>
      <c r="BI179" s="34"/>
    </row>
    <row r="180" spans="1:61" ht="13.8" thickBot="1" x14ac:dyDescent="0.3">
      <c r="D180" s="5" t="s">
        <v>14</v>
      </c>
      <c r="E180" s="5" t="s">
        <v>13</v>
      </c>
      <c r="J180" s="4" t="s">
        <v>48</v>
      </c>
      <c r="K180" s="4" t="s">
        <v>14</v>
      </c>
      <c r="L180" s="4" t="s">
        <v>13</v>
      </c>
      <c r="M180" s="4" t="s">
        <v>48</v>
      </c>
      <c r="N180" s="4" t="s">
        <v>14</v>
      </c>
      <c r="O180" s="4" t="s">
        <v>13</v>
      </c>
      <c r="P180" s="4" t="s">
        <v>48</v>
      </c>
      <c r="Q180" s="4" t="s">
        <v>14</v>
      </c>
      <c r="R180" s="4" t="s">
        <v>13</v>
      </c>
      <c r="S180" s="24" t="s">
        <v>48</v>
      </c>
      <c r="T180" s="24" t="s">
        <v>14</v>
      </c>
      <c r="U180" s="24" t="s">
        <v>13</v>
      </c>
      <c r="Z180" s="4" t="s">
        <v>48</v>
      </c>
      <c r="AA180" s="4" t="s">
        <v>14</v>
      </c>
      <c r="AB180" s="4" t="s">
        <v>13</v>
      </c>
      <c r="AC180" s="4" t="s">
        <v>48</v>
      </c>
      <c r="AD180" s="4" t="s">
        <v>14</v>
      </c>
      <c r="AE180" s="4" t="s">
        <v>13</v>
      </c>
      <c r="AF180" s="4" t="s">
        <v>48</v>
      </c>
      <c r="AG180" s="4" t="s">
        <v>14</v>
      </c>
      <c r="AH180" s="4" t="s">
        <v>13</v>
      </c>
      <c r="AI180" s="24" t="s">
        <v>48</v>
      </c>
      <c r="AJ180" s="24" t="s">
        <v>14</v>
      </c>
      <c r="AK180" s="24" t="s">
        <v>13</v>
      </c>
      <c r="AN180" s="24" t="s">
        <v>14</v>
      </c>
      <c r="AO180" s="24" t="s">
        <v>13</v>
      </c>
      <c r="AP180" s="24" t="s">
        <v>14</v>
      </c>
      <c r="AQ180" s="24" t="s">
        <v>13</v>
      </c>
      <c r="AR180" s="24" t="s">
        <v>14</v>
      </c>
      <c r="AS180" s="24" t="s">
        <v>13</v>
      </c>
      <c r="AT180" s="24" t="s">
        <v>14</v>
      </c>
      <c r="AU180" s="24" t="s">
        <v>13</v>
      </c>
      <c r="AX180" s="4" t="s">
        <v>48</v>
      </c>
      <c r="AY180" s="4" t="s">
        <v>14</v>
      </c>
      <c r="AZ180" s="4" t="s">
        <v>13</v>
      </c>
      <c r="BA180" s="4" t="s">
        <v>48</v>
      </c>
      <c r="BB180" s="4" t="s">
        <v>14</v>
      </c>
      <c r="BC180" s="4" t="s">
        <v>13</v>
      </c>
      <c r="BD180" s="4" t="s">
        <v>48</v>
      </c>
      <c r="BE180" s="4" t="s">
        <v>14</v>
      </c>
      <c r="BF180" s="4" t="s">
        <v>13</v>
      </c>
      <c r="BG180" s="24" t="s">
        <v>48</v>
      </c>
      <c r="BH180" s="24" t="s">
        <v>14</v>
      </c>
      <c r="BI180" s="24" t="s">
        <v>13</v>
      </c>
    </row>
    <row r="181" spans="1:61" ht="14.4" x14ac:dyDescent="0.3">
      <c r="A181" s="8" t="s">
        <v>1</v>
      </c>
      <c r="B181" s="5">
        <v>31</v>
      </c>
      <c r="C181" s="5">
        <f>B181*24</f>
        <v>744</v>
      </c>
      <c r="D181" s="9">
        <f t="shared" ref="D181:D192" si="414">E181*1000/C181</f>
        <v>34.946236559139784</v>
      </c>
      <c r="E181" s="5">
        <v>26</v>
      </c>
      <c r="H181" s="10"/>
      <c r="J181" s="11">
        <v>1.61</v>
      </c>
      <c r="K181" s="12">
        <f t="shared" ref="K181:K192" si="415">J181*D181</f>
        <v>56.263440860215056</v>
      </c>
      <c r="L181" s="12">
        <f>$E181*J181</f>
        <v>41.86</v>
      </c>
      <c r="M181" s="11">
        <v>0.52</v>
      </c>
      <c r="N181" s="12">
        <f t="shared" ref="N181:N192" si="416">M181*D181</f>
        <v>18.172043010752688</v>
      </c>
      <c r="O181" s="12">
        <f>$E181*M181</f>
        <v>13.52</v>
      </c>
      <c r="P181" s="11">
        <v>1</v>
      </c>
      <c r="Q181" s="12">
        <f t="shared" ref="Q181:Q192" si="417">P181*D181</f>
        <v>34.946236559139784</v>
      </c>
      <c r="R181" s="12">
        <f>$E181*P181</f>
        <v>26</v>
      </c>
      <c r="S181" s="11">
        <v>1</v>
      </c>
      <c r="T181" s="12">
        <f t="shared" ref="T181:T192" si="418">S181*D181</f>
        <v>34.946236559139784</v>
      </c>
      <c r="U181" s="12">
        <f>$E181*S181</f>
        <v>26</v>
      </c>
      <c r="X181" s="10"/>
      <c r="Y181" s="10"/>
      <c r="Z181" s="11">
        <v>1.94</v>
      </c>
      <c r="AA181" s="12">
        <f>Z181*$D181</f>
        <v>67.795698924731184</v>
      </c>
      <c r="AB181" s="12">
        <f t="shared" ref="AB181:AB192" si="419">$E181*Z181</f>
        <v>50.44</v>
      </c>
      <c r="AC181" s="11">
        <v>0.51</v>
      </c>
      <c r="AD181" s="12">
        <f>AC181*$D181</f>
        <v>17.822580645161292</v>
      </c>
      <c r="AE181" s="12">
        <f t="shared" ref="AE181:AE192" si="420">$E181*AC181</f>
        <v>13.26</v>
      </c>
      <c r="AF181" s="11">
        <v>0.95</v>
      </c>
      <c r="AG181" s="12">
        <f>AF181*$D181</f>
        <v>33.198924731182792</v>
      </c>
      <c r="AH181" s="12">
        <f t="shared" ref="AH181:AH192" si="421">$E181*AF181</f>
        <v>24.7</v>
      </c>
      <c r="AI181" s="11">
        <v>0.95</v>
      </c>
      <c r="AJ181" s="12">
        <f>AI181*$D181</f>
        <v>33.198924731182792</v>
      </c>
      <c r="AK181" s="12">
        <f t="shared" ref="AK181:AK192" si="422">$E181*AI181</f>
        <v>24.7</v>
      </c>
      <c r="AN181" s="26">
        <f>(K181+AA181)/2</f>
        <v>62.02956989247312</v>
      </c>
      <c r="AO181" s="26">
        <f>(L181+AB181)/2</f>
        <v>46.15</v>
      </c>
      <c r="AP181" s="26">
        <f>(N181+AD181)/2</f>
        <v>17.997311827956992</v>
      </c>
      <c r="AQ181" s="26">
        <f>(O181+AE181)/2</f>
        <v>13.39</v>
      </c>
      <c r="AR181" s="26">
        <f>(Q181+AG181)/2</f>
        <v>34.072580645161288</v>
      </c>
      <c r="AS181" s="26">
        <f>(R181+AH181)/2</f>
        <v>25.35</v>
      </c>
      <c r="AT181" s="26">
        <f>(T181+AJ181)/2</f>
        <v>34.072580645161288</v>
      </c>
      <c r="AU181" s="26">
        <f>(U181+AK181)/2</f>
        <v>25.35</v>
      </c>
      <c r="AX181" s="11">
        <v>1.92</v>
      </c>
      <c r="AY181" s="12">
        <f>AX181*$D181</f>
        <v>67.096774193548384</v>
      </c>
      <c r="AZ181" s="12">
        <f t="shared" ref="AZ181:AZ192" si="423">$E181*AX181</f>
        <v>49.92</v>
      </c>
      <c r="BA181" s="11">
        <v>0.55000000000000004</v>
      </c>
      <c r="BB181" s="12">
        <f>BA181*$D181</f>
        <v>19.220430107526884</v>
      </c>
      <c r="BC181" s="12">
        <f t="shared" ref="BC181:BC192" si="424">$E181*BA181</f>
        <v>14.3</v>
      </c>
      <c r="BD181" s="11">
        <v>0.85</v>
      </c>
      <c r="BE181" s="12">
        <f>BD181*$D181</f>
        <v>29.704301075268816</v>
      </c>
      <c r="BF181" s="12">
        <f t="shared" ref="BF181:BF192" si="425">$E181*BD181</f>
        <v>22.099999999999998</v>
      </c>
      <c r="BG181" s="11">
        <v>0.85</v>
      </c>
      <c r="BH181" s="12">
        <f>BG181*$D181</f>
        <v>29.704301075268816</v>
      </c>
      <c r="BI181" s="12">
        <f t="shared" ref="BI181:BI192" si="426">$E181*BG181</f>
        <v>22.099999999999998</v>
      </c>
    </row>
    <row r="182" spans="1:61" ht="14.4" x14ac:dyDescent="0.3">
      <c r="A182" s="13" t="s">
        <v>2</v>
      </c>
      <c r="B182" s="5">
        <v>28</v>
      </c>
      <c r="C182" s="5">
        <f t="shared" ref="C182:C192" si="427">B182*24</f>
        <v>672</v>
      </c>
      <c r="D182" s="9">
        <f t="shared" si="414"/>
        <v>72.916666666666671</v>
      </c>
      <c r="E182" s="5">
        <v>49</v>
      </c>
      <c r="H182" s="10"/>
      <c r="J182" s="11">
        <v>1.45</v>
      </c>
      <c r="K182" s="12">
        <f t="shared" si="415"/>
        <v>105.72916666666667</v>
      </c>
      <c r="L182" s="12">
        <f t="shared" ref="L182:L192" si="428">$E182*J182</f>
        <v>71.05</v>
      </c>
      <c r="M182" s="11">
        <v>0.45</v>
      </c>
      <c r="N182" s="12">
        <f t="shared" si="416"/>
        <v>32.8125</v>
      </c>
      <c r="O182" s="12">
        <f t="shared" ref="O182:O192" si="429">$E182*M182</f>
        <v>22.05</v>
      </c>
      <c r="P182" s="11">
        <v>0.98</v>
      </c>
      <c r="Q182" s="12">
        <f t="shared" si="417"/>
        <v>71.458333333333343</v>
      </c>
      <c r="R182" s="12">
        <f t="shared" ref="R182:R192" si="430">$E182*P182</f>
        <v>48.019999999999996</v>
      </c>
      <c r="S182" s="11">
        <v>0.98</v>
      </c>
      <c r="T182" s="12">
        <f t="shared" si="418"/>
        <v>71.458333333333343</v>
      </c>
      <c r="U182" s="12">
        <f t="shared" ref="U182:U192" si="431">$E182*S182</f>
        <v>48.019999999999996</v>
      </c>
      <c r="X182" s="10"/>
      <c r="Y182" s="10"/>
      <c r="Z182" s="11">
        <v>1.64</v>
      </c>
      <c r="AA182" s="12">
        <f t="shared" ref="AA182:AA192" si="432">Z182*$D182</f>
        <v>119.58333333333333</v>
      </c>
      <c r="AB182" s="12">
        <f t="shared" si="419"/>
        <v>80.36</v>
      </c>
      <c r="AC182" s="11">
        <v>0.44</v>
      </c>
      <c r="AD182" s="12">
        <f t="shared" ref="AD182:AD192" si="433">AC182*$D182</f>
        <v>32.083333333333336</v>
      </c>
      <c r="AE182" s="12">
        <f t="shared" si="420"/>
        <v>21.56</v>
      </c>
      <c r="AF182" s="11">
        <v>0.92</v>
      </c>
      <c r="AG182" s="12">
        <f t="shared" ref="AG182:AG192" si="434">AF182*$D182</f>
        <v>67.083333333333343</v>
      </c>
      <c r="AH182" s="12">
        <f t="shared" si="421"/>
        <v>45.080000000000005</v>
      </c>
      <c r="AI182" s="11">
        <v>0.92</v>
      </c>
      <c r="AJ182" s="12">
        <f t="shared" ref="AJ182:AJ192" si="435">AI182*$D182</f>
        <v>67.083333333333343</v>
      </c>
      <c r="AK182" s="12">
        <f t="shared" si="422"/>
        <v>45.080000000000005</v>
      </c>
      <c r="AN182" s="26">
        <f t="shared" ref="AN182:AN192" si="436">(K182+AA182)/2</f>
        <v>112.65625</v>
      </c>
      <c r="AO182" s="26">
        <f t="shared" ref="AO182:AO187" si="437">(L182+AB182)/2</f>
        <v>75.704999999999998</v>
      </c>
      <c r="AP182" s="26">
        <f t="shared" ref="AP182:AP192" si="438">(N182+AD182)/2</f>
        <v>32.447916666666671</v>
      </c>
      <c r="AQ182" s="26">
        <f t="shared" ref="AQ182:AQ187" si="439">(O182+AE182)/2</f>
        <v>21.805</v>
      </c>
      <c r="AR182" s="26">
        <f t="shared" ref="AR182:AR192" si="440">(Q182+AG182)/2</f>
        <v>69.270833333333343</v>
      </c>
      <c r="AS182" s="26">
        <f t="shared" ref="AS182:AS192" si="441">(R182+AH182)/2</f>
        <v>46.55</v>
      </c>
      <c r="AT182" s="26">
        <f t="shared" ref="AT182:AT192" si="442">(T182+AJ182)/2</f>
        <v>69.270833333333343</v>
      </c>
      <c r="AU182" s="26">
        <f t="shared" ref="AU182:AU185" si="443">(U182+AK182)/2</f>
        <v>46.55</v>
      </c>
      <c r="AX182" s="11">
        <v>1.54</v>
      </c>
      <c r="AY182" s="12">
        <f t="shared" ref="AY182:AY192" si="444">AX182*$D182</f>
        <v>112.29166666666667</v>
      </c>
      <c r="AZ182" s="12">
        <f t="shared" si="423"/>
        <v>75.460000000000008</v>
      </c>
      <c r="BA182" s="11">
        <v>0.47</v>
      </c>
      <c r="BB182" s="12">
        <f t="shared" ref="BB182:BB192" si="445">BA182*$D182</f>
        <v>34.270833333333336</v>
      </c>
      <c r="BC182" s="12">
        <f t="shared" si="424"/>
        <v>23.029999999999998</v>
      </c>
      <c r="BD182" s="11">
        <v>0.8</v>
      </c>
      <c r="BE182" s="12">
        <f t="shared" ref="BE182:BE192" si="446">BD182*$D182</f>
        <v>58.333333333333343</v>
      </c>
      <c r="BF182" s="12">
        <f t="shared" si="425"/>
        <v>39.200000000000003</v>
      </c>
      <c r="BG182" s="11">
        <v>0.8</v>
      </c>
      <c r="BH182" s="12">
        <f t="shared" ref="BH182:BH192" si="447">BG182*$D182</f>
        <v>58.333333333333343</v>
      </c>
      <c r="BI182" s="12">
        <f t="shared" si="426"/>
        <v>39.200000000000003</v>
      </c>
    </row>
    <row r="183" spans="1:61" ht="14.4" x14ac:dyDescent="0.3">
      <c r="A183" s="13" t="s">
        <v>3</v>
      </c>
      <c r="B183" s="5">
        <v>31</v>
      </c>
      <c r="C183" s="5">
        <f t="shared" si="427"/>
        <v>744</v>
      </c>
      <c r="D183" s="9">
        <f t="shared" si="414"/>
        <v>119.6236559139785</v>
      </c>
      <c r="E183" s="5">
        <v>89</v>
      </c>
      <c r="H183" s="10"/>
      <c r="J183" s="11">
        <v>1.25</v>
      </c>
      <c r="K183" s="12">
        <f t="shared" si="415"/>
        <v>149.52956989247312</v>
      </c>
      <c r="L183" s="12">
        <f t="shared" si="428"/>
        <v>111.25</v>
      </c>
      <c r="M183" s="11">
        <v>0.52</v>
      </c>
      <c r="N183" s="12">
        <f t="shared" si="416"/>
        <v>62.204301075268823</v>
      </c>
      <c r="O183" s="12">
        <f t="shared" si="429"/>
        <v>46.28</v>
      </c>
      <c r="P183" s="11">
        <v>0.96</v>
      </c>
      <c r="Q183" s="12">
        <f t="shared" si="417"/>
        <v>114.83870967741935</v>
      </c>
      <c r="R183" s="12">
        <f t="shared" si="430"/>
        <v>85.44</v>
      </c>
      <c r="S183" s="11">
        <v>0.96</v>
      </c>
      <c r="T183" s="12">
        <f t="shared" si="418"/>
        <v>114.83870967741935</v>
      </c>
      <c r="U183" s="12">
        <f t="shared" si="431"/>
        <v>85.44</v>
      </c>
      <c r="X183" s="10"/>
      <c r="Y183" s="10"/>
      <c r="Z183" s="11">
        <v>1.28</v>
      </c>
      <c r="AA183" s="12">
        <f t="shared" si="432"/>
        <v>153.11827956989248</v>
      </c>
      <c r="AB183" s="12">
        <f t="shared" si="419"/>
        <v>113.92</v>
      </c>
      <c r="AC183" s="11">
        <v>0.35</v>
      </c>
      <c r="AD183" s="12">
        <f t="shared" si="433"/>
        <v>41.868279569892472</v>
      </c>
      <c r="AE183" s="12">
        <f t="shared" si="420"/>
        <v>31.15</v>
      </c>
      <c r="AF183" s="11">
        <v>0.85</v>
      </c>
      <c r="AG183" s="12">
        <f t="shared" si="434"/>
        <v>101.68010752688171</v>
      </c>
      <c r="AH183" s="12">
        <f t="shared" si="421"/>
        <v>75.649999999999991</v>
      </c>
      <c r="AI183" s="11">
        <v>0.85</v>
      </c>
      <c r="AJ183" s="12">
        <f t="shared" si="435"/>
        <v>101.68010752688171</v>
      </c>
      <c r="AK183" s="12">
        <f t="shared" si="422"/>
        <v>75.649999999999991</v>
      </c>
      <c r="AN183" s="26">
        <f t="shared" si="436"/>
        <v>151.32392473118279</v>
      </c>
      <c r="AO183" s="26">
        <f t="shared" si="437"/>
        <v>112.58500000000001</v>
      </c>
      <c r="AP183" s="26">
        <f t="shared" si="438"/>
        <v>52.036290322580648</v>
      </c>
      <c r="AQ183" s="26">
        <f t="shared" si="439"/>
        <v>38.715000000000003</v>
      </c>
      <c r="AR183" s="26">
        <f t="shared" si="440"/>
        <v>108.25940860215053</v>
      </c>
      <c r="AS183" s="26">
        <f t="shared" si="441"/>
        <v>80.544999999999987</v>
      </c>
      <c r="AT183" s="26">
        <f t="shared" si="442"/>
        <v>108.25940860215053</v>
      </c>
      <c r="AU183" s="26">
        <f t="shared" si="443"/>
        <v>80.544999999999987</v>
      </c>
      <c r="AX183" s="11">
        <v>1.06</v>
      </c>
      <c r="AY183" s="12">
        <f t="shared" si="444"/>
        <v>126.80107526881721</v>
      </c>
      <c r="AZ183" s="12">
        <f t="shared" si="423"/>
        <v>94.34</v>
      </c>
      <c r="BA183" s="11">
        <v>0.34</v>
      </c>
      <c r="BB183" s="12">
        <f t="shared" si="445"/>
        <v>40.672043010752688</v>
      </c>
      <c r="BC183" s="12">
        <f t="shared" si="424"/>
        <v>30.26</v>
      </c>
      <c r="BD183" s="11">
        <v>0.67</v>
      </c>
      <c r="BE183" s="12">
        <f t="shared" si="446"/>
        <v>80.147849462365599</v>
      </c>
      <c r="BF183" s="12">
        <f t="shared" si="425"/>
        <v>59.63</v>
      </c>
      <c r="BG183" s="11">
        <v>0.67</v>
      </c>
      <c r="BH183" s="12">
        <f t="shared" si="447"/>
        <v>80.147849462365599</v>
      </c>
      <c r="BI183" s="12">
        <f t="shared" si="426"/>
        <v>59.63</v>
      </c>
    </row>
    <row r="184" spans="1:61" ht="14.4" x14ac:dyDescent="0.3">
      <c r="A184" s="13" t="s">
        <v>4</v>
      </c>
      <c r="B184" s="5">
        <v>30</v>
      </c>
      <c r="C184" s="5">
        <f t="shared" si="427"/>
        <v>720</v>
      </c>
      <c r="D184" s="9">
        <f t="shared" si="414"/>
        <v>186.11111111111111</v>
      </c>
      <c r="E184" s="5">
        <v>134</v>
      </c>
      <c r="H184" s="10"/>
      <c r="J184" s="11">
        <v>1.0900000000000001</v>
      </c>
      <c r="K184" s="12">
        <f t="shared" si="415"/>
        <v>202.86111111111114</v>
      </c>
      <c r="L184" s="12">
        <f t="shared" si="428"/>
        <v>146.06</v>
      </c>
      <c r="M184" s="11">
        <v>0.68</v>
      </c>
      <c r="N184" s="12">
        <f t="shared" si="416"/>
        <v>126.55555555555557</v>
      </c>
      <c r="O184" s="12">
        <f t="shared" si="429"/>
        <v>91.12</v>
      </c>
      <c r="P184" s="11">
        <v>0.94</v>
      </c>
      <c r="Q184" s="12">
        <f t="shared" si="417"/>
        <v>174.94444444444443</v>
      </c>
      <c r="R184" s="12">
        <f t="shared" si="430"/>
        <v>125.96</v>
      </c>
      <c r="S184" s="11">
        <v>0.94</v>
      </c>
      <c r="T184" s="12">
        <f t="shared" si="418"/>
        <v>174.94444444444443</v>
      </c>
      <c r="U184" s="12">
        <f t="shared" si="431"/>
        <v>125.96</v>
      </c>
      <c r="X184" s="10"/>
      <c r="Y184" s="10"/>
      <c r="Z184" s="11">
        <v>0.99</v>
      </c>
      <c r="AA184" s="12">
        <f>Z184*$D184</f>
        <v>184.25</v>
      </c>
      <c r="AB184" s="12">
        <f t="shared" si="419"/>
        <v>132.66</v>
      </c>
      <c r="AC184" s="11">
        <v>0.34</v>
      </c>
      <c r="AD184" s="12">
        <f>AC184*$D184</f>
        <v>63.277777777777786</v>
      </c>
      <c r="AE184" s="12">
        <f t="shared" si="420"/>
        <v>45.56</v>
      </c>
      <c r="AF184" s="11">
        <v>0.81</v>
      </c>
      <c r="AG184" s="12">
        <f>AF184*$D184</f>
        <v>150.75</v>
      </c>
      <c r="AH184" s="12">
        <f t="shared" si="421"/>
        <v>108.54</v>
      </c>
      <c r="AI184" s="11">
        <v>0.81</v>
      </c>
      <c r="AJ184" s="12">
        <f>AI184*$D184</f>
        <v>150.75</v>
      </c>
      <c r="AK184" s="12">
        <f t="shared" si="422"/>
        <v>108.54</v>
      </c>
      <c r="AN184" s="26">
        <f t="shared" si="436"/>
        <v>193.55555555555557</v>
      </c>
      <c r="AO184" s="26">
        <f t="shared" si="437"/>
        <v>139.36000000000001</v>
      </c>
      <c r="AP184" s="26">
        <f t="shared" si="438"/>
        <v>94.916666666666686</v>
      </c>
      <c r="AQ184" s="26">
        <f t="shared" si="439"/>
        <v>68.34</v>
      </c>
      <c r="AR184" s="26">
        <f t="shared" si="440"/>
        <v>162.84722222222223</v>
      </c>
      <c r="AS184" s="26">
        <f t="shared" si="441"/>
        <v>117.25</v>
      </c>
      <c r="AT184" s="26">
        <f t="shared" si="442"/>
        <v>162.84722222222223</v>
      </c>
      <c r="AU184" s="26">
        <f t="shared" si="443"/>
        <v>117.25</v>
      </c>
      <c r="AX184" s="11">
        <v>0.72</v>
      </c>
      <c r="AY184" s="12">
        <f>AX184*$D184</f>
        <v>134</v>
      </c>
      <c r="AZ184" s="12">
        <f t="shared" si="423"/>
        <v>96.47999999999999</v>
      </c>
      <c r="BA184" s="11">
        <v>0.3</v>
      </c>
      <c r="BB184" s="12">
        <f>BA184*$D184</f>
        <v>55.833333333333336</v>
      </c>
      <c r="BC184" s="12">
        <f t="shared" si="424"/>
        <v>40.199999999999996</v>
      </c>
      <c r="BD184" s="11">
        <v>0.59</v>
      </c>
      <c r="BE184" s="12">
        <f>BD184*$D184</f>
        <v>109.80555555555556</v>
      </c>
      <c r="BF184" s="12">
        <f t="shared" si="425"/>
        <v>79.06</v>
      </c>
      <c r="BG184" s="11">
        <v>0.59</v>
      </c>
      <c r="BH184" s="12">
        <f>BG184*$D184</f>
        <v>109.80555555555556</v>
      </c>
      <c r="BI184" s="12">
        <f t="shared" si="426"/>
        <v>79.06</v>
      </c>
    </row>
    <row r="185" spans="1:61" ht="14.4" x14ac:dyDescent="0.3">
      <c r="A185" s="13" t="s">
        <v>22</v>
      </c>
      <c r="B185" s="5">
        <v>31</v>
      </c>
      <c r="C185" s="5">
        <f t="shared" si="427"/>
        <v>744</v>
      </c>
      <c r="D185" s="9">
        <f t="shared" si="414"/>
        <v>219.08602150537635</v>
      </c>
      <c r="E185" s="5">
        <v>163</v>
      </c>
      <c r="H185" s="10"/>
      <c r="J185" s="11">
        <v>1.01</v>
      </c>
      <c r="K185" s="12">
        <f t="shared" si="415"/>
        <v>221.27688172043011</v>
      </c>
      <c r="L185" s="12">
        <f t="shared" si="428"/>
        <v>164.63</v>
      </c>
      <c r="M185" s="11">
        <v>0.79</v>
      </c>
      <c r="N185" s="12">
        <f t="shared" si="416"/>
        <v>173.07795698924733</v>
      </c>
      <c r="O185" s="12">
        <f t="shared" si="429"/>
        <v>128.77000000000001</v>
      </c>
      <c r="P185" s="11">
        <v>0.94</v>
      </c>
      <c r="Q185" s="12">
        <f t="shared" si="417"/>
        <v>205.94086021505376</v>
      </c>
      <c r="R185" s="12">
        <f t="shared" si="430"/>
        <v>153.22</v>
      </c>
      <c r="S185" s="11">
        <v>0.94</v>
      </c>
      <c r="T185" s="12">
        <f t="shared" si="418"/>
        <v>205.94086021505376</v>
      </c>
      <c r="U185" s="12">
        <f t="shared" si="431"/>
        <v>153.22</v>
      </c>
      <c r="X185" s="10"/>
      <c r="Y185" s="10"/>
      <c r="Z185" s="11">
        <v>0.84</v>
      </c>
      <c r="AA185" s="12">
        <f t="shared" si="432"/>
        <v>184.03225806451613</v>
      </c>
      <c r="AB185" s="12">
        <f t="shared" si="419"/>
        <v>136.91999999999999</v>
      </c>
      <c r="AC185" s="11">
        <v>0.4</v>
      </c>
      <c r="AD185" s="12">
        <f t="shared" si="433"/>
        <v>87.634408602150543</v>
      </c>
      <c r="AE185" s="12">
        <f t="shared" si="420"/>
        <v>65.2</v>
      </c>
      <c r="AF185" s="11">
        <v>0.79</v>
      </c>
      <c r="AG185" s="12">
        <f t="shared" si="434"/>
        <v>173.07795698924733</v>
      </c>
      <c r="AH185" s="12">
        <f t="shared" si="421"/>
        <v>128.77000000000001</v>
      </c>
      <c r="AI185" s="11">
        <v>0.79</v>
      </c>
      <c r="AJ185" s="12">
        <f t="shared" si="435"/>
        <v>173.07795698924733</v>
      </c>
      <c r="AK185" s="12">
        <f t="shared" si="422"/>
        <v>128.77000000000001</v>
      </c>
      <c r="AN185" s="26">
        <f t="shared" si="436"/>
        <v>202.65456989247312</v>
      </c>
      <c r="AO185" s="26">
        <f t="shared" si="437"/>
        <v>150.77499999999998</v>
      </c>
      <c r="AP185" s="26">
        <f t="shared" si="438"/>
        <v>130.35618279569894</v>
      </c>
      <c r="AQ185" s="26">
        <f t="shared" si="439"/>
        <v>96.985000000000014</v>
      </c>
      <c r="AR185" s="26">
        <f t="shared" si="440"/>
        <v>189.50940860215053</v>
      </c>
      <c r="AS185" s="26">
        <f t="shared" si="441"/>
        <v>140.995</v>
      </c>
      <c r="AT185" s="26">
        <f t="shared" si="442"/>
        <v>189.50940860215053</v>
      </c>
      <c r="AU185" s="26">
        <f t="shared" si="443"/>
        <v>140.995</v>
      </c>
      <c r="AX185" s="11">
        <v>0.55000000000000004</v>
      </c>
      <c r="AY185" s="12">
        <f t="shared" si="444"/>
        <v>120.49731182795701</v>
      </c>
      <c r="AZ185" s="12">
        <f t="shared" si="423"/>
        <v>89.65</v>
      </c>
      <c r="BA185" s="11">
        <v>0.3</v>
      </c>
      <c r="BB185" s="12">
        <f t="shared" si="445"/>
        <v>65.725806451612897</v>
      </c>
      <c r="BC185" s="12">
        <f t="shared" si="424"/>
        <v>48.9</v>
      </c>
      <c r="BD185" s="11">
        <v>0.56000000000000005</v>
      </c>
      <c r="BE185" s="12">
        <f t="shared" si="446"/>
        <v>122.68817204301077</v>
      </c>
      <c r="BF185" s="12">
        <f t="shared" si="425"/>
        <v>91.280000000000015</v>
      </c>
      <c r="BG185" s="11">
        <v>0.56000000000000005</v>
      </c>
      <c r="BH185" s="12">
        <f t="shared" si="447"/>
        <v>122.68817204301077</v>
      </c>
      <c r="BI185" s="12">
        <f t="shared" si="426"/>
        <v>91.280000000000015</v>
      </c>
    </row>
    <row r="186" spans="1:61" ht="14.4" x14ac:dyDescent="0.3">
      <c r="A186" s="13" t="s">
        <v>23</v>
      </c>
      <c r="B186" s="5">
        <v>30</v>
      </c>
      <c r="C186" s="5">
        <f t="shared" si="427"/>
        <v>720</v>
      </c>
      <c r="D186" s="9">
        <f t="shared" si="414"/>
        <v>247.22222222222223</v>
      </c>
      <c r="E186" s="5">
        <v>178</v>
      </c>
      <c r="H186" s="10"/>
      <c r="I186" s="4" t="s">
        <v>37</v>
      </c>
      <c r="J186" s="11">
        <v>0.97</v>
      </c>
      <c r="K186" s="12">
        <f t="shared" si="415"/>
        <v>239.80555555555554</v>
      </c>
      <c r="L186" s="12">
        <f t="shared" si="428"/>
        <v>172.66</v>
      </c>
      <c r="M186" s="11">
        <v>0.82</v>
      </c>
      <c r="N186" s="12">
        <f t="shared" si="416"/>
        <v>202.72222222222223</v>
      </c>
      <c r="O186" s="12">
        <f t="shared" si="429"/>
        <v>145.95999999999998</v>
      </c>
      <c r="P186" s="11">
        <v>0.93</v>
      </c>
      <c r="Q186" s="12">
        <f t="shared" si="417"/>
        <v>229.91666666666669</v>
      </c>
      <c r="R186" s="12">
        <f t="shared" si="430"/>
        <v>165.54000000000002</v>
      </c>
      <c r="S186" s="11">
        <v>0.93</v>
      </c>
      <c r="T186" s="12">
        <f t="shared" si="418"/>
        <v>229.91666666666669</v>
      </c>
      <c r="U186" s="12">
        <f t="shared" si="431"/>
        <v>165.54000000000002</v>
      </c>
      <c r="W186" s="4" t="s">
        <v>37</v>
      </c>
      <c r="X186" s="10"/>
      <c r="Y186" s="10"/>
      <c r="Z186" s="11">
        <v>0.78</v>
      </c>
      <c r="AA186" s="12">
        <f t="shared" si="432"/>
        <v>192.83333333333334</v>
      </c>
      <c r="AB186" s="12">
        <f t="shared" si="419"/>
        <v>138.84</v>
      </c>
      <c r="AC186" s="11">
        <v>0.45</v>
      </c>
      <c r="AD186" s="12">
        <f t="shared" si="433"/>
        <v>111.25</v>
      </c>
      <c r="AE186" s="12">
        <f t="shared" si="420"/>
        <v>80.100000000000009</v>
      </c>
      <c r="AF186" s="11">
        <v>0.78</v>
      </c>
      <c r="AG186" s="12">
        <f t="shared" si="434"/>
        <v>192.83333333333334</v>
      </c>
      <c r="AH186" s="12">
        <f t="shared" si="421"/>
        <v>138.84</v>
      </c>
      <c r="AI186" s="11">
        <v>0.78</v>
      </c>
      <c r="AJ186" s="12">
        <f t="shared" si="435"/>
        <v>192.83333333333334</v>
      </c>
      <c r="AK186" s="12">
        <f t="shared" si="422"/>
        <v>138.84</v>
      </c>
      <c r="AM186" s="4" t="s">
        <v>37</v>
      </c>
      <c r="AN186" s="26">
        <f t="shared" si="436"/>
        <v>216.31944444444446</v>
      </c>
      <c r="AO186" s="26">
        <f t="shared" si="437"/>
        <v>155.75</v>
      </c>
      <c r="AP186" s="26">
        <f t="shared" si="438"/>
        <v>156.98611111111111</v>
      </c>
      <c r="AQ186" s="26">
        <f t="shared" si="439"/>
        <v>113.03</v>
      </c>
      <c r="AR186" s="26">
        <f t="shared" si="440"/>
        <v>211.375</v>
      </c>
      <c r="AS186" s="26">
        <f t="shared" si="441"/>
        <v>152.19</v>
      </c>
      <c r="AT186" s="26">
        <f t="shared" si="442"/>
        <v>211.375</v>
      </c>
      <c r="AU186" s="26">
        <f>(U186+AK186)/2</f>
        <v>152.19</v>
      </c>
      <c r="AW186" s="4" t="s">
        <v>37</v>
      </c>
      <c r="AX186" s="11">
        <v>0.5</v>
      </c>
      <c r="AY186" s="12">
        <f t="shared" si="444"/>
        <v>123.61111111111111</v>
      </c>
      <c r="AZ186" s="12">
        <f t="shared" si="423"/>
        <v>89</v>
      </c>
      <c r="BA186" s="11">
        <v>0.32</v>
      </c>
      <c r="BB186" s="12">
        <f t="shared" si="445"/>
        <v>79.111111111111114</v>
      </c>
      <c r="BC186" s="12">
        <f t="shared" si="424"/>
        <v>56.96</v>
      </c>
      <c r="BD186" s="11">
        <v>0.55000000000000004</v>
      </c>
      <c r="BE186" s="12">
        <f t="shared" si="446"/>
        <v>135.97222222222223</v>
      </c>
      <c r="BF186" s="12">
        <f t="shared" si="425"/>
        <v>97.9</v>
      </c>
      <c r="BG186" s="11">
        <v>0.55000000000000004</v>
      </c>
      <c r="BH186" s="12">
        <f t="shared" si="447"/>
        <v>135.97222222222223</v>
      </c>
      <c r="BI186" s="12">
        <f t="shared" si="426"/>
        <v>97.9</v>
      </c>
    </row>
    <row r="187" spans="1:61" ht="14.4" x14ac:dyDescent="0.3">
      <c r="A187" s="13" t="s">
        <v>24</v>
      </c>
      <c r="B187" s="5">
        <v>31</v>
      </c>
      <c r="C187" s="5">
        <f t="shared" si="427"/>
        <v>744</v>
      </c>
      <c r="D187" s="9">
        <f t="shared" si="414"/>
        <v>229.83870967741936</v>
      </c>
      <c r="E187" s="5">
        <v>171</v>
      </c>
      <c r="H187" s="10"/>
      <c r="I187" s="4">
        <v>2</v>
      </c>
      <c r="J187" s="11">
        <v>0.98</v>
      </c>
      <c r="K187" s="12">
        <f t="shared" si="415"/>
        <v>225.24193548387098</v>
      </c>
      <c r="L187" s="12">
        <f t="shared" si="428"/>
        <v>167.57999999999998</v>
      </c>
      <c r="M187" s="11">
        <v>0.81</v>
      </c>
      <c r="N187" s="12">
        <f t="shared" si="416"/>
        <v>186.16935483870969</v>
      </c>
      <c r="O187" s="12">
        <f t="shared" si="429"/>
        <v>138.51000000000002</v>
      </c>
      <c r="P187" s="11">
        <v>0.93</v>
      </c>
      <c r="Q187" s="12">
        <f t="shared" si="417"/>
        <v>213.75000000000003</v>
      </c>
      <c r="R187" s="12">
        <f t="shared" si="430"/>
        <v>159.03</v>
      </c>
      <c r="S187" s="11">
        <v>0.93</v>
      </c>
      <c r="T187" s="12">
        <f t="shared" si="418"/>
        <v>213.75000000000003</v>
      </c>
      <c r="U187" s="12">
        <f t="shared" si="431"/>
        <v>159.03</v>
      </c>
      <c r="W187" s="4">
        <v>2</v>
      </c>
      <c r="X187" s="10"/>
      <c r="Y187" s="10"/>
      <c r="Z187" s="11">
        <v>0.81</v>
      </c>
      <c r="AA187" s="12">
        <f t="shared" si="432"/>
        <v>186.16935483870969</v>
      </c>
      <c r="AB187" s="12">
        <f t="shared" si="419"/>
        <v>138.51000000000002</v>
      </c>
      <c r="AC187" s="11">
        <v>0.42</v>
      </c>
      <c r="AD187" s="12">
        <f t="shared" si="433"/>
        <v>96.532258064516128</v>
      </c>
      <c r="AE187" s="12">
        <f t="shared" si="420"/>
        <v>71.819999999999993</v>
      </c>
      <c r="AF187" s="11">
        <v>0.78</v>
      </c>
      <c r="AG187" s="12">
        <f t="shared" si="434"/>
        <v>179.2741935483871</v>
      </c>
      <c r="AH187" s="12">
        <f t="shared" si="421"/>
        <v>133.38</v>
      </c>
      <c r="AI187" s="11">
        <v>0.78</v>
      </c>
      <c r="AJ187" s="12">
        <f t="shared" si="435"/>
        <v>179.2741935483871</v>
      </c>
      <c r="AK187" s="12">
        <f t="shared" si="422"/>
        <v>133.38</v>
      </c>
      <c r="AM187" s="4">
        <v>2</v>
      </c>
      <c r="AN187" s="26">
        <f t="shared" si="436"/>
        <v>205.70564516129033</v>
      </c>
      <c r="AO187" s="26">
        <f t="shared" si="437"/>
        <v>153.04500000000002</v>
      </c>
      <c r="AP187" s="26">
        <f t="shared" si="438"/>
        <v>141.35080645161293</v>
      </c>
      <c r="AQ187" s="26">
        <f t="shared" si="439"/>
        <v>105.16500000000001</v>
      </c>
      <c r="AR187" s="26">
        <f t="shared" si="440"/>
        <v>196.51209677419357</v>
      </c>
      <c r="AS187" s="26">
        <f t="shared" si="441"/>
        <v>146.20499999999998</v>
      </c>
      <c r="AT187" s="26">
        <f t="shared" si="442"/>
        <v>196.51209677419357</v>
      </c>
      <c r="AU187" s="26">
        <f t="shared" ref="AU187:AU188" si="448">(U187+AK187)/2</f>
        <v>146.20499999999998</v>
      </c>
      <c r="AW187" s="4" t="s">
        <v>65</v>
      </c>
      <c r="AX187" s="11">
        <v>0.52</v>
      </c>
      <c r="AY187" s="12">
        <f t="shared" si="444"/>
        <v>119.51612903225806</v>
      </c>
      <c r="AZ187" s="12">
        <f t="shared" si="423"/>
        <v>88.92</v>
      </c>
      <c r="BA187" s="11">
        <v>0.31</v>
      </c>
      <c r="BB187" s="12">
        <f t="shared" si="445"/>
        <v>71.25</v>
      </c>
      <c r="BC187" s="12">
        <f t="shared" si="424"/>
        <v>53.01</v>
      </c>
      <c r="BD187" s="11">
        <v>0.55000000000000004</v>
      </c>
      <c r="BE187" s="12">
        <f t="shared" si="446"/>
        <v>126.41129032258065</v>
      </c>
      <c r="BF187" s="12">
        <f t="shared" si="425"/>
        <v>94.050000000000011</v>
      </c>
      <c r="BG187" s="11">
        <v>0.55000000000000004</v>
      </c>
      <c r="BH187" s="12">
        <f t="shared" si="447"/>
        <v>126.41129032258065</v>
      </c>
      <c r="BI187" s="12">
        <f t="shared" si="426"/>
        <v>94.050000000000011</v>
      </c>
    </row>
    <row r="188" spans="1:61" ht="14.4" x14ac:dyDescent="0.3">
      <c r="A188" s="13" t="s">
        <v>25</v>
      </c>
      <c r="B188" s="5">
        <v>31</v>
      </c>
      <c r="C188" s="5">
        <f t="shared" si="427"/>
        <v>744</v>
      </c>
      <c r="D188" s="9">
        <f t="shared" si="414"/>
        <v>200.26881720430109</v>
      </c>
      <c r="E188" s="5">
        <v>149</v>
      </c>
      <c r="H188" s="10"/>
      <c r="J188" s="11">
        <v>1.04</v>
      </c>
      <c r="K188" s="12">
        <f t="shared" si="415"/>
        <v>208.27956989247315</v>
      </c>
      <c r="L188" s="12">
        <f t="shared" si="428"/>
        <v>154.96</v>
      </c>
      <c r="M188" s="11">
        <v>0.73</v>
      </c>
      <c r="N188" s="12">
        <f t="shared" si="416"/>
        <v>146.19623655913978</v>
      </c>
      <c r="O188" s="12">
        <f t="shared" si="429"/>
        <v>108.77</v>
      </c>
      <c r="P188" s="11">
        <v>0.94</v>
      </c>
      <c r="Q188" s="12">
        <f t="shared" si="417"/>
        <v>188.25268817204301</v>
      </c>
      <c r="R188" s="12">
        <f t="shared" si="430"/>
        <v>140.06</v>
      </c>
      <c r="S188" s="11">
        <v>0.94</v>
      </c>
      <c r="T188" s="12">
        <f t="shared" si="418"/>
        <v>188.25268817204301</v>
      </c>
      <c r="U188" s="12">
        <f t="shared" si="431"/>
        <v>140.06</v>
      </c>
      <c r="X188" s="10"/>
      <c r="Y188" s="10"/>
      <c r="Z188" s="11">
        <v>0.91</v>
      </c>
      <c r="AA188" s="12">
        <f t="shared" si="432"/>
        <v>182.24462365591398</v>
      </c>
      <c r="AB188" s="12">
        <f t="shared" si="419"/>
        <v>135.59</v>
      </c>
      <c r="AC188" s="11">
        <v>0.35</v>
      </c>
      <c r="AD188" s="12">
        <f t="shared" si="433"/>
        <v>70.094086021505376</v>
      </c>
      <c r="AE188" s="12">
        <f t="shared" si="420"/>
        <v>52.15</v>
      </c>
      <c r="AF188" s="11">
        <v>0.79</v>
      </c>
      <c r="AG188" s="12">
        <f t="shared" si="434"/>
        <v>158.21236559139786</v>
      </c>
      <c r="AH188" s="12">
        <f t="shared" si="421"/>
        <v>117.71000000000001</v>
      </c>
      <c r="AI188" s="11">
        <v>0.79</v>
      </c>
      <c r="AJ188" s="12">
        <f t="shared" si="435"/>
        <v>158.21236559139786</v>
      </c>
      <c r="AK188" s="12">
        <f t="shared" si="422"/>
        <v>117.71000000000001</v>
      </c>
      <c r="AN188" s="26">
        <f t="shared" si="436"/>
        <v>195.26209677419357</v>
      </c>
      <c r="AO188" s="26">
        <f>(L188+AB188)/2</f>
        <v>145.27500000000001</v>
      </c>
      <c r="AP188" s="26">
        <f t="shared" si="438"/>
        <v>108.14516129032258</v>
      </c>
      <c r="AQ188" s="26">
        <f>(O188+AE188)/2</f>
        <v>80.459999999999994</v>
      </c>
      <c r="AR188" s="26">
        <f t="shared" si="440"/>
        <v>173.23252688172045</v>
      </c>
      <c r="AS188" s="26">
        <f t="shared" si="441"/>
        <v>128.88499999999999</v>
      </c>
      <c r="AT188" s="26">
        <f t="shared" si="442"/>
        <v>173.23252688172045</v>
      </c>
      <c r="AU188" s="26">
        <f t="shared" si="448"/>
        <v>128.88499999999999</v>
      </c>
      <c r="AX188" s="11">
        <v>0.62</v>
      </c>
      <c r="AY188" s="12">
        <f t="shared" si="444"/>
        <v>124.16666666666667</v>
      </c>
      <c r="AZ188" s="12">
        <f t="shared" si="423"/>
        <v>92.38</v>
      </c>
      <c r="BA188" s="11">
        <v>0.3</v>
      </c>
      <c r="BB188" s="12">
        <f t="shared" si="445"/>
        <v>60.08064516129032</v>
      </c>
      <c r="BC188" s="12">
        <f t="shared" si="424"/>
        <v>44.699999999999996</v>
      </c>
      <c r="BD188" s="11">
        <v>0.56999999999999995</v>
      </c>
      <c r="BE188" s="12">
        <f t="shared" si="446"/>
        <v>114.15322580645162</v>
      </c>
      <c r="BF188" s="12">
        <f t="shared" si="425"/>
        <v>84.929999999999993</v>
      </c>
      <c r="BG188" s="11">
        <v>0.56999999999999995</v>
      </c>
      <c r="BH188" s="12">
        <f t="shared" si="447"/>
        <v>114.15322580645162</v>
      </c>
      <c r="BI188" s="12">
        <f t="shared" si="426"/>
        <v>84.929999999999993</v>
      </c>
    </row>
    <row r="189" spans="1:61" ht="14.4" x14ac:dyDescent="0.3">
      <c r="A189" s="13" t="s">
        <v>26</v>
      </c>
      <c r="B189" s="5">
        <v>30</v>
      </c>
      <c r="C189" s="5">
        <f t="shared" si="427"/>
        <v>720</v>
      </c>
      <c r="D189" s="9">
        <f t="shared" si="414"/>
        <v>154.16666666666666</v>
      </c>
      <c r="E189" s="5">
        <v>111</v>
      </c>
      <c r="H189" s="10"/>
      <c r="J189" s="11">
        <v>1.17</v>
      </c>
      <c r="K189" s="12">
        <f t="shared" si="415"/>
        <v>180.37499999999997</v>
      </c>
      <c r="L189" s="12">
        <f t="shared" si="428"/>
        <v>129.87</v>
      </c>
      <c r="M189" s="11">
        <v>0.59</v>
      </c>
      <c r="N189" s="12">
        <f t="shared" si="416"/>
        <v>90.958333333333329</v>
      </c>
      <c r="O189" s="12">
        <f t="shared" si="429"/>
        <v>65.489999999999995</v>
      </c>
      <c r="P189" s="11">
        <v>0.95</v>
      </c>
      <c r="Q189" s="12">
        <f t="shared" si="417"/>
        <v>146.45833333333331</v>
      </c>
      <c r="R189" s="12">
        <f t="shared" si="430"/>
        <v>105.44999999999999</v>
      </c>
      <c r="S189" s="11">
        <v>0.95</v>
      </c>
      <c r="T189" s="12">
        <f t="shared" si="418"/>
        <v>146.45833333333331</v>
      </c>
      <c r="U189" s="12">
        <f t="shared" si="431"/>
        <v>105.44999999999999</v>
      </c>
      <c r="X189" s="10"/>
      <c r="Y189" s="10"/>
      <c r="Z189" s="11">
        <v>1.1100000000000001</v>
      </c>
      <c r="AA189" s="12">
        <f t="shared" si="432"/>
        <v>171.125</v>
      </c>
      <c r="AB189" s="12">
        <f t="shared" si="419"/>
        <v>123.21000000000001</v>
      </c>
      <c r="AC189" s="11">
        <v>0.31</v>
      </c>
      <c r="AD189" s="12">
        <f t="shared" si="433"/>
        <v>47.791666666666664</v>
      </c>
      <c r="AE189" s="12">
        <f t="shared" si="420"/>
        <v>34.409999999999997</v>
      </c>
      <c r="AF189" s="11">
        <v>0.81</v>
      </c>
      <c r="AG189" s="12">
        <f t="shared" si="434"/>
        <v>124.875</v>
      </c>
      <c r="AH189" s="12">
        <f t="shared" si="421"/>
        <v>89.910000000000011</v>
      </c>
      <c r="AI189" s="11">
        <v>0.81</v>
      </c>
      <c r="AJ189" s="12">
        <f t="shared" si="435"/>
        <v>124.875</v>
      </c>
      <c r="AK189" s="12">
        <f t="shared" si="422"/>
        <v>89.910000000000011</v>
      </c>
      <c r="AN189" s="26">
        <f t="shared" si="436"/>
        <v>175.75</v>
      </c>
      <c r="AO189" s="26">
        <f t="shared" ref="AO189:AO192" si="449">(L189+AB189)/2</f>
        <v>126.54</v>
      </c>
      <c r="AP189" s="26">
        <f t="shared" si="438"/>
        <v>69.375</v>
      </c>
      <c r="AQ189" s="26">
        <f t="shared" ref="AQ189:AQ192" si="450">(O189+AE189)/2</f>
        <v>49.949999999999996</v>
      </c>
      <c r="AR189" s="26">
        <f t="shared" si="440"/>
        <v>135.66666666666666</v>
      </c>
      <c r="AS189" s="26">
        <f t="shared" si="441"/>
        <v>97.68</v>
      </c>
      <c r="AT189" s="26">
        <f t="shared" si="442"/>
        <v>135.66666666666666</v>
      </c>
      <c r="AU189" s="26">
        <f>(U189+AK189)/2</f>
        <v>97.68</v>
      </c>
      <c r="AX189" s="11">
        <v>0.85</v>
      </c>
      <c r="AY189" s="12">
        <f t="shared" si="444"/>
        <v>131.04166666666666</v>
      </c>
      <c r="AZ189" s="12">
        <f t="shared" si="423"/>
        <v>94.35</v>
      </c>
      <c r="BA189" s="11">
        <v>0.28000000000000003</v>
      </c>
      <c r="BB189" s="12">
        <f t="shared" si="445"/>
        <v>43.166666666666671</v>
      </c>
      <c r="BC189" s="12">
        <f t="shared" si="424"/>
        <v>31.080000000000002</v>
      </c>
      <c r="BD189" s="11">
        <v>0.6</v>
      </c>
      <c r="BE189" s="12">
        <f t="shared" si="446"/>
        <v>92.499999999999986</v>
      </c>
      <c r="BF189" s="12">
        <f t="shared" si="425"/>
        <v>66.599999999999994</v>
      </c>
      <c r="BG189" s="11">
        <v>0.6</v>
      </c>
      <c r="BH189" s="12">
        <f t="shared" si="447"/>
        <v>92.499999999999986</v>
      </c>
      <c r="BI189" s="12">
        <f t="shared" si="426"/>
        <v>66.599999999999994</v>
      </c>
    </row>
    <row r="190" spans="1:61" ht="14.4" x14ac:dyDescent="0.3">
      <c r="A190" s="13" t="s">
        <v>5</v>
      </c>
      <c r="B190" s="5">
        <v>31</v>
      </c>
      <c r="C190" s="5">
        <f t="shared" si="427"/>
        <v>744</v>
      </c>
      <c r="D190" s="9">
        <f t="shared" si="414"/>
        <v>87.365591397849457</v>
      </c>
      <c r="E190" s="5">
        <v>65</v>
      </c>
      <c r="H190" s="10"/>
      <c r="J190" s="11">
        <v>1.33</v>
      </c>
      <c r="K190" s="12">
        <f t="shared" si="415"/>
        <v>116.19623655913978</v>
      </c>
      <c r="L190" s="12">
        <f t="shared" si="428"/>
        <v>86.45</v>
      </c>
      <c r="M190" s="11">
        <v>0.45</v>
      </c>
      <c r="N190" s="12">
        <f t="shared" si="416"/>
        <v>39.314516129032256</v>
      </c>
      <c r="O190" s="12">
        <f t="shared" si="429"/>
        <v>29.25</v>
      </c>
      <c r="P190" s="11">
        <v>0.96</v>
      </c>
      <c r="Q190" s="12">
        <f t="shared" si="417"/>
        <v>83.870967741935473</v>
      </c>
      <c r="R190" s="12">
        <f t="shared" si="430"/>
        <v>62.4</v>
      </c>
      <c r="S190" s="11">
        <v>0.96</v>
      </c>
      <c r="T190" s="12">
        <f t="shared" si="418"/>
        <v>83.870967741935473</v>
      </c>
      <c r="U190" s="12">
        <f t="shared" si="431"/>
        <v>62.4</v>
      </c>
      <c r="X190" s="10"/>
      <c r="Y190" s="10"/>
      <c r="Z190" s="11">
        <v>1.4</v>
      </c>
      <c r="AA190" s="12">
        <f t="shared" si="432"/>
        <v>122.31182795698923</v>
      </c>
      <c r="AB190" s="12">
        <f t="shared" si="419"/>
        <v>91</v>
      </c>
      <c r="AC190" s="11">
        <v>0.34</v>
      </c>
      <c r="AD190" s="12">
        <f t="shared" si="433"/>
        <v>29.704301075268816</v>
      </c>
      <c r="AE190" s="12">
        <f t="shared" si="420"/>
        <v>22.1</v>
      </c>
      <c r="AF190" s="11">
        <v>0.84</v>
      </c>
      <c r="AG190" s="12">
        <f t="shared" si="434"/>
        <v>73.387096774193537</v>
      </c>
      <c r="AH190" s="12">
        <f t="shared" si="421"/>
        <v>54.6</v>
      </c>
      <c r="AI190" s="11">
        <v>0.84</v>
      </c>
      <c r="AJ190" s="12">
        <f t="shared" si="435"/>
        <v>73.387096774193537</v>
      </c>
      <c r="AK190" s="12">
        <f t="shared" si="422"/>
        <v>54.6</v>
      </c>
      <c r="AN190" s="26">
        <f t="shared" si="436"/>
        <v>119.25403225806451</v>
      </c>
      <c r="AO190" s="26">
        <f t="shared" si="449"/>
        <v>88.724999999999994</v>
      </c>
      <c r="AP190" s="26">
        <f t="shared" si="438"/>
        <v>34.509408602150536</v>
      </c>
      <c r="AQ190" s="26">
        <f t="shared" si="450"/>
        <v>25.675000000000001</v>
      </c>
      <c r="AR190" s="26">
        <f t="shared" si="440"/>
        <v>78.629032258064512</v>
      </c>
      <c r="AS190" s="26">
        <f t="shared" si="441"/>
        <v>58.5</v>
      </c>
      <c r="AT190" s="26">
        <f t="shared" si="442"/>
        <v>78.629032258064512</v>
      </c>
      <c r="AU190" s="26">
        <f t="shared" ref="AU190:AU192" si="451">(U190+AK190)/2</f>
        <v>58.5</v>
      </c>
      <c r="AX190" s="11">
        <v>1.19</v>
      </c>
      <c r="AY190" s="12">
        <f t="shared" si="444"/>
        <v>103.96505376344085</v>
      </c>
      <c r="AZ190" s="12">
        <f t="shared" si="423"/>
        <v>77.349999999999994</v>
      </c>
      <c r="BA190" s="11">
        <v>0.3</v>
      </c>
      <c r="BB190" s="12">
        <f t="shared" si="445"/>
        <v>26.209677419354836</v>
      </c>
      <c r="BC190" s="12">
        <f t="shared" si="424"/>
        <v>19.5</v>
      </c>
      <c r="BD190" s="11">
        <v>0.63</v>
      </c>
      <c r="BE190" s="12">
        <f t="shared" si="446"/>
        <v>55.04032258064516</v>
      </c>
      <c r="BF190" s="12">
        <f t="shared" si="425"/>
        <v>40.950000000000003</v>
      </c>
      <c r="BG190" s="11">
        <v>0.63</v>
      </c>
      <c r="BH190" s="12">
        <f t="shared" si="447"/>
        <v>55.04032258064516</v>
      </c>
      <c r="BI190" s="12">
        <f t="shared" si="426"/>
        <v>40.950000000000003</v>
      </c>
    </row>
    <row r="191" spans="1:61" ht="14.4" x14ac:dyDescent="0.3">
      <c r="A191" s="13" t="s">
        <v>6</v>
      </c>
      <c r="B191" s="5">
        <v>30</v>
      </c>
      <c r="C191" s="5">
        <f t="shared" si="427"/>
        <v>720</v>
      </c>
      <c r="D191" s="9">
        <f t="shared" si="414"/>
        <v>41.666666666666664</v>
      </c>
      <c r="E191" s="5">
        <v>30</v>
      </c>
      <c r="H191" s="10"/>
      <c r="J191" s="11">
        <v>1.52</v>
      </c>
      <c r="K191" s="12">
        <f t="shared" si="415"/>
        <v>63.333333333333329</v>
      </c>
      <c r="L191" s="12">
        <f t="shared" si="428"/>
        <v>45.6</v>
      </c>
      <c r="M191" s="11">
        <v>0.47</v>
      </c>
      <c r="N191" s="12">
        <f t="shared" si="416"/>
        <v>19.583333333333332</v>
      </c>
      <c r="O191" s="12">
        <f t="shared" si="429"/>
        <v>14.1</v>
      </c>
      <c r="P191" s="11">
        <v>0.97</v>
      </c>
      <c r="Q191" s="12">
        <f t="shared" si="417"/>
        <v>40.416666666666664</v>
      </c>
      <c r="R191" s="12">
        <f t="shared" si="430"/>
        <v>29.099999999999998</v>
      </c>
      <c r="S191" s="11">
        <v>0.97</v>
      </c>
      <c r="T191" s="12">
        <f t="shared" si="418"/>
        <v>40.416666666666664</v>
      </c>
      <c r="U191" s="12">
        <f t="shared" si="431"/>
        <v>29.099999999999998</v>
      </c>
      <c r="X191" s="10"/>
      <c r="Y191" s="10"/>
      <c r="Z191" s="11">
        <v>1.75</v>
      </c>
      <c r="AA191" s="12">
        <f t="shared" si="432"/>
        <v>72.916666666666657</v>
      </c>
      <c r="AB191" s="12">
        <f t="shared" si="419"/>
        <v>52.5</v>
      </c>
      <c r="AC191" s="11">
        <v>0.4</v>
      </c>
      <c r="AD191" s="12">
        <f t="shared" si="433"/>
        <v>16.666666666666668</v>
      </c>
      <c r="AE191" s="12">
        <f t="shared" si="420"/>
        <v>12</v>
      </c>
      <c r="AF191" s="11">
        <v>0.86</v>
      </c>
      <c r="AG191" s="12">
        <f t="shared" si="434"/>
        <v>35.833333333333329</v>
      </c>
      <c r="AH191" s="12">
        <f t="shared" si="421"/>
        <v>25.8</v>
      </c>
      <c r="AI191" s="11">
        <v>0.86</v>
      </c>
      <c r="AJ191" s="12">
        <f t="shared" si="435"/>
        <v>35.833333333333329</v>
      </c>
      <c r="AK191" s="12">
        <f t="shared" si="422"/>
        <v>25.8</v>
      </c>
      <c r="AN191" s="26">
        <f t="shared" si="436"/>
        <v>68.125</v>
      </c>
      <c r="AO191" s="26">
        <f t="shared" si="449"/>
        <v>49.05</v>
      </c>
      <c r="AP191" s="26">
        <f t="shared" si="438"/>
        <v>18.125</v>
      </c>
      <c r="AQ191" s="26">
        <f t="shared" si="450"/>
        <v>13.05</v>
      </c>
      <c r="AR191" s="26">
        <f t="shared" si="440"/>
        <v>38.125</v>
      </c>
      <c r="AS191" s="26">
        <f t="shared" si="441"/>
        <v>27.45</v>
      </c>
      <c r="AT191" s="26">
        <f t="shared" si="442"/>
        <v>38.125</v>
      </c>
      <c r="AU191" s="26">
        <f t="shared" si="451"/>
        <v>27.45</v>
      </c>
      <c r="AX191" s="11">
        <v>1.62</v>
      </c>
      <c r="AY191" s="12">
        <f t="shared" si="444"/>
        <v>67.5</v>
      </c>
      <c r="AZ191" s="12">
        <f t="shared" si="423"/>
        <v>48.6</v>
      </c>
      <c r="BA191" s="11">
        <v>0.37</v>
      </c>
      <c r="BB191" s="12">
        <f t="shared" si="445"/>
        <v>15.416666666666666</v>
      </c>
      <c r="BC191" s="12">
        <f t="shared" si="424"/>
        <v>11.1</v>
      </c>
      <c r="BD191" s="11">
        <v>0.65</v>
      </c>
      <c r="BE191" s="12">
        <f t="shared" si="446"/>
        <v>27.083333333333332</v>
      </c>
      <c r="BF191" s="12">
        <f t="shared" si="425"/>
        <v>19.5</v>
      </c>
      <c r="BG191" s="11">
        <v>0.65</v>
      </c>
      <c r="BH191" s="12">
        <f t="shared" si="447"/>
        <v>27.083333333333332</v>
      </c>
      <c r="BI191" s="12">
        <f t="shared" si="426"/>
        <v>19.5</v>
      </c>
    </row>
    <row r="192" spans="1:61" ht="15" thickBot="1" x14ac:dyDescent="0.35">
      <c r="A192" s="14" t="s">
        <v>7</v>
      </c>
      <c r="B192" s="5">
        <v>31</v>
      </c>
      <c r="C192" s="5">
        <f t="shared" si="427"/>
        <v>744</v>
      </c>
      <c r="D192" s="9">
        <f t="shared" si="414"/>
        <v>26.881720430107528</v>
      </c>
      <c r="E192" s="5">
        <v>20</v>
      </c>
      <c r="H192" s="10"/>
      <c r="J192" s="11">
        <v>1.76</v>
      </c>
      <c r="K192" s="12">
        <f t="shared" si="415"/>
        <v>47.311827956989248</v>
      </c>
      <c r="L192" s="12">
        <f t="shared" si="428"/>
        <v>35.200000000000003</v>
      </c>
      <c r="M192" s="11">
        <v>0.48</v>
      </c>
      <c r="N192" s="12">
        <f t="shared" si="416"/>
        <v>12.903225806451612</v>
      </c>
      <c r="O192" s="12">
        <f t="shared" si="429"/>
        <v>9.6</v>
      </c>
      <c r="P192" s="11">
        <v>0.99</v>
      </c>
      <c r="Q192" s="12">
        <f t="shared" si="417"/>
        <v>26.612903225806452</v>
      </c>
      <c r="R192" s="12">
        <f t="shared" si="430"/>
        <v>19.8</v>
      </c>
      <c r="S192" s="11">
        <v>0.99</v>
      </c>
      <c r="T192" s="12">
        <f t="shared" si="418"/>
        <v>26.612903225806452</v>
      </c>
      <c r="U192" s="12">
        <f t="shared" si="431"/>
        <v>19.8</v>
      </c>
      <c r="X192" s="10"/>
      <c r="Y192" s="10"/>
      <c r="Z192" s="11">
        <v>2.15</v>
      </c>
      <c r="AA192" s="12">
        <f t="shared" si="432"/>
        <v>57.795698924731184</v>
      </c>
      <c r="AB192" s="12">
        <f t="shared" si="419"/>
        <v>43</v>
      </c>
      <c r="AC192" s="11">
        <v>0.46</v>
      </c>
      <c r="AD192" s="12">
        <f t="shared" si="433"/>
        <v>12.365591397849464</v>
      </c>
      <c r="AE192" s="12">
        <f t="shared" si="420"/>
        <v>9.2000000000000011</v>
      </c>
      <c r="AF192" s="11">
        <v>0.9</v>
      </c>
      <c r="AG192" s="12">
        <f t="shared" si="434"/>
        <v>24.193548387096776</v>
      </c>
      <c r="AH192" s="12">
        <f t="shared" si="421"/>
        <v>18</v>
      </c>
      <c r="AI192" s="11">
        <v>0.9</v>
      </c>
      <c r="AJ192" s="12">
        <f t="shared" si="435"/>
        <v>24.193548387096776</v>
      </c>
      <c r="AK192" s="12">
        <f t="shared" si="422"/>
        <v>18</v>
      </c>
      <c r="AN192" s="26">
        <f t="shared" si="436"/>
        <v>52.553763440860216</v>
      </c>
      <c r="AO192" s="26">
        <f t="shared" si="449"/>
        <v>39.1</v>
      </c>
      <c r="AP192" s="26">
        <f t="shared" si="438"/>
        <v>12.634408602150538</v>
      </c>
      <c r="AQ192" s="26">
        <f t="shared" si="450"/>
        <v>9.4</v>
      </c>
      <c r="AR192" s="26">
        <f t="shared" si="440"/>
        <v>25.403225806451616</v>
      </c>
      <c r="AS192" s="26">
        <f t="shared" si="441"/>
        <v>18.899999999999999</v>
      </c>
      <c r="AT192" s="26">
        <f t="shared" si="442"/>
        <v>25.403225806451616</v>
      </c>
      <c r="AU192" s="26">
        <f t="shared" si="451"/>
        <v>18.899999999999999</v>
      </c>
      <c r="AX192" s="11">
        <v>2.19</v>
      </c>
      <c r="AY192" s="12">
        <f t="shared" si="444"/>
        <v>58.870967741935488</v>
      </c>
      <c r="AZ192" s="12">
        <f t="shared" si="423"/>
        <v>43.8</v>
      </c>
      <c r="BA192" s="11">
        <v>0.46</v>
      </c>
      <c r="BB192" s="12">
        <f t="shared" si="445"/>
        <v>12.365591397849464</v>
      </c>
      <c r="BC192" s="12">
        <f t="shared" si="424"/>
        <v>9.2000000000000011</v>
      </c>
      <c r="BD192" s="11">
        <v>0.77</v>
      </c>
      <c r="BE192" s="12">
        <f t="shared" si="446"/>
        <v>20.698924731182796</v>
      </c>
      <c r="BF192" s="12">
        <f t="shared" si="425"/>
        <v>15.4</v>
      </c>
      <c r="BG192" s="11">
        <v>0.77</v>
      </c>
      <c r="BH192" s="12">
        <f t="shared" si="447"/>
        <v>20.698924731182796</v>
      </c>
      <c r="BI192" s="12">
        <f t="shared" si="426"/>
        <v>15.4</v>
      </c>
    </row>
    <row r="194" spans="1:61" x14ac:dyDescent="0.25">
      <c r="A194" s="15" t="s">
        <v>44</v>
      </c>
      <c r="B194" s="7" t="s">
        <v>10</v>
      </c>
      <c r="C194" s="7" t="s">
        <v>11</v>
      </c>
      <c r="E194" s="7" t="s">
        <v>12</v>
      </c>
      <c r="F194" s="7"/>
      <c r="G194" s="7"/>
      <c r="J194" s="36" t="s">
        <v>15</v>
      </c>
      <c r="K194" s="37"/>
      <c r="L194" s="38"/>
      <c r="M194" s="36" t="s">
        <v>16</v>
      </c>
      <c r="N194" s="37"/>
      <c r="O194" s="38"/>
      <c r="P194" s="36" t="s">
        <v>17</v>
      </c>
      <c r="Q194" s="37"/>
      <c r="R194" s="37"/>
      <c r="S194" s="34" t="s">
        <v>18</v>
      </c>
      <c r="T194" s="34"/>
      <c r="U194" s="34"/>
      <c r="Z194" s="36" t="s">
        <v>15</v>
      </c>
      <c r="AA194" s="37"/>
      <c r="AB194" s="38"/>
      <c r="AC194" s="36" t="s">
        <v>16</v>
      </c>
      <c r="AD194" s="37"/>
      <c r="AE194" s="38"/>
      <c r="AF194" s="36" t="s">
        <v>17</v>
      </c>
      <c r="AG194" s="37"/>
      <c r="AH194" s="37"/>
      <c r="AI194" s="34" t="s">
        <v>18</v>
      </c>
      <c r="AJ194" s="34"/>
      <c r="AK194" s="34"/>
      <c r="AN194" s="32" t="s">
        <v>15</v>
      </c>
      <c r="AO194" s="33"/>
      <c r="AP194" s="32" t="s">
        <v>16</v>
      </c>
      <c r="AQ194" s="33"/>
      <c r="AR194" s="32" t="s">
        <v>19</v>
      </c>
      <c r="AS194" s="33"/>
      <c r="AT194" s="34" t="s">
        <v>18</v>
      </c>
      <c r="AU194" s="34"/>
      <c r="AX194" s="36" t="s">
        <v>15</v>
      </c>
      <c r="AY194" s="37"/>
      <c r="AZ194" s="38"/>
      <c r="BA194" s="36" t="s">
        <v>16</v>
      </c>
      <c r="BB194" s="37"/>
      <c r="BC194" s="38"/>
      <c r="BD194" s="36" t="s">
        <v>17</v>
      </c>
      <c r="BE194" s="37"/>
      <c r="BF194" s="37"/>
      <c r="BG194" s="34" t="s">
        <v>18</v>
      </c>
      <c r="BH194" s="34"/>
      <c r="BI194" s="34"/>
    </row>
    <row r="195" spans="1:61" ht="13.8" thickBot="1" x14ac:dyDescent="0.3">
      <c r="D195" s="5" t="s">
        <v>14</v>
      </c>
      <c r="E195" s="5" t="s">
        <v>13</v>
      </c>
      <c r="J195" s="4" t="s">
        <v>48</v>
      </c>
      <c r="K195" s="4" t="s">
        <v>14</v>
      </c>
      <c r="L195" s="4" t="s">
        <v>13</v>
      </c>
      <c r="M195" s="4" t="s">
        <v>48</v>
      </c>
      <c r="N195" s="4" t="s">
        <v>14</v>
      </c>
      <c r="O195" s="4" t="s">
        <v>13</v>
      </c>
      <c r="P195" s="4" t="s">
        <v>48</v>
      </c>
      <c r="Q195" s="4" t="s">
        <v>14</v>
      </c>
      <c r="R195" s="4" t="s">
        <v>13</v>
      </c>
      <c r="S195" s="24" t="s">
        <v>48</v>
      </c>
      <c r="T195" s="24" t="s">
        <v>14</v>
      </c>
      <c r="U195" s="24" t="s">
        <v>13</v>
      </c>
      <c r="Z195" s="4" t="s">
        <v>48</v>
      </c>
      <c r="AA195" s="4" t="s">
        <v>14</v>
      </c>
      <c r="AB195" s="4" t="s">
        <v>13</v>
      </c>
      <c r="AC195" s="4" t="s">
        <v>48</v>
      </c>
      <c r="AD195" s="4" t="s">
        <v>14</v>
      </c>
      <c r="AE195" s="4" t="s">
        <v>13</v>
      </c>
      <c r="AF195" s="4" t="s">
        <v>48</v>
      </c>
      <c r="AG195" s="4" t="s">
        <v>14</v>
      </c>
      <c r="AH195" s="4" t="s">
        <v>13</v>
      </c>
      <c r="AI195" s="24" t="s">
        <v>48</v>
      </c>
      <c r="AJ195" s="24" t="s">
        <v>14</v>
      </c>
      <c r="AK195" s="24" t="s">
        <v>13</v>
      </c>
      <c r="AN195" s="24" t="s">
        <v>14</v>
      </c>
      <c r="AO195" s="24" t="s">
        <v>13</v>
      </c>
      <c r="AP195" s="24" t="s">
        <v>14</v>
      </c>
      <c r="AQ195" s="24" t="s">
        <v>13</v>
      </c>
      <c r="AR195" s="24" t="s">
        <v>14</v>
      </c>
      <c r="AS195" s="24" t="s">
        <v>13</v>
      </c>
      <c r="AT195" s="24" t="s">
        <v>14</v>
      </c>
      <c r="AU195" s="24" t="s">
        <v>13</v>
      </c>
      <c r="AX195" s="4" t="s">
        <v>48</v>
      </c>
      <c r="AY195" s="4" t="s">
        <v>14</v>
      </c>
      <c r="AZ195" s="4" t="s">
        <v>13</v>
      </c>
      <c r="BA195" s="4" t="s">
        <v>48</v>
      </c>
      <c r="BB195" s="4" t="s">
        <v>14</v>
      </c>
      <c r="BC195" s="4" t="s">
        <v>13</v>
      </c>
      <c r="BD195" s="4" t="s">
        <v>48</v>
      </c>
      <c r="BE195" s="4" t="s">
        <v>14</v>
      </c>
      <c r="BF195" s="4" t="s">
        <v>13</v>
      </c>
      <c r="BG195" s="24" t="s">
        <v>48</v>
      </c>
      <c r="BH195" s="24" t="s">
        <v>14</v>
      </c>
      <c r="BI195" s="24" t="s">
        <v>13</v>
      </c>
    </row>
    <row r="196" spans="1:61" ht="14.4" x14ac:dyDescent="0.3">
      <c r="A196" s="8" t="s">
        <v>1</v>
      </c>
      <c r="B196" s="5">
        <v>31</v>
      </c>
      <c r="C196" s="5">
        <f>B196*24</f>
        <v>744</v>
      </c>
      <c r="D196" s="9">
        <f t="shared" ref="D196:D207" si="452">E196*1000/C196</f>
        <v>34.946236559139784</v>
      </c>
      <c r="E196" s="5">
        <v>26</v>
      </c>
      <c r="H196" s="10"/>
      <c r="J196" s="11">
        <v>1.61</v>
      </c>
      <c r="K196" s="12">
        <f t="shared" ref="K196:K207" si="453">J196*D196</f>
        <v>56.263440860215056</v>
      </c>
      <c r="L196" s="12">
        <f>$E196*J196</f>
        <v>41.86</v>
      </c>
      <c r="M196" s="11">
        <v>0.52</v>
      </c>
      <c r="N196" s="12">
        <f t="shared" ref="N196:N207" si="454">M196*D196</f>
        <v>18.172043010752688</v>
      </c>
      <c r="O196" s="12">
        <f>$E196*M196</f>
        <v>13.52</v>
      </c>
      <c r="P196" s="11">
        <v>1</v>
      </c>
      <c r="Q196" s="12">
        <f t="shared" ref="Q196:Q207" si="455">P196*D196</f>
        <v>34.946236559139784</v>
      </c>
      <c r="R196" s="12">
        <f>$E196*P196</f>
        <v>26</v>
      </c>
      <c r="S196" s="11">
        <v>1</v>
      </c>
      <c r="T196" s="12">
        <f t="shared" ref="T196:T207" si="456">S196*D196</f>
        <v>34.946236559139784</v>
      </c>
      <c r="U196" s="12">
        <f>$E196*S196</f>
        <v>26</v>
      </c>
      <c r="X196" s="10"/>
      <c r="Y196" s="10"/>
      <c r="Z196" s="11">
        <v>1.94</v>
      </c>
      <c r="AA196" s="12">
        <f>Z196*$D196</f>
        <v>67.795698924731184</v>
      </c>
      <c r="AB196" s="12">
        <f t="shared" ref="AB196:AB207" si="457">$E196*Z196</f>
        <v>50.44</v>
      </c>
      <c r="AC196" s="11">
        <v>0.51</v>
      </c>
      <c r="AD196" s="12">
        <f>AC196*$D196</f>
        <v>17.822580645161292</v>
      </c>
      <c r="AE196" s="12">
        <f t="shared" ref="AE196:AE207" si="458">$E196*AC196</f>
        <v>13.26</v>
      </c>
      <c r="AF196" s="11">
        <v>0.95</v>
      </c>
      <c r="AG196" s="12">
        <f>AF196*$D196</f>
        <v>33.198924731182792</v>
      </c>
      <c r="AH196" s="12">
        <f t="shared" ref="AH196:AH207" si="459">$E196*AF196</f>
        <v>24.7</v>
      </c>
      <c r="AI196" s="11">
        <v>0.95</v>
      </c>
      <c r="AJ196" s="12">
        <f>AI196*$D196</f>
        <v>33.198924731182792</v>
      </c>
      <c r="AK196" s="12">
        <f t="shared" ref="AK196:AK207" si="460">$E196*AI196</f>
        <v>24.7</v>
      </c>
      <c r="AN196" s="26">
        <f>(K196+AA196)/2</f>
        <v>62.02956989247312</v>
      </c>
      <c r="AO196" s="26">
        <f>(L196+AB196)/2</f>
        <v>46.15</v>
      </c>
      <c r="AP196" s="26">
        <f>(N196+AD196)/2</f>
        <v>17.997311827956992</v>
      </c>
      <c r="AQ196" s="26">
        <f>(O196+AE196)/2</f>
        <v>13.39</v>
      </c>
      <c r="AR196" s="26">
        <f>(Q196+AG196)/2</f>
        <v>34.072580645161288</v>
      </c>
      <c r="AS196" s="26">
        <f>(R196+AH196)/2</f>
        <v>25.35</v>
      </c>
      <c r="AT196" s="26">
        <f>(T196+AJ196)/2</f>
        <v>34.072580645161288</v>
      </c>
      <c r="AU196" s="26">
        <f>(U196+AK196)/2</f>
        <v>25.35</v>
      </c>
      <c r="AX196" s="11">
        <v>1.92</v>
      </c>
      <c r="AY196" s="12">
        <f>AX196*$D196</f>
        <v>67.096774193548384</v>
      </c>
      <c r="AZ196" s="12">
        <f t="shared" ref="AZ196:AZ207" si="461">$E196*AX196</f>
        <v>49.92</v>
      </c>
      <c r="BA196" s="11">
        <v>0.55000000000000004</v>
      </c>
      <c r="BB196" s="12">
        <f>BA196*$D196</f>
        <v>19.220430107526884</v>
      </c>
      <c r="BC196" s="12">
        <f t="shared" ref="BC196:BC207" si="462">$E196*BA196</f>
        <v>14.3</v>
      </c>
      <c r="BD196" s="11">
        <v>0.85</v>
      </c>
      <c r="BE196" s="12">
        <f>BD196*$D196</f>
        <v>29.704301075268816</v>
      </c>
      <c r="BF196" s="12">
        <f t="shared" ref="BF196:BF207" si="463">$E196*BD196</f>
        <v>22.099999999999998</v>
      </c>
      <c r="BG196" s="11">
        <v>0.85</v>
      </c>
      <c r="BH196" s="12">
        <f>BG196*$D196</f>
        <v>29.704301075268816</v>
      </c>
      <c r="BI196" s="12">
        <f t="shared" ref="BI196:BI207" si="464">$E196*BG196</f>
        <v>22.099999999999998</v>
      </c>
    </row>
    <row r="197" spans="1:61" ht="14.4" x14ac:dyDescent="0.3">
      <c r="A197" s="13" t="s">
        <v>2</v>
      </c>
      <c r="B197" s="5">
        <v>28</v>
      </c>
      <c r="C197" s="5">
        <f t="shared" ref="C197:C207" si="465">B197*24</f>
        <v>672</v>
      </c>
      <c r="D197" s="9">
        <f t="shared" si="452"/>
        <v>72.916666666666671</v>
      </c>
      <c r="E197" s="5">
        <v>49</v>
      </c>
      <c r="H197" s="10"/>
      <c r="J197" s="11">
        <v>1.45</v>
      </c>
      <c r="K197" s="12">
        <f t="shared" si="453"/>
        <v>105.72916666666667</v>
      </c>
      <c r="L197" s="12">
        <f t="shared" ref="L197:L207" si="466">$E197*J197</f>
        <v>71.05</v>
      </c>
      <c r="M197" s="11">
        <v>0.45</v>
      </c>
      <c r="N197" s="12">
        <f t="shared" si="454"/>
        <v>32.8125</v>
      </c>
      <c r="O197" s="12">
        <f t="shared" ref="O197:O207" si="467">$E197*M197</f>
        <v>22.05</v>
      </c>
      <c r="P197" s="11">
        <v>0.98</v>
      </c>
      <c r="Q197" s="12">
        <f t="shared" si="455"/>
        <v>71.458333333333343</v>
      </c>
      <c r="R197" s="12">
        <f t="shared" ref="R197:R207" si="468">$E197*P197</f>
        <v>48.019999999999996</v>
      </c>
      <c r="S197" s="11">
        <v>0.98</v>
      </c>
      <c r="T197" s="12">
        <f t="shared" si="456"/>
        <v>71.458333333333343</v>
      </c>
      <c r="U197" s="12">
        <f t="shared" ref="U197:U207" si="469">$E197*S197</f>
        <v>48.019999999999996</v>
      </c>
      <c r="X197" s="10"/>
      <c r="Y197" s="10"/>
      <c r="Z197" s="11">
        <v>1.64</v>
      </c>
      <c r="AA197" s="12">
        <f t="shared" ref="AA197:AA207" si="470">Z197*$D197</f>
        <v>119.58333333333333</v>
      </c>
      <c r="AB197" s="12">
        <f t="shared" si="457"/>
        <v>80.36</v>
      </c>
      <c r="AC197" s="11">
        <v>0.44</v>
      </c>
      <c r="AD197" s="12">
        <f t="shared" ref="AD197:AD207" si="471">AC197*$D197</f>
        <v>32.083333333333336</v>
      </c>
      <c r="AE197" s="12">
        <f t="shared" si="458"/>
        <v>21.56</v>
      </c>
      <c r="AF197" s="11">
        <v>0.92</v>
      </c>
      <c r="AG197" s="12">
        <f t="shared" ref="AG197:AG207" si="472">AF197*$D197</f>
        <v>67.083333333333343</v>
      </c>
      <c r="AH197" s="12">
        <f t="shared" si="459"/>
        <v>45.080000000000005</v>
      </c>
      <c r="AI197" s="11">
        <v>0.92</v>
      </c>
      <c r="AJ197" s="12">
        <f t="shared" ref="AJ197:AJ207" si="473">AI197*$D197</f>
        <v>67.083333333333343</v>
      </c>
      <c r="AK197" s="12">
        <f t="shared" si="460"/>
        <v>45.080000000000005</v>
      </c>
      <c r="AN197" s="26">
        <f t="shared" ref="AN197:AN207" si="474">(K197+AA197)/2</f>
        <v>112.65625</v>
      </c>
      <c r="AO197" s="26">
        <f t="shared" ref="AO197:AO202" si="475">(L197+AB197)/2</f>
        <v>75.704999999999998</v>
      </c>
      <c r="AP197" s="26">
        <f t="shared" ref="AP197:AP207" si="476">(N197+AD197)/2</f>
        <v>32.447916666666671</v>
      </c>
      <c r="AQ197" s="26">
        <f t="shared" ref="AQ197:AQ202" si="477">(O197+AE197)/2</f>
        <v>21.805</v>
      </c>
      <c r="AR197" s="26">
        <f t="shared" ref="AR197:AR207" si="478">(Q197+AG197)/2</f>
        <v>69.270833333333343</v>
      </c>
      <c r="AS197" s="26">
        <f t="shared" ref="AS197:AS207" si="479">(R197+AH197)/2</f>
        <v>46.55</v>
      </c>
      <c r="AT197" s="26">
        <f t="shared" ref="AT197:AT207" si="480">(T197+AJ197)/2</f>
        <v>69.270833333333343</v>
      </c>
      <c r="AU197" s="26">
        <f t="shared" ref="AU197:AU200" si="481">(U197+AK197)/2</f>
        <v>46.55</v>
      </c>
      <c r="AX197" s="11">
        <v>1.54</v>
      </c>
      <c r="AY197" s="12">
        <f t="shared" ref="AY197:AY207" si="482">AX197*$D197</f>
        <v>112.29166666666667</v>
      </c>
      <c r="AZ197" s="12">
        <f t="shared" si="461"/>
        <v>75.460000000000008</v>
      </c>
      <c r="BA197" s="11">
        <v>0.47</v>
      </c>
      <c r="BB197" s="12">
        <f t="shared" ref="BB197:BB207" si="483">BA197*$D197</f>
        <v>34.270833333333336</v>
      </c>
      <c r="BC197" s="12">
        <f t="shared" si="462"/>
        <v>23.029999999999998</v>
      </c>
      <c r="BD197" s="11">
        <v>0.8</v>
      </c>
      <c r="BE197" s="12">
        <f t="shared" ref="BE197:BE207" si="484">BD197*$D197</f>
        <v>58.333333333333343</v>
      </c>
      <c r="BF197" s="12">
        <f t="shared" si="463"/>
        <v>39.200000000000003</v>
      </c>
      <c r="BG197" s="11">
        <v>0.8</v>
      </c>
      <c r="BH197" s="12">
        <f t="shared" ref="BH197:BH207" si="485">BG197*$D197</f>
        <v>58.333333333333343</v>
      </c>
      <c r="BI197" s="12">
        <f t="shared" si="464"/>
        <v>39.200000000000003</v>
      </c>
    </row>
    <row r="198" spans="1:61" ht="14.4" x14ac:dyDescent="0.3">
      <c r="A198" s="13" t="s">
        <v>3</v>
      </c>
      <c r="B198" s="5">
        <v>31</v>
      </c>
      <c r="C198" s="5">
        <f t="shared" si="465"/>
        <v>744</v>
      </c>
      <c r="D198" s="9">
        <f t="shared" si="452"/>
        <v>115.59139784946237</v>
      </c>
      <c r="E198" s="5">
        <v>86</v>
      </c>
      <c r="H198" s="10"/>
      <c r="J198" s="11">
        <v>1.25</v>
      </c>
      <c r="K198" s="12">
        <f t="shared" si="453"/>
        <v>144.48924731182797</v>
      </c>
      <c r="L198" s="12">
        <f t="shared" si="466"/>
        <v>107.5</v>
      </c>
      <c r="M198" s="11">
        <v>0.52</v>
      </c>
      <c r="N198" s="12">
        <f t="shared" si="454"/>
        <v>60.107526881720432</v>
      </c>
      <c r="O198" s="12">
        <f t="shared" si="467"/>
        <v>44.72</v>
      </c>
      <c r="P198" s="11">
        <v>0.96</v>
      </c>
      <c r="Q198" s="12">
        <f t="shared" si="455"/>
        <v>110.96774193548387</v>
      </c>
      <c r="R198" s="12">
        <f t="shared" si="468"/>
        <v>82.56</v>
      </c>
      <c r="S198" s="11">
        <v>0.96</v>
      </c>
      <c r="T198" s="12">
        <f t="shared" si="456"/>
        <v>110.96774193548387</v>
      </c>
      <c r="U198" s="12">
        <f t="shared" si="469"/>
        <v>82.56</v>
      </c>
      <c r="X198" s="10"/>
      <c r="Y198" s="10"/>
      <c r="Z198" s="11">
        <v>1.28</v>
      </c>
      <c r="AA198" s="12">
        <f t="shared" si="470"/>
        <v>147.95698924731184</v>
      </c>
      <c r="AB198" s="12">
        <f t="shared" si="457"/>
        <v>110.08</v>
      </c>
      <c r="AC198" s="11">
        <v>0.35</v>
      </c>
      <c r="AD198" s="12">
        <f t="shared" si="471"/>
        <v>40.456989247311824</v>
      </c>
      <c r="AE198" s="12">
        <f t="shared" si="458"/>
        <v>30.099999999999998</v>
      </c>
      <c r="AF198" s="11">
        <v>0.85</v>
      </c>
      <c r="AG198" s="12">
        <f t="shared" si="472"/>
        <v>98.252688172043008</v>
      </c>
      <c r="AH198" s="12">
        <f t="shared" si="459"/>
        <v>73.099999999999994</v>
      </c>
      <c r="AI198" s="11">
        <v>0.85</v>
      </c>
      <c r="AJ198" s="12">
        <f t="shared" si="473"/>
        <v>98.252688172043008</v>
      </c>
      <c r="AK198" s="12">
        <f t="shared" si="460"/>
        <v>73.099999999999994</v>
      </c>
      <c r="AN198" s="26">
        <f t="shared" si="474"/>
        <v>146.22311827956992</v>
      </c>
      <c r="AO198" s="26">
        <f t="shared" si="475"/>
        <v>108.78999999999999</v>
      </c>
      <c r="AP198" s="26">
        <f t="shared" si="476"/>
        <v>50.282258064516128</v>
      </c>
      <c r="AQ198" s="26">
        <f t="shared" si="477"/>
        <v>37.409999999999997</v>
      </c>
      <c r="AR198" s="26">
        <f t="shared" si="478"/>
        <v>104.61021505376344</v>
      </c>
      <c r="AS198" s="26">
        <f t="shared" si="479"/>
        <v>77.83</v>
      </c>
      <c r="AT198" s="26">
        <f t="shared" si="480"/>
        <v>104.61021505376344</v>
      </c>
      <c r="AU198" s="26">
        <f t="shared" si="481"/>
        <v>77.83</v>
      </c>
      <c r="AX198" s="11">
        <v>1.06</v>
      </c>
      <c r="AY198" s="12">
        <f t="shared" si="482"/>
        <v>122.52688172043011</v>
      </c>
      <c r="AZ198" s="12">
        <f t="shared" si="461"/>
        <v>91.160000000000011</v>
      </c>
      <c r="BA198" s="11">
        <v>0.34</v>
      </c>
      <c r="BB198" s="12">
        <f t="shared" si="483"/>
        <v>39.301075268817208</v>
      </c>
      <c r="BC198" s="12">
        <f t="shared" si="462"/>
        <v>29.240000000000002</v>
      </c>
      <c r="BD198" s="11">
        <v>0.67</v>
      </c>
      <c r="BE198" s="12">
        <f t="shared" si="484"/>
        <v>77.446236559139791</v>
      </c>
      <c r="BF198" s="12">
        <f t="shared" si="463"/>
        <v>57.620000000000005</v>
      </c>
      <c r="BG198" s="11">
        <v>0.67</v>
      </c>
      <c r="BH198" s="12">
        <f t="shared" si="485"/>
        <v>77.446236559139791</v>
      </c>
      <c r="BI198" s="12">
        <f t="shared" si="464"/>
        <v>57.620000000000005</v>
      </c>
    </row>
    <row r="199" spans="1:61" ht="14.4" x14ac:dyDescent="0.3">
      <c r="A199" s="13" t="s">
        <v>4</v>
      </c>
      <c r="B199" s="5">
        <v>30</v>
      </c>
      <c r="C199" s="5">
        <f t="shared" si="465"/>
        <v>720</v>
      </c>
      <c r="D199" s="9">
        <f t="shared" si="452"/>
        <v>172.22222222222223</v>
      </c>
      <c r="E199" s="5">
        <v>124</v>
      </c>
      <c r="H199" s="10"/>
      <c r="J199" s="11">
        <v>1.0900000000000001</v>
      </c>
      <c r="K199" s="12">
        <f t="shared" si="453"/>
        <v>187.72222222222226</v>
      </c>
      <c r="L199" s="12">
        <f t="shared" si="466"/>
        <v>135.16</v>
      </c>
      <c r="M199" s="11">
        <v>0.68</v>
      </c>
      <c r="N199" s="12">
        <f t="shared" si="454"/>
        <v>117.11111111111113</v>
      </c>
      <c r="O199" s="12">
        <f t="shared" si="467"/>
        <v>84.320000000000007</v>
      </c>
      <c r="P199" s="11">
        <v>0.94</v>
      </c>
      <c r="Q199" s="12">
        <f t="shared" si="455"/>
        <v>161.88888888888889</v>
      </c>
      <c r="R199" s="12">
        <f t="shared" si="468"/>
        <v>116.55999999999999</v>
      </c>
      <c r="S199" s="11">
        <v>0.94</v>
      </c>
      <c r="T199" s="12">
        <f t="shared" si="456"/>
        <v>161.88888888888889</v>
      </c>
      <c r="U199" s="12">
        <f t="shared" si="469"/>
        <v>116.55999999999999</v>
      </c>
      <c r="X199" s="10"/>
      <c r="Y199" s="10"/>
      <c r="Z199" s="11">
        <v>0.99</v>
      </c>
      <c r="AA199" s="12">
        <f>Z199*$D199</f>
        <v>170.5</v>
      </c>
      <c r="AB199" s="12">
        <f t="shared" si="457"/>
        <v>122.76</v>
      </c>
      <c r="AC199" s="11">
        <v>0.34</v>
      </c>
      <c r="AD199" s="12">
        <f>AC199*$D199</f>
        <v>58.555555555555564</v>
      </c>
      <c r="AE199" s="12">
        <f t="shared" si="458"/>
        <v>42.160000000000004</v>
      </c>
      <c r="AF199" s="11">
        <v>0.81</v>
      </c>
      <c r="AG199" s="12">
        <f>AF199*$D199</f>
        <v>139.50000000000003</v>
      </c>
      <c r="AH199" s="12">
        <f t="shared" si="459"/>
        <v>100.44000000000001</v>
      </c>
      <c r="AI199" s="11">
        <v>0.81</v>
      </c>
      <c r="AJ199" s="12">
        <f>AI199*$D199</f>
        <v>139.50000000000003</v>
      </c>
      <c r="AK199" s="12">
        <f t="shared" si="460"/>
        <v>100.44000000000001</v>
      </c>
      <c r="AN199" s="26">
        <f t="shared" si="474"/>
        <v>179.11111111111114</v>
      </c>
      <c r="AO199" s="26">
        <f t="shared" si="475"/>
        <v>128.96</v>
      </c>
      <c r="AP199" s="26">
        <f t="shared" si="476"/>
        <v>87.833333333333343</v>
      </c>
      <c r="AQ199" s="26">
        <f t="shared" si="477"/>
        <v>63.240000000000009</v>
      </c>
      <c r="AR199" s="26">
        <f t="shared" si="478"/>
        <v>150.69444444444446</v>
      </c>
      <c r="AS199" s="26">
        <f t="shared" si="479"/>
        <v>108.5</v>
      </c>
      <c r="AT199" s="26">
        <f t="shared" si="480"/>
        <v>150.69444444444446</v>
      </c>
      <c r="AU199" s="26">
        <f t="shared" si="481"/>
        <v>108.5</v>
      </c>
      <c r="AX199" s="11">
        <v>0.72</v>
      </c>
      <c r="AY199" s="12">
        <f>AX199*$D199</f>
        <v>124</v>
      </c>
      <c r="AZ199" s="12">
        <f t="shared" si="461"/>
        <v>89.28</v>
      </c>
      <c r="BA199" s="11">
        <v>0.3</v>
      </c>
      <c r="BB199" s="12">
        <f>BA199*$D199</f>
        <v>51.666666666666664</v>
      </c>
      <c r="BC199" s="12">
        <f t="shared" si="462"/>
        <v>37.199999999999996</v>
      </c>
      <c r="BD199" s="11">
        <v>0.59</v>
      </c>
      <c r="BE199" s="12">
        <f>BD199*$D199</f>
        <v>101.61111111111111</v>
      </c>
      <c r="BF199" s="12">
        <f t="shared" si="463"/>
        <v>73.16</v>
      </c>
      <c r="BG199" s="11">
        <v>0.59</v>
      </c>
      <c r="BH199" s="12">
        <f>BG199*$D199</f>
        <v>101.61111111111111</v>
      </c>
      <c r="BI199" s="12">
        <f t="shared" si="464"/>
        <v>73.16</v>
      </c>
    </row>
    <row r="200" spans="1:61" ht="14.4" x14ac:dyDescent="0.3">
      <c r="A200" s="13" t="s">
        <v>22</v>
      </c>
      <c r="B200" s="5">
        <v>31</v>
      </c>
      <c r="C200" s="5">
        <f t="shared" si="465"/>
        <v>744</v>
      </c>
      <c r="D200" s="9">
        <f t="shared" si="452"/>
        <v>197.58064516129033</v>
      </c>
      <c r="E200" s="5">
        <v>147</v>
      </c>
      <c r="H200" s="10"/>
      <c r="J200" s="11">
        <v>1.01</v>
      </c>
      <c r="K200" s="12">
        <f t="shared" si="453"/>
        <v>199.55645161290323</v>
      </c>
      <c r="L200" s="12">
        <f t="shared" si="466"/>
        <v>148.47</v>
      </c>
      <c r="M200" s="11">
        <v>0.79</v>
      </c>
      <c r="N200" s="12">
        <f t="shared" si="454"/>
        <v>156.08870967741936</v>
      </c>
      <c r="O200" s="12">
        <f t="shared" si="467"/>
        <v>116.13000000000001</v>
      </c>
      <c r="P200" s="11">
        <v>0.94</v>
      </c>
      <c r="Q200" s="12">
        <f t="shared" si="455"/>
        <v>185.7258064516129</v>
      </c>
      <c r="R200" s="12">
        <f t="shared" si="468"/>
        <v>138.17999999999998</v>
      </c>
      <c r="S200" s="11">
        <v>0.94</v>
      </c>
      <c r="T200" s="12">
        <f t="shared" si="456"/>
        <v>185.7258064516129</v>
      </c>
      <c r="U200" s="12">
        <f t="shared" si="469"/>
        <v>138.17999999999998</v>
      </c>
      <c r="X200" s="10"/>
      <c r="Y200" s="10"/>
      <c r="Z200" s="11">
        <v>0.84</v>
      </c>
      <c r="AA200" s="12">
        <f t="shared" si="470"/>
        <v>165.96774193548387</v>
      </c>
      <c r="AB200" s="12">
        <f t="shared" si="457"/>
        <v>123.47999999999999</v>
      </c>
      <c r="AC200" s="11">
        <v>0.4</v>
      </c>
      <c r="AD200" s="12">
        <f t="shared" si="471"/>
        <v>79.032258064516142</v>
      </c>
      <c r="AE200" s="12">
        <f t="shared" si="458"/>
        <v>58.800000000000004</v>
      </c>
      <c r="AF200" s="11">
        <v>0.79</v>
      </c>
      <c r="AG200" s="12">
        <f t="shared" si="472"/>
        <v>156.08870967741936</v>
      </c>
      <c r="AH200" s="12">
        <f t="shared" si="459"/>
        <v>116.13000000000001</v>
      </c>
      <c r="AI200" s="11">
        <v>0.79</v>
      </c>
      <c r="AJ200" s="12">
        <f t="shared" si="473"/>
        <v>156.08870967741936</v>
      </c>
      <c r="AK200" s="12">
        <f t="shared" si="460"/>
        <v>116.13000000000001</v>
      </c>
      <c r="AN200" s="26">
        <f t="shared" si="474"/>
        <v>182.76209677419354</v>
      </c>
      <c r="AO200" s="26">
        <f t="shared" si="475"/>
        <v>135.97499999999999</v>
      </c>
      <c r="AP200" s="26">
        <f t="shared" si="476"/>
        <v>117.56048387096774</v>
      </c>
      <c r="AQ200" s="26">
        <f t="shared" si="477"/>
        <v>87.465000000000003</v>
      </c>
      <c r="AR200" s="26">
        <f t="shared" si="478"/>
        <v>170.90725806451613</v>
      </c>
      <c r="AS200" s="26">
        <f t="shared" si="479"/>
        <v>127.155</v>
      </c>
      <c r="AT200" s="26">
        <f t="shared" si="480"/>
        <v>170.90725806451613</v>
      </c>
      <c r="AU200" s="26">
        <f t="shared" si="481"/>
        <v>127.155</v>
      </c>
      <c r="AX200" s="11">
        <v>0.55000000000000004</v>
      </c>
      <c r="AY200" s="12">
        <f t="shared" si="482"/>
        <v>108.66935483870969</v>
      </c>
      <c r="AZ200" s="12">
        <f t="shared" si="461"/>
        <v>80.850000000000009</v>
      </c>
      <c r="BA200" s="11">
        <v>0.3</v>
      </c>
      <c r="BB200" s="12">
        <f t="shared" si="483"/>
        <v>59.274193548387096</v>
      </c>
      <c r="BC200" s="12">
        <f t="shared" si="462"/>
        <v>44.1</v>
      </c>
      <c r="BD200" s="11">
        <v>0.56000000000000005</v>
      </c>
      <c r="BE200" s="12">
        <f t="shared" si="484"/>
        <v>110.6451612903226</v>
      </c>
      <c r="BF200" s="12">
        <f t="shared" si="463"/>
        <v>82.320000000000007</v>
      </c>
      <c r="BG200" s="11">
        <v>0.56000000000000005</v>
      </c>
      <c r="BH200" s="12">
        <f t="shared" si="485"/>
        <v>110.6451612903226</v>
      </c>
      <c r="BI200" s="12">
        <f t="shared" si="464"/>
        <v>82.320000000000007</v>
      </c>
    </row>
    <row r="201" spans="1:61" ht="14.4" x14ac:dyDescent="0.3">
      <c r="A201" s="13" t="s">
        <v>23</v>
      </c>
      <c r="B201" s="5">
        <v>30</v>
      </c>
      <c r="C201" s="5">
        <f t="shared" si="465"/>
        <v>720</v>
      </c>
      <c r="D201" s="9">
        <f t="shared" si="452"/>
        <v>218.05555555555554</v>
      </c>
      <c r="E201" s="5">
        <v>157</v>
      </c>
      <c r="H201" s="10"/>
      <c r="I201" s="4" t="s">
        <v>38</v>
      </c>
      <c r="J201" s="11">
        <v>0.97</v>
      </c>
      <c r="K201" s="12">
        <f t="shared" si="453"/>
        <v>211.51388888888886</v>
      </c>
      <c r="L201" s="12">
        <f t="shared" si="466"/>
        <v>152.29</v>
      </c>
      <c r="M201" s="11">
        <v>0.82</v>
      </c>
      <c r="N201" s="12">
        <f t="shared" si="454"/>
        <v>178.80555555555554</v>
      </c>
      <c r="O201" s="12">
        <f t="shared" si="467"/>
        <v>128.73999999999998</v>
      </c>
      <c r="P201" s="11">
        <v>0.93</v>
      </c>
      <c r="Q201" s="12">
        <f t="shared" si="455"/>
        <v>202.79166666666666</v>
      </c>
      <c r="R201" s="12">
        <f t="shared" si="468"/>
        <v>146.01000000000002</v>
      </c>
      <c r="S201" s="11">
        <v>0.93</v>
      </c>
      <c r="T201" s="12">
        <f t="shared" si="456"/>
        <v>202.79166666666666</v>
      </c>
      <c r="U201" s="12">
        <f t="shared" si="469"/>
        <v>146.01000000000002</v>
      </c>
      <c r="W201" s="4" t="s">
        <v>38</v>
      </c>
      <c r="X201" s="10"/>
      <c r="Y201" s="10"/>
      <c r="Z201" s="11">
        <v>0.78</v>
      </c>
      <c r="AA201" s="12">
        <f t="shared" si="470"/>
        <v>170.08333333333334</v>
      </c>
      <c r="AB201" s="12">
        <f t="shared" si="457"/>
        <v>122.46000000000001</v>
      </c>
      <c r="AC201" s="11">
        <v>0.45</v>
      </c>
      <c r="AD201" s="12">
        <f t="shared" si="471"/>
        <v>98.125</v>
      </c>
      <c r="AE201" s="12">
        <f t="shared" si="458"/>
        <v>70.650000000000006</v>
      </c>
      <c r="AF201" s="11">
        <v>0.78</v>
      </c>
      <c r="AG201" s="12">
        <f t="shared" si="472"/>
        <v>170.08333333333334</v>
      </c>
      <c r="AH201" s="12">
        <f t="shared" si="459"/>
        <v>122.46000000000001</v>
      </c>
      <c r="AI201" s="11">
        <v>0.78</v>
      </c>
      <c r="AJ201" s="12">
        <f t="shared" si="473"/>
        <v>170.08333333333334</v>
      </c>
      <c r="AK201" s="12">
        <f t="shared" si="460"/>
        <v>122.46000000000001</v>
      </c>
      <c r="AM201" s="4" t="s">
        <v>38</v>
      </c>
      <c r="AN201" s="26">
        <f t="shared" si="474"/>
        <v>190.79861111111109</v>
      </c>
      <c r="AO201" s="26">
        <f t="shared" si="475"/>
        <v>137.375</v>
      </c>
      <c r="AP201" s="26">
        <f t="shared" si="476"/>
        <v>138.46527777777777</v>
      </c>
      <c r="AQ201" s="26">
        <f t="shared" si="477"/>
        <v>99.694999999999993</v>
      </c>
      <c r="AR201" s="26">
        <f t="shared" si="478"/>
        <v>186.4375</v>
      </c>
      <c r="AS201" s="26">
        <f t="shared" si="479"/>
        <v>134.23500000000001</v>
      </c>
      <c r="AT201" s="26">
        <f t="shared" si="480"/>
        <v>186.4375</v>
      </c>
      <c r="AU201" s="26">
        <f>(U201+AK201)/2</f>
        <v>134.23500000000001</v>
      </c>
      <c r="AW201" s="4" t="s">
        <v>38</v>
      </c>
      <c r="AX201" s="11">
        <v>0.5</v>
      </c>
      <c r="AY201" s="12">
        <f t="shared" si="482"/>
        <v>109.02777777777777</v>
      </c>
      <c r="AZ201" s="12">
        <f t="shared" si="461"/>
        <v>78.5</v>
      </c>
      <c r="BA201" s="11">
        <v>0.32</v>
      </c>
      <c r="BB201" s="12">
        <f t="shared" si="483"/>
        <v>69.777777777777771</v>
      </c>
      <c r="BC201" s="12">
        <f t="shared" si="462"/>
        <v>50.24</v>
      </c>
      <c r="BD201" s="11">
        <v>0.55000000000000004</v>
      </c>
      <c r="BE201" s="12">
        <f t="shared" si="484"/>
        <v>119.93055555555556</v>
      </c>
      <c r="BF201" s="12">
        <f t="shared" si="463"/>
        <v>86.350000000000009</v>
      </c>
      <c r="BG201" s="11">
        <v>0.55000000000000004</v>
      </c>
      <c r="BH201" s="12">
        <f t="shared" si="485"/>
        <v>119.93055555555556</v>
      </c>
      <c r="BI201" s="12">
        <f t="shared" si="464"/>
        <v>86.350000000000009</v>
      </c>
    </row>
    <row r="202" spans="1:61" ht="14.4" x14ac:dyDescent="0.3">
      <c r="A202" s="13" t="s">
        <v>24</v>
      </c>
      <c r="B202" s="5">
        <v>31</v>
      </c>
      <c r="C202" s="5">
        <f t="shared" si="465"/>
        <v>744</v>
      </c>
      <c r="D202" s="9">
        <f t="shared" si="452"/>
        <v>209.67741935483872</v>
      </c>
      <c r="E202" s="5">
        <v>156</v>
      </c>
      <c r="H202" s="10"/>
      <c r="I202" s="4">
        <v>2</v>
      </c>
      <c r="J202" s="11">
        <v>0.98</v>
      </c>
      <c r="K202" s="12">
        <f t="shared" si="453"/>
        <v>205.48387096774195</v>
      </c>
      <c r="L202" s="12">
        <f t="shared" si="466"/>
        <v>152.88</v>
      </c>
      <c r="M202" s="11">
        <v>0.81</v>
      </c>
      <c r="N202" s="12">
        <f t="shared" si="454"/>
        <v>169.83870967741936</v>
      </c>
      <c r="O202" s="12">
        <f t="shared" si="467"/>
        <v>126.36000000000001</v>
      </c>
      <c r="P202" s="11">
        <v>0.93</v>
      </c>
      <c r="Q202" s="12">
        <f t="shared" si="455"/>
        <v>195.00000000000003</v>
      </c>
      <c r="R202" s="12">
        <f t="shared" si="468"/>
        <v>145.08000000000001</v>
      </c>
      <c r="S202" s="11">
        <v>0.93</v>
      </c>
      <c r="T202" s="12">
        <f t="shared" si="456"/>
        <v>195.00000000000003</v>
      </c>
      <c r="U202" s="12">
        <f t="shared" si="469"/>
        <v>145.08000000000001</v>
      </c>
      <c r="W202" s="4">
        <v>2</v>
      </c>
      <c r="X202" s="10"/>
      <c r="Y202" s="10"/>
      <c r="Z202" s="11">
        <v>0.81</v>
      </c>
      <c r="AA202" s="12">
        <f t="shared" si="470"/>
        <v>169.83870967741936</v>
      </c>
      <c r="AB202" s="12">
        <f t="shared" si="457"/>
        <v>126.36000000000001</v>
      </c>
      <c r="AC202" s="11">
        <v>0.42</v>
      </c>
      <c r="AD202" s="12">
        <f t="shared" si="471"/>
        <v>88.064516129032256</v>
      </c>
      <c r="AE202" s="12">
        <f t="shared" si="458"/>
        <v>65.52</v>
      </c>
      <c r="AF202" s="11">
        <v>0.78</v>
      </c>
      <c r="AG202" s="12">
        <f t="shared" si="472"/>
        <v>163.54838709677421</v>
      </c>
      <c r="AH202" s="12">
        <f t="shared" si="459"/>
        <v>121.68</v>
      </c>
      <c r="AI202" s="11">
        <v>0.78</v>
      </c>
      <c r="AJ202" s="12">
        <f t="shared" si="473"/>
        <v>163.54838709677421</v>
      </c>
      <c r="AK202" s="12">
        <f t="shared" si="460"/>
        <v>121.68</v>
      </c>
      <c r="AM202" s="4">
        <v>2</v>
      </c>
      <c r="AN202" s="26">
        <f t="shared" si="474"/>
        <v>187.66129032258067</v>
      </c>
      <c r="AO202" s="26">
        <f t="shared" si="475"/>
        <v>139.62</v>
      </c>
      <c r="AP202" s="26">
        <f t="shared" si="476"/>
        <v>128.95161290322579</v>
      </c>
      <c r="AQ202" s="26">
        <f t="shared" si="477"/>
        <v>95.94</v>
      </c>
      <c r="AR202" s="26">
        <f t="shared" si="478"/>
        <v>179.27419354838713</v>
      </c>
      <c r="AS202" s="26">
        <f t="shared" si="479"/>
        <v>133.38</v>
      </c>
      <c r="AT202" s="26">
        <f t="shared" si="480"/>
        <v>179.27419354838713</v>
      </c>
      <c r="AU202" s="26">
        <f t="shared" ref="AU202:AU203" si="486">(U202+AK202)/2</f>
        <v>133.38</v>
      </c>
      <c r="AW202" s="4" t="s">
        <v>65</v>
      </c>
      <c r="AX202" s="11">
        <v>0.52</v>
      </c>
      <c r="AY202" s="12">
        <f t="shared" si="482"/>
        <v>109.03225806451614</v>
      </c>
      <c r="AZ202" s="12">
        <f t="shared" si="461"/>
        <v>81.12</v>
      </c>
      <c r="BA202" s="11">
        <v>0.31</v>
      </c>
      <c r="BB202" s="12">
        <f t="shared" si="483"/>
        <v>65</v>
      </c>
      <c r="BC202" s="12">
        <f t="shared" si="462"/>
        <v>48.36</v>
      </c>
      <c r="BD202" s="11">
        <v>0.55000000000000004</v>
      </c>
      <c r="BE202" s="12">
        <f t="shared" si="484"/>
        <v>115.32258064516131</v>
      </c>
      <c r="BF202" s="12">
        <f t="shared" si="463"/>
        <v>85.800000000000011</v>
      </c>
      <c r="BG202" s="11">
        <v>0.55000000000000004</v>
      </c>
      <c r="BH202" s="12">
        <f t="shared" si="485"/>
        <v>115.32258064516131</v>
      </c>
      <c r="BI202" s="12">
        <f t="shared" si="464"/>
        <v>85.800000000000011</v>
      </c>
    </row>
    <row r="203" spans="1:61" ht="14.4" x14ac:dyDescent="0.3">
      <c r="A203" s="13" t="s">
        <v>25</v>
      </c>
      <c r="B203" s="5">
        <v>31</v>
      </c>
      <c r="C203" s="5">
        <f t="shared" si="465"/>
        <v>744</v>
      </c>
      <c r="D203" s="9">
        <f t="shared" si="452"/>
        <v>182.79569892473117</v>
      </c>
      <c r="E203" s="5">
        <v>136</v>
      </c>
      <c r="H203" s="10"/>
      <c r="J203" s="11">
        <v>1.04</v>
      </c>
      <c r="K203" s="12">
        <f t="shared" si="453"/>
        <v>190.10752688172042</v>
      </c>
      <c r="L203" s="12">
        <f t="shared" si="466"/>
        <v>141.44</v>
      </c>
      <c r="M203" s="11">
        <v>0.73</v>
      </c>
      <c r="N203" s="12">
        <f t="shared" si="454"/>
        <v>133.44086021505376</v>
      </c>
      <c r="O203" s="12">
        <f t="shared" si="467"/>
        <v>99.28</v>
      </c>
      <c r="P203" s="11">
        <v>0.94</v>
      </c>
      <c r="Q203" s="12">
        <f t="shared" si="455"/>
        <v>171.8279569892473</v>
      </c>
      <c r="R203" s="12">
        <f t="shared" si="468"/>
        <v>127.83999999999999</v>
      </c>
      <c r="S203" s="11">
        <v>0.94</v>
      </c>
      <c r="T203" s="12">
        <f t="shared" si="456"/>
        <v>171.8279569892473</v>
      </c>
      <c r="U203" s="12">
        <f t="shared" si="469"/>
        <v>127.83999999999999</v>
      </c>
      <c r="X203" s="10"/>
      <c r="Y203" s="10"/>
      <c r="Z203" s="11">
        <v>0.91</v>
      </c>
      <c r="AA203" s="12">
        <f t="shared" si="470"/>
        <v>166.34408602150538</v>
      </c>
      <c r="AB203" s="12">
        <f t="shared" si="457"/>
        <v>123.76</v>
      </c>
      <c r="AC203" s="11">
        <v>0.35</v>
      </c>
      <c r="AD203" s="12">
        <f t="shared" si="471"/>
        <v>63.978494623655905</v>
      </c>
      <c r="AE203" s="12">
        <f t="shared" si="458"/>
        <v>47.599999999999994</v>
      </c>
      <c r="AF203" s="11">
        <v>0.79</v>
      </c>
      <c r="AG203" s="12">
        <f t="shared" si="472"/>
        <v>144.40860215053763</v>
      </c>
      <c r="AH203" s="12">
        <f t="shared" si="459"/>
        <v>107.44</v>
      </c>
      <c r="AI203" s="11">
        <v>0.79</v>
      </c>
      <c r="AJ203" s="12">
        <f t="shared" si="473"/>
        <v>144.40860215053763</v>
      </c>
      <c r="AK203" s="12">
        <f t="shared" si="460"/>
        <v>107.44</v>
      </c>
      <c r="AN203" s="26">
        <f t="shared" si="474"/>
        <v>178.2258064516129</v>
      </c>
      <c r="AO203" s="26">
        <f>(L203+AB203)/2</f>
        <v>132.6</v>
      </c>
      <c r="AP203" s="26">
        <f t="shared" si="476"/>
        <v>98.709677419354833</v>
      </c>
      <c r="AQ203" s="26">
        <f>(O203+AE203)/2</f>
        <v>73.44</v>
      </c>
      <c r="AR203" s="26">
        <f t="shared" si="478"/>
        <v>158.11827956989248</v>
      </c>
      <c r="AS203" s="26">
        <f t="shared" si="479"/>
        <v>117.63999999999999</v>
      </c>
      <c r="AT203" s="26">
        <f t="shared" si="480"/>
        <v>158.11827956989248</v>
      </c>
      <c r="AU203" s="26">
        <f t="shared" si="486"/>
        <v>117.63999999999999</v>
      </c>
      <c r="AX203" s="11">
        <v>0.62</v>
      </c>
      <c r="AY203" s="12">
        <f t="shared" si="482"/>
        <v>113.33333333333333</v>
      </c>
      <c r="AZ203" s="12">
        <f t="shared" si="461"/>
        <v>84.32</v>
      </c>
      <c r="BA203" s="11">
        <v>0.3</v>
      </c>
      <c r="BB203" s="12">
        <f t="shared" si="483"/>
        <v>54.838709677419352</v>
      </c>
      <c r="BC203" s="12">
        <f t="shared" si="462"/>
        <v>40.799999999999997</v>
      </c>
      <c r="BD203" s="11">
        <v>0.56999999999999995</v>
      </c>
      <c r="BE203" s="12">
        <f t="shared" si="484"/>
        <v>104.19354838709675</v>
      </c>
      <c r="BF203" s="12">
        <f t="shared" si="463"/>
        <v>77.52</v>
      </c>
      <c r="BG203" s="11">
        <v>0.56999999999999995</v>
      </c>
      <c r="BH203" s="12">
        <f t="shared" si="485"/>
        <v>104.19354838709675</v>
      </c>
      <c r="BI203" s="12">
        <f t="shared" si="464"/>
        <v>77.52</v>
      </c>
    </row>
    <row r="204" spans="1:61" ht="14.4" x14ac:dyDescent="0.3">
      <c r="A204" s="13" t="s">
        <v>26</v>
      </c>
      <c r="B204" s="5">
        <v>30</v>
      </c>
      <c r="C204" s="5">
        <f t="shared" si="465"/>
        <v>720</v>
      </c>
      <c r="D204" s="9">
        <f t="shared" si="452"/>
        <v>143.05555555555554</v>
      </c>
      <c r="E204" s="5">
        <v>103</v>
      </c>
      <c r="H204" s="10"/>
      <c r="J204" s="11">
        <v>1.17</v>
      </c>
      <c r="K204" s="12">
        <f t="shared" si="453"/>
        <v>167.37499999999997</v>
      </c>
      <c r="L204" s="12">
        <f t="shared" si="466"/>
        <v>120.50999999999999</v>
      </c>
      <c r="M204" s="11">
        <v>0.59</v>
      </c>
      <c r="N204" s="12">
        <f t="shared" si="454"/>
        <v>84.402777777777771</v>
      </c>
      <c r="O204" s="12">
        <f t="shared" si="467"/>
        <v>60.769999999999996</v>
      </c>
      <c r="P204" s="11">
        <v>0.95</v>
      </c>
      <c r="Q204" s="12">
        <f t="shared" si="455"/>
        <v>135.90277777777777</v>
      </c>
      <c r="R204" s="12">
        <f t="shared" si="468"/>
        <v>97.85</v>
      </c>
      <c r="S204" s="11">
        <v>0.95</v>
      </c>
      <c r="T204" s="12">
        <f t="shared" si="456"/>
        <v>135.90277777777777</v>
      </c>
      <c r="U204" s="12">
        <f t="shared" si="469"/>
        <v>97.85</v>
      </c>
      <c r="X204" s="10"/>
      <c r="Y204" s="10"/>
      <c r="Z204" s="11">
        <v>1.1100000000000001</v>
      </c>
      <c r="AA204" s="12">
        <f t="shared" si="470"/>
        <v>158.79166666666666</v>
      </c>
      <c r="AB204" s="12">
        <f t="shared" si="457"/>
        <v>114.33000000000001</v>
      </c>
      <c r="AC204" s="11">
        <v>0.31</v>
      </c>
      <c r="AD204" s="12">
        <f t="shared" si="471"/>
        <v>44.347222222222221</v>
      </c>
      <c r="AE204" s="12">
        <f t="shared" si="458"/>
        <v>31.93</v>
      </c>
      <c r="AF204" s="11">
        <v>0.81</v>
      </c>
      <c r="AG204" s="12">
        <f t="shared" si="472"/>
        <v>115.875</v>
      </c>
      <c r="AH204" s="12">
        <f t="shared" si="459"/>
        <v>83.43</v>
      </c>
      <c r="AI204" s="11">
        <v>0.81</v>
      </c>
      <c r="AJ204" s="12">
        <f t="shared" si="473"/>
        <v>115.875</v>
      </c>
      <c r="AK204" s="12">
        <f t="shared" si="460"/>
        <v>83.43</v>
      </c>
      <c r="AN204" s="26">
        <f t="shared" si="474"/>
        <v>163.08333333333331</v>
      </c>
      <c r="AO204" s="26">
        <f t="shared" ref="AO204:AO207" si="487">(L204+AB204)/2</f>
        <v>117.42</v>
      </c>
      <c r="AP204" s="26">
        <f t="shared" si="476"/>
        <v>64.375</v>
      </c>
      <c r="AQ204" s="26">
        <f t="shared" ref="AQ204:AQ207" si="488">(O204+AE204)/2</f>
        <v>46.349999999999994</v>
      </c>
      <c r="AR204" s="26">
        <f t="shared" si="478"/>
        <v>125.88888888888889</v>
      </c>
      <c r="AS204" s="26">
        <f t="shared" si="479"/>
        <v>90.64</v>
      </c>
      <c r="AT204" s="26">
        <f t="shared" si="480"/>
        <v>125.88888888888889</v>
      </c>
      <c r="AU204" s="26">
        <f>(U204+AK204)/2</f>
        <v>90.64</v>
      </c>
      <c r="AX204" s="11">
        <v>0.85</v>
      </c>
      <c r="AY204" s="12">
        <f t="shared" si="482"/>
        <v>121.59722222222221</v>
      </c>
      <c r="AZ204" s="12">
        <f t="shared" si="461"/>
        <v>87.55</v>
      </c>
      <c r="BA204" s="11">
        <v>0.28000000000000003</v>
      </c>
      <c r="BB204" s="12">
        <f t="shared" si="483"/>
        <v>40.055555555555557</v>
      </c>
      <c r="BC204" s="12">
        <f t="shared" si="462"/>
        <v>28.840000000000003</v>
      </c>
      <c r="BD204" s="11">
        <v>0.6</v>
      </c>
      <c r="BE204" s="12">
        <f t="shared" si="484"/>
        <v>85.833333333333329</v>
      </c>
      <c r="BF204" s="12">
        <f t="shared" si="463"/>
        <v>61.8</v>
      </c>
      <c r="BG204" s="11">
        <v>0.6</v>
      </c>
      <c r="BH204" s="12">
        <f t="shared" si="485"/>
        <v>85.833333333333329</v>
      </c>
      <c r="BI204" s="12">
        <f t="shared" si="464"/>
        <v>61.8</v>
      </c>
    </row>
    <row r="205" spans="1:61" ht="14.4" x14ac:dyDescent="0.3">
      <c r="A205" s="13" t="s">
        <v>5</v>
      </c>
      <c r="B205" s="5">
        <v>31</v>
      </c>
      <c r="C205" s="5">
        <f t="shared" si="465"/>
        <v>744</v>
      </c>
      <c r="D205" s="9">
        <f t="shared" si="452"/>
        <v>81.989247311827953</v>
      </c>
      <c r="E205" s="5">
        <v>61</v>
      </c>
      <c r="H205" s="10"/>
      <c r="J205" s="11">
        <v>1.33</v>
      </c>
      <c r="K205" s="12">
        <f t="shared" si="453"/>
        <v>109.04569892473118</v>
      </c>
      <c r="L205" s="12">
        <f t="shared" si="466"/>
        <v>81.13000000000001</v>
      </c>
      <c r="M205" s="11">
        <v>0.45</v>
      </c>
      <c r="N205" s="12">
        <f t="shared" si="454"/>
        <v>36.895161290322577</v>
      </c>
      <c r="O205" s="12">
        <f t="shared" si="467"/>
        <v>27.45</v>
      </c>
      <c r="P205" s="11">
        <v>0.96</v>
      </c>
      <c r="Q205" s="12">
        <f t="shared" si="455"/>
        <v>78.709677419354833</v>
      </c>
      <c r="R205" s="12">
        <f t="shared" si="468"/>
        <v>58.559999999999995</v>
      </c>
      <c r="S205" s="11">
        <v>0.96</v>
      </c>
      <c r="T205" s="12">
        <f t="shared" si="456"/>
        <v>78.709677419354833</v>
      </c>
      <c r="U205" s="12">
        <f t="shared" si="469"/>
        <v>58.559999999999995</v>
      </c>
      <c r="X205" s="10"/>
      <c r="Y205" s="10"/>
      <c r="Z205" s="11">
        <v>1.4</v>
      </c>
      <c r="AA205" s="12">
        <f t="shared" si="470"/>
        <v>114.78494623655912</v>
      </c>
      <c r="AB205" s="12">
        <f t="shared" si="457"/>
        <v>85.399999999999991</v>
      </c>
      <c r="AC205" s="11">
        <v>0.34</v>
      </c>
      <c r="AD205" s="12">
        <f t="shared" si="471"/>
        <v>27.876344086021504</v>
      </c>
      <c r="AE205" s="12">
        <f t="shared" si="458"/>
        <v>20.740000000000002</v>
      </c>
      <c r="AF205" s="11">
        <v>0.84</v>
      </c>
      <c r="AG205" s="12">
        <f t="shared" si="472"/>
        <v>68.870967741935473</v>
      </c>
      <c r="AH205" s="12">
        <f t="shared" si="459"/>
        <v>51.239999999999995</v>
      </c>
      <c r="AI205" s="11">
        <v>0.84</v>
      </c>
      <c r="AJ205" s="12">
        <f t="shared" si="473"/>
        <v>68.870967741935473</v>
      </c>
      <c r="AK205" s="12">
        <f t="shared" si="460"/>
        <v>51.239999999999995</v>
      </c>
      <c r="AN205" s="26">
        <f t="shared" si="474"/>
        <v>111.91532258064515</v>
      </c>
      <c r="AO205" s="26">
        <f t="shared" si="487"/>
        <v>83.265000000000001</v>
      </c>
      <c r="AP205" s="26">
        <f t="shared" si="476"/>
        <v>32.38575268817204</v>
      </c>
      <c r="AQ205" s="26">
        <f t="shared" si="488"/>
        <v>24.094999999999999</v>
      </c>
      <c r="AR205" s="26">
        <f t="shared" si="478"/>
        <v>73.790322580645153</v>
      </c>
      <c r="AS205" s="26">
        <f t="shared" si="479"/>
        <v>54.899999999999991</v>
      </c>
      <c r="AT205" s="26">
        <f t="shared" si="480"/>
        <v>73.790322580645153</v>
      </c>
      <c r="AU205" s="26">
        <f t="shared" ref="AU205:AU207" si="489">(U205+AK205)/2</f>
        <v>54.899999999999991</v>
      </c>
      <c r="AX205" s="11">
        <v>1.19</v>
      </c>
      <c r="AY205" s="12">
        <f t="shared" si="482"/>
        <v>97.567204301075265</v>
      </c>
      <c r="AZ205" s="12">
        <f t="shared" si="461"/>
        <v>72.59</v>
      </c>
      <c r="BA205" s="11">
        <v>0.3</v>
      </c>
      <c r="BB205" s="12">
        <f t="shared" si="483"/>
        <v>24.596774193548384</v>
      </c>
      <c r="BC205" s="12">
        <f t="shared" si="462"/>
        <v>18.3</v>
      </c>
      <c r="BD205" s="11">
        <v>0.63</v>
      </c>
      <c r="BE205" s="12">
        <f t="shared" si="484"/>
        <v>51.653225806451609</v>
      </c>
      <c r="BF205" s="12">
        <f t="shared" si="463"/>
        <v>38.43</v>
      </c>
      <c r="BG205" s="11">
        <v>0.63</v>
      </c>
      <c r="BH205" s="12">
        <f t="shared" si="485"/>
        <v>51.653225806451609</v>
      </c>
      <c r="BI205" s="12">
        <f t="shared" si="464"/>
        <v>38.43</v>
      </c>
    </row>
    <row r="206" spans="1:61" ht="14.4" x14ac:dyDescent="0.3">
      <c r="A206" s="13" t="s">
        <v>6</v>
      </c>
      <c r="B206" s="5">
        <v>30</v>
      </c>
      <c r="C206" s="5">
        <f t="shared" si="465"/>
        <v>720</v>
      </c>
      <c r="D206" s="9">
        <f t="shared" si="452"/>
        <v>41.666666666666664</v>
      </c>
      <c r="E206" s="5">
        <v>30</v>
      </c>
      <c r="H206" s="10"/>
      <c r="J206" s="11">
        <v>1.52</v>
      </c>
      <c r="K206" s="12">
        <f t="shared" si="453"/>
        <v>63.333333333333329</v>
      </c>
      <c r="L206" s="12">
        <f t="shared" si="466"/>
        <v>45.6</v>
      </c>
      <c r="M206" s="11">
        <v>0.47</v>
      </c>
      <c r="N206" s="12">
        <f t="shared" si="454"/>
        <v>19.583333333333332</v>
      </c>
      <c r="O206" s="12">
        <f t="shared" si="467"/>
        <v>14.1</v>
      </c>
      <c r="P206" s="11">
        <v>0.97</v>
      </c>
      <c r="Q206" s="12">
        <f t="shared" si="455"/>
        <v>40.416666666666664</v>
      </c>
      <c r="R206" s="12">
        <f t="shared" si="468"/>
        <v>29.099999999999998</v>
      </c>
      <c r="S206" s="11">
        <v>0.97</v>
      </c>
      <c r="T206" s="12">
        <f t="shared" si="456"/>
        <v>40.416666666666664</v>
      </c>
      <c r="U206" s="12">
        <f t="shared" si="469"/>
        <v>29.099999999999998</v>
      </c>
      <c r="X206" s="10"/>
      <c r="Y206" s="10"/>
      <c r="Z206" s="11">
        <v>1.75</v>
      </c>
      <c r="AA206" s="12">
        <f t="shared" si="470"/>
        <v>72.916666666666657</v>
      </c>
      <c r="AB206" s="12">
        <f t="shared" si="457"/>
        <v>52.5</v>
      </c>
      <c r="AC206" s="11">
        <v>0.4</v>
      </c>
      <c r="AD206" s="12">
        <f t="shared" si="471"/>
        <v>16.666666666666668</v>
      </c>
      <c r="AE206" s="12">
        <f t="shared" si="458"/>
        <v>12</v>
      </c>
      <c r="AF206" s="11">
        <v>0.86</v>
      </c>
      <c r="AG206" s="12">
        <f t="shared" si="472"/>
        <v>35.833333333333329</v>
      </c>
      <c r="AH206" s="12">
        <f t="shared" si="459"/>
        <v>25.8</v>
      </c>
      <c r="AI206" s="11">
        <v>0.86</v>
      </c>
      <c r="AJ206" s="12">
        <f t="shared" si="473"/>
        <v>35.833333333333329</v>
      </c>
      <c r="AK206" s="12">
        <f t="shared" si="460"/>
        <v>25.8</v>
      </c>
      <c r="AN206" s="26">
        <f t="shared" si="474"/>
        <v>68.125</v>
      </c>
      <c r="AO206" s="26">
        <f t="shared" si="487"/>
        <v>49.05</v>
      </c>
      <c r="AP206" s="26">
        <f t="shared" si="476"/>
        <v>18.125</v>
      </c>
      <c r="AQ206" s="26">
        <f t="shared" si="488"/>
        <v>13.05</v>
      </c>
      <c r="AR206" s="26">
        <f t="shared" si="478"/>
        <v>38.125</v>
      </c>
      <c r="AS206" s="26">
        <f t="shared" si="479"/>
        <v>27.45</v>
      </c>
      <c r="AT206" s="26">
        <f t="shared" si="480"/>
        <v>38.125</v>
      </c>
      <c r="AU206" s="26">
        <f t="shared" si="489"/>
        <v>27.45</v>
      </c>
      <c r="AX206" s="11">
        <v>1.62</v>
      </c>
      <c r="AY206" s="12">
        <f t="shared" si="482"/>
        <v>67.5</v>
      </c>
      <c r="AZ206" s="12">
        <f t="shared" si="461"/>
        <v>48.6</v>
      </c>
      <c r="BA206" s="11">
        <v>0.37</v>
      </c>
      <c r="BB206" s="12">
        <f t="shared" si="483"/>
        <v>15.416666666666666</v>
      </c>
      <c r="BC206" s="12">
        <f t="shared" si="462"/>
        <v>11.1</v>
      </c>
      <c r="BD206" s="11">
        <v>0.65</v>
      </c>
      <c r="BE206" s="12">
        <f t="shared" si="484"/>
        <v>27.083333333333332</v>
      </c>
      <c r="BF206" s="12">
        <f t="shared" si="463"/>
        <v>19.5</v>
      </c>
      <c r="BG206" s="11">
        <v>0.65</v>
      </c>
      <c r="BH206" s="12">
        <f t="shared" si="485"/>
        <v>27.083333333333332</v>
      </c>
      <c r="BI206" s="12">
        <f t="shared" si="464"/>
        <v>19.5</v>
      </c>
    </row>
    <row r="207" spans="1:61" ht="15" thickBot="1" x14ac:dyDescent="0.35">
      <c r="A207" s="14" t="s">
        <v>7</v>
      </c>
      <c r="B207" s="5">
        <v>31</v>
      </c>
      <c r="C207" s="5">
        <f t="shared" si="465"/>
        <v>744</v>
      </c>
      <c r="D207" s="9">
        <f t="shared" si="452"/>
        <v>26.881720430107528</v>
      </c>
      <c r="E207" s="5">
        <v>20</v>
      </c>
      <c r="H207" s="10"/>
      <c r="J207" s="11">
        <v>1.76</v>
      </c>
      <c r="K207" s="12">
        <f t="shared" si="453"/>
        <v>47.311827956989248</v>
      </c>
      <c r="L207" s="12">
        <f t="shared" si="466"/>
        <v>35.200000000000003</v>
      </c>
      <c r="M207" s="11">
        <v>0.48</v>
      </c>
      <c r="N207" s="12">
        <f t="shared" si="454"/>
        <v>12.903225806451612</v>
      </c>
      <c r="O207" s="12">
        <f t="shared" si="467"/>
        <v>9.6</v>
      </c>
      <c r="P207" s="11">
        <v>0.99</v>
      </c>
      <c r="Q207" s="12">
        <f t="shared" si="455"/>
        <v>26.612903225806452</v>
      </c>
      <c r="R207" s="12">
        <f t="shared" si="468"/>
        <v>19.8</v>
      </c>
      <c r="S207" s="11">
        <v>0.99</v>
      </c>
      <c r="T207" s="12">
        <f t="shared" si="456"/>
        <v>26.612903225806452</v>
      </c>
      <c r="U207" s="12">
        <f t="shared" si="469"/>
        <v>19.8</v>
      </c>
      <c r="X207" s="10"/>
      <c r="Y207" s="10"/>
      <c r="Z207" s="11">
        <v>2.15</v>
      </c>
      <c r="AA207" s="12">
        <f t="shared" si="470"/>
        <v>57.795698924731184</v>
      </c>
      <c r="AB207" s="12">
        <f t="shared" si="457"/>
        <v>43</v>
      </c>
      <c r="AC207" s="11">
        <v>0.46</v>
      </c>
      <c r="AD207" s="12">
        <f t="shared" si="471"/>
        <v>12.365591397849464</v>
      </c>
      <c r="AE207" s="12">
        <f t="shared" si="458"/>
        <v>9.2000000000000011</v>
      </c>
      <c r="AF207" s="11">
        <v>0.9</v>
      </c>
      <c r="AG207" s="12">
        <f t="shared" si="472"/>
        <v>24.193548387096776</v>
      </c>
      <c r="AH207" s="12">
        <f t="shared" si="459"/>
        <v>18</v>
      </c>
      <c r="AI207" s="11">
        <v>0.9</v>
      </c>
      <c r="AJ207" s="12">
        <f t="shared" si="473"/>
        <v>24.193548387096776</v>
      </c>
      <c r="AK207" s="12">
        <f t="shared" si="460"/>
        <v>18</v>
      </c>
      <c r="AN207" s="26">
        <f t="shared" si="474"/>
        <v>52.553763440860216</v>
      </c>
      <c r="AO207" s="26">
        <f t="shared" si="487"/>
        <v>39.1</v>
      </c>
      <c r="AP207" s="26">
        <f t="shared" si="476"/>
        <v>12.634408602150538</v>
      </c>
      <c r="AQ207" s="26">
        <f t="shared" si="488"/>
        <v>9.4</v>
      </c>
      <c r="AR207" s="26">
        <f t="shared" si="478"/>
        <v>25.403225806451616</v>
      </c>
      <c r="AS207" s="26">
        <f t="shared" si="479"/>
        <v>18.899999999999999</v>
      </c>
      <c r="AT207" s="26">
        <f t="shared" si="480"/>
        <v>25.403225806451616</v>
      </c>
      <c r="AU207" s="26">
        <f t="shared" si="489"/>
        <v>18.899999999999999</v>
      </c>
      <c r="AX207" s="11">
        <v>2.19</v>
      </c>
      <c r="AY207" s="12">
        <f t="shared" si="482"/>
        <v>58.870967741935488</v>
      </c>
      <c r="AZ207" s="12">
        <f t="shared" si="461"/>
        <v>43.8</v>
      </c>
      <c r="BA207" s="11">
        <v>0.46</v>
      </c>
      <c r="BB207" s="12">
        <f t="shared" si="483"/>
        <v>12.365591397849464</v>
      </c>
      <c r="BC207" s="12">
        <f t="shared" si="462"/>
        <v>9.2000000000000011</v>
      </c>
      <c r="BD207" s="11">
        <v>0.77</v>
      </c>
      <c r="BE207" s="12">
        <f t="shared" si="484"/>
        <v>20.698924731182796</v>
      </c>
      <c r="BF207" s="12">
        <f t="shared" si="463"/>
        <v>15.4</v>
      </c>
      <c r="BG207" s="11">
        <v>0.77</v>
      </c>
      <c r="BH207" s="12">
        <f t="shared" si="485"/>
        <v>20.698924731182796</v>
      </c>
      <c r="BI207" s="12">
        <f t="shared" si="464"/>
        <v>15.4</v>
      </c>
    </row>
    <row r="209" spans="1:61" x14ac:dyDescent="0.25">
      <c r="A209" s="15" t="s">
        <v>44</v>
      </c>
      <c r="B209" s="7" t="s">
        <v>10</v>
      </c>
      <c r="C209" s="7" t="s">
        <v>11</v>
      </c>
      <c r="E209" s="7" t="s">
        <v>12</v>
      </c>
      <c r="F209" s="7"/>
      <c r="G209" s="7"/>
      <c r="J209" s="36" t="s">
        <v>15</v>
      </c>
      <c r="K209" s="37"/>
      <c r="L209" s="38"/>
      <c r="M209" s="36" t="s">
        <v>16</v>
      </c>
      <c r="N209" s="37"/>
      <c r="O209" s="38"/>
      <c r="P209" s="36" t="s">
        <v>17</v>
      </c>
      <c r="Q209" s="37"/>
      <c r="R209" s="37"/>
      <c r="S209" s="34" t="s">
        <v>18</v>
      </c>
      <c r="T209" s="34"/>
      <c r="U209" s="34"/>
      <c r="Z209" s="36" t="s">
        <v>15</v>
      </c>
      <c r="AA209" s="37"/>
      <c r="AB209" s="38"/>
      <c r="AC209" s="36" t="s">
        <v>16</v>
      </c>
      <c r="AD209" s="37"/>
      <c r="AE209" s="38"/>
      <c r="AF209" s="36" t="s">
        <v>17</v>
      </c>
      <c r="AG209" s="37"/>
      <c r="AH209" s="37"/>
      <c r="AI209" s="34" t="s">
        <v>18</v>
      </c>
      <c r="AJ209" s="34"/>
      <c r="AK209" s="34"/>
      <c r="AN209" s="32" t="s">
        <v>15</v>
      </c>
      <c r="AO209" s="33"/>
      <c r="AP209" s="32" t="s">
        <v>16</v>
      </c>
      <c r="AQ209" s="33"/>
      <c r="AR209" s="32" t="s">
        <v>19</v>
      </c>
      <c r="AS209" s="33"/>
      <c r="AT209" s="34" t="s">
        <v>18</v>
      </c>
      <c r="AU209" s="34"/>
      <c r="AX209" s="36" t="s">
        <v>15</v>
      </c>
      <c r="AY209" s="37"/>
      <c r="AZ209" s="38"/>
      <c r="BA209" s="36" t="s">
        <v>16</v>
      </c>
      <c r="BB209" s="37"/>
      <c r="BC209" s="38"/>
      <c r="BD209" s="36" t="s">
        <v>17</v>
      </c>
      <c r="BE209" s="37"/>
      <c r="BF209" s="37"/>
      <c r="BG209" s="34" t="s">
        <v>18</v>
      </c>
      <c r="BH209" s="34"/>
      <c r="BI209" s="34"/>
    </row>
    <row r="210" spans="1:61" ht="13.8" thickBot="1" x14ac:dyDescent="0.3">
      <c r="D210" s="5" t="s">
        <v>14</v>
      </c>
      <c r="E210" s="5" t="s">
        <v>13</v>
      </c>
      <c r="J210" s="4" t="s">
        <v>48</v>
      </c>
      <c r="K210" s="4" t="s">
        <v>14</v>
      </c>
      <c r="L210" s="4" t="s">
        <v>13</v>
      </c>
      <c r="M210" s="4" t="s">
        <v>48</v>
      </c>
      <c r="N210" s="4" t="s">
        <v>14</v>
      </c>
      <c r="O210" s="4" t="s">
        <v>13</v>
      </c>
      <c r="P210" s="4" t="s">
        <v>48</v>
      </c>
      <c r="Q210" s="4" t="s">
        <v>14</v>
      </c>
      <c r="R210" s="4" t="s">
        <v>13</v>
      </c>
      <c r="S210" s="24" t="s">
        <v>48</v>
      </c>
      <c r="T210" s="24" t="s">
        <v>14</v>
      </c>
      <c r="U210" s="24" t="s">
        <v>13</v>
      </c>
      <c r="Z210" s="4" t="s">
        <v>48</v>
      </c>
      <c r="AA210" s="4" t="s">
        <v>14</v>
      </c>
      <c r="AB210" s="4" t="s">
        <v>13</v>
      </c>
      <c r="AC210" s="4" t="s">
        <v>48</v>
      </c>
      <c r="AD210" s="4" t="s">
        <v>14</v>
      </c>
      <c r="AE210" s="4" t="s">
        <v>13</v>
      </c>
      <c r="AF210" s="4" t="s">
        <v>48</v>
      </c>
      <c r="AG210" s="4" t="s">
        <v>14</v>
      </c>
      <c r="AH210" s="4" t="s">
        <v>13</v>
      </c>
      <c r="AI210" s="24" t="s">
        <v>48</v>
      </c>
      <c r="AJ210" s="24" t="s">
        <v>14</v>
      </c>
      <c r="AK210" s="24" t="s">
        <v>13</v>
      </c>
      <c r="AN210" s="24" t="s">
        <v>14</v>
      </c>
      <c r="AO210" s="24" t="s">
        <v>13</v>
      </c>
      <c r="AP210" s="24" t="s">
        <v>14</v>
      </c>
      <c r="AQ210" s="24" t="s">
        <v>13</v>
      </c>
      <c r="AR210" s="24" t="s">
        <v>14</v>
      </c>
      <c r="AS210" s="24" t="s">
        <v>13</v>
      </c>
      <c r="AT210" s="24" t="s">
        <v>14</v>
      </c>
      <c r="AU210" s="24" t="s">
        <v>13</v>
      </c>
      <c r="AX210" s="4" t="s">
        <v>48</v>
      </c>
      <c r="AY210" s="4" t="s">
        <v>14</v>
      </c>
      <c r="AZ210" s="4" t="s">
        <v>13</v>
      </c>
      <c r="BA210" s="4" t="s">
        <v>48</v>
      </c>
      <c r="BB210" s="4" t="s">
        <v>14</v>
      </c>
      <c r="BC210" s="4" t="s">
        <v>13</v>
      </c>
      <c r="BD210" s="4" t="s">
        <v>48</v>
      </c>
      <c r="BE210" s="4" t="s">
        <v>14</v>
      </c>
      <c r="BF210" s="4" t="s">
        <v>13</v>
      </c>
      <c r="BG210" s="24" t="s">
        <v>48</v>
      </c>
      <c r="BH210" s="24" t="s">
        <v>14</v>
      </c>
      <c r="BI210" s="24" t="s">
        <v>13</v>
      </c>
    </row>
    <row r="211" spans="1:61" ht="14.4" x14ac:dyDescent="0.3">
      <c r="A211" s="8" t="s">
        <v>1</v>
      </c>
      <c r="B211" s="5">
        <v>31</v>
      </c>
      <c r="C211" s="5">
        <f>B211*24</f>
        <v>744</v>
      </c>
      <c r="D211" s="9">
        <f t="shared" ref="D211:D222" si="490">E211*1000/C211</f>
        <v>38.978494623655912</v>
      </c>
      <c r="E211" s="5">
        <v>29</v>
      </c>
      <c r="H211" s="10"/>
      <c r="J211" s="11">
        <v>1.75</v>
      </c>
      <c r="K211" s="12">
        <f t="shared" ref="K211:K222" si="491">J211*D211</f>
        <v>68.212365591397841</v>
      </c>
      <c r="L211" s="12">
        <f>$E211*J211</f>
        <v>50.75</v>
      </c>
      <c r="M211" s="11">
        <v>0.47</v>
      </c>
      <c r="N211" s="12">
        <f t="shared" ref="N211:N222" si="492">M211*D211</f>
        <v>18.319892473118276</v>
      </c>
      <c r="O211" s="12">
        <f>$E211*M211</f>
        <v>13.629999999999999</v>
      </c>
      <c r="P211" s="11">
        <v>1.02</v>
      </c>
      <c r="Q211" s="12">
        <f t="shared" ref="Q211:Q222" si="493">P211*D211</f>
        <v>39.758064516129032</v>
      </c>
      <c r="R211" s="12">
        <f>$E211*P211</f>
        <v>29.580000000000002</v>
      </c>
      <c r="S211" s="11">
        <v>1.02</v>
      </c>
      <c r="T211" s="12">
        <f t="shared" ref="T211:T222" si="494">S211*D211</f>
        <v>39.758064516129032</v>
      </c>
      <c r="U211" s="12">
        <f>$E211*S211</f>
        <v>29.580000000000002</v>
      </c>
      <c r="X211" s="10"/>
      <c r="Y211" s="10"/>
      <c r="Z211" s="11">
        <v>2.2000000000000002</v>
      </c>
      <c r="AA211" s="12">
        <f>Z211*$D211</f>
        <v>85.752688172043008</v>
      </c>
      <c r="AB211" s="12">
        <f t="shared" ref="AB211:AB222" si="495">$E211*Z211</f>
        <v>63.800000000000004</v>
      </c>
      <c r="AC211" s="11">
        <v>0.5</v>
      </c>
      <c r="AD211" s="12">
        <f>AC211*$D211</f>
        <v>19.489247311827956</v>
      </c>
      <c r="AE211" s="12">
        <f t="shared" ref="AE211:AE222" si="496">$E211*AC211</f>
        <v>14.5</v>
      </c>
      <c r="AF211" s="11">
        <v>1.01</v>
      </c>
      <c r="AG211" s="12">
        <f>AF211*$D211</f>
        <v>39.368279569892472</v>
      </c>
      <c r="AH211" s="12">
        <f t="shared" ref="AH211:AH222" si="497">$E211*AF211</f>
        <v>29.29</v>
      </c>
      <c r="AI211" s="11">
        <v>1.01</v>
      </c>
      <c r="AJ211" s="12">
        <f>AI211*$D211</f>
        <v>39.368279569892472</v>
      </c>
      <c r="AK211" s="12">
        <f t="shared" ref="AK211:AK222" si="498">$E211*AI211</f>
        <v>29.29</v>
      </c>
      <c r="AN211" s="26">
        <f>(K211+AA211)/2</f>
        <v>76.982526881720418</v>
      </c>
      <c r="AO211" s="26">
        <f>(L211+AB211)/2</f>
        <v>57.275000000000006</v>
      </c>
      <c r="AP211" s="26">
        <f>(N211+AD211)/2</f>
        <v>18.904569892473116</v>
      </c>
      <c r="AQ211" s="26">
        <f>(O211+AE211)/2</f>
        <v>14.065</v>
      </c>
      <c r="AR211" s="26">
        <f>(Q211+AG211)/2</f>
        <v>39.563172043010752</v>
      </c>
      <c r="AS211" s="26">
        <f>(R211+AH211)/2</f>
        <v>29.435000000000002</v>
      </c>
      <c r="AT211" s="26">
        <f>(T211+AJ211)/2</f>
        <v>39.563172043010752</v>
      </c>
      <c r="AU211" s="26">
        <f>(U211+AK211)/2</f>
        <v>29.435000000000002</v>
      </c>
      <c r="AX211" s="11">
        <v>2.2200000000000002</v>
      </c>
      <c r="AY211" s="12">
        <f>AX211*$D211</f>
        <v>86.532258064516128</v>
      </c>
      <c r="AZ211" s="12">
        <f t="shared" ref="AZ211:AZ222" si="499">$E211*AX211</f>
        <v>64.38000000000001</v>
      </c>
      <c r="BA211" s="11">
        <v>0.57999999999999996</v>
      </c>
      <c r="BB211" s="12">
        <f>BA211*$D211</f>
        <v>22.607526881720428</v>
      </c>
      <c r="BC211" s="12">
        <f t="shared" ref="BC211:BC222" si="500">$E211*BA211</f>
        <v>16.82</v>
      </c>
      <c r="BD211" s="11">
        <v>0.94</v>
      </c>
      <c r="BE211" s="12">
        <f>BD211*$D211</f>
        <v>36.639784946236553</v>
      </c>
      <c r="BF211" s="12">
        <f t="shared" ref="BF211:BF222" si="501">$E211*BD211</f>
        <v>27.259999999999998</v>
      </c>
      <c r="BG211" s="11">
        <v>0.94</v>
      </c>
      <c r="BH211" s="12">
        <f>BG211*$D211</f>
        <v>36.639784946236553</v>
      </c>
      <c r="BI211" s="12">
        <f t="shared" ref="BI211:BI222" si="502">$E211*BG211</f>
        <v>27.259999999999998</v>
      </c>
    </row>
    <row r="212" spans="1:61" ht="14.4" x14ac:dyDescent="0.3">
      <c r="A212" s="13" t="s">
        <v>2</v>
      </c>
      <c r="B212" s="5">
        <v>28</v>
      </c>
      <c r="C212" s="5">
        <f t="shared" ref="C212:C222" si="503">B212*24</f>
        <v>672</v>
      </c>
      <c r="D212" s="9">
        <f t="shared" si="490"/>
        <v>77.38095238095238</v>
      </c>
      <c r="E212" s="5">
        <v>52</v>
      </c>
      <c r="H212" s="10"/>
      <c r="J212" s="11">
        <v>1.51</v>
      </c>
      <c r="K212" s="12">
        <f t="shared" si="491"/>
        <v>116.84523809523809</v>
      </c>
      <c r="L212" s="12">
        <f t="shared" ref="L212:L222" si="504">$E212*J212</f>
        <v>78.52</v>
      </c>
      <c r="M212" s="11">
        <v>0.46</v>
      </c>
      <c r="N212" s="12">
        <f t="shared" si="492"/>
        <v>35.595238095238095</v>
      </c>
      <c r="O212" s="12">
        <f t="shared" ref="O212:O222" si="505">$E212*M212</f>
        <v>23.92</v>
      </c>
      <c r="P212" s="11">
        <v>1.01</v>
      </c>
      <c r="Q212" s="12">
        <f t="shared" si="493"/>
        <v>78.154761904761898</v>
      </c>
      <c r="R212" s="12">
        <f t="shared" ref="R212:R222" si="506">$E212*P212</f>
        <v>52.52</v>
      </c>
      <c r="S212" s="11">
        <v>1.01</v>
      </c>
      <c r="T212" s="12">
        <f t="shared" si="494"/>
        <v>78.154761904761898</v>
      </c>
      <c r="U212" s="12">
        <f t="shared" ref="U212:U222" si="507">$E212*S212</f>
        <v>52.52</v>
      </c>
      <c r="X212" s="10"/>
      <c r="Y212" s="10"/>
      <c r="Z212" s="11">
        <v>1.76</v>
      </c>
      <c r="AA212" s="12">
        <f t="shared" ref="AA212:AA222" si="508">Z212*$D212</f>
        <v>136.19047619047618</v>
      </c>
      <c r="AB212" s="12">
        <f t="shared" si="495"/>
        <v>91.52</v>
      </c>
      <c r="AC212" s="11">
        <v>0.48</v>
      </c>
      <c r="AD212" s="12">
        <f t="shared" ref="AD212:AD222" si="509">AC212*$D212</f>
        <v>37.142857142857139</v>
      </c>
      <c r="AE212" s="12">
        <f t="shared" si="496"/>
        <v>24.96</v>
      </c>
      <c r="AF212" s="11">
        <v>1</v>
      </c>
      <c r="AG212" s="12">
        <f t="shared" ref="AG212:AG222" si="510">AF212*$D212</f>
        <v>77.38095238095238</v>
      </c>
      <c r="AH212" s="12">
        <f t="shared" si="497"/>
        <v>52</v>
      </c>
      <c r="AI212" s="11">
        <v>1</v>
      </c>
      <c r="AJ212" s="12">
        <f t="shared" ref="AJ212:AJ222" si="511">AI212*$D212</f>
        <v>77.38095238095238</v>
      </c>
      <c r="AK212" s="12">
        <f t="shared" si="498"/>
        <v>52</v>
      </c>
      <c r="AN212" s="26">
        <f t="shared" ref="AN212:AN222" si="512">(K212+AA212)/2</f>
        <v>126.51785714285714</v>
      </c>
      <c r="AO212" s="26">
        <f t="shared" ref="AO212:AO217" si="513">(L212+AB212)/2</f>
        <v>85.02</v>
      </c>
      <c r="AP212" s="26">
        <f t="shared" ref="AP212:AP222" si="514">(N212+AD212)/2</f>
        <v>36.36904761904762</v>
      </c>
      <c r="AQ212" s="26">
        <f t="shared" ref="AQ212:AQ217" si="515">(O212+AE212)/2</f>
        <v>24.44</v>
      </c>
      <c r="AR212" s="26">
        <f t="shared" ref="AR212:AR222" si="516">(Q212+AG212)/2</f>
        <v>77.767857142857139</v>
      </c>
      <c r="AS212" s="26">
        <f t="shared" ref="AS212:AS222" si="517">(R212+AH212)/2</f>
        <v>52.260000000000005</v>
      </c>
      <c r="AT212" s="26">
        <f t="shared" ref="AT212:AT222" si="518">(T212+AJ212)/2</f>
        <v>77.767857142857139</v>
      </c>
      <c r="AU212" s="26">
        <f t="shared" ref="AU212:AU215" si="519">(U212+AK212)/2</f>
        <v>52.260000000000005</v>
      </c>
      <c r="AX212" s="11">
        <v>1.72</v>
      </c>
      <c r="AY212" s="12">
        <f t="shared" ref="AY212:AY222" si="520">AX212*$D212</f>
        <v>133.0952380952381</v>
      </c>
      <c r="AZ212" s="12">
        <f t="shared" si="499"/>
        <v>89.44</v>
      </c>
      <c r="BA212" s="11">
        <v>0.56999999999999995</v>
      </c>
      <c r="BB212" s="12">
        <f t="shared" ref="BB212:BB222" si="521">BA212*$D212</f>
        <v>44.107142857142854</v>
      </c>
      <c r="BC212" s="12">
        <f t="shared" si="500"/>
        <v>29.639999999999997</v>
      </c>
      <c r="BD212" s="11">
        <v>0.94</v>
      </c>
      <c r="BE212" s="12">
        <f t="shared" ref="BE212:BE222" si="522">BD212*$D212</f>
        <v>72.738095238095227</v>
      </c>
      <c r="BF212" s="12">
        <f t="shared" si="501"/>
        <v>48.879999999999995</v>
      </c>
      <c r="BG212" s="11">
        <v>0.94</v>
      </c>
      <c r="BH212" s="12">
        <f t="shared" ref="BH212:BH222" si="523">BG212*$D212</f>
        <v>72.738095238095227</v>
      </c>
      <c r="BI212" s="12">
        <f t="shared" si="502"/>
        <v>48.879999999999995</v>
      </c>
    </row>
    <row r="213" spans="1:61" ht="14.4" x14ac:dyDescent="0.3">
      <c r="A213" s="13" t="s">
        <v>3</v>
      </c>
      <c r="B213" s="5">
        <v>31</v>
      </c>
      <c r="C213" s="5">
        <f t="shared" si="503"/>
        <v>744</v>
      </c>
      <c r="D213" s="9">
        <f t="shared" si="490"/>
        <v>116.93548387096774</v>
      </c>
      <c r="E213" s="5">
        <v>87</v>
      </c>
      <c r="H213" s="10"/>
      <c r="J213" s="11">
        <v>1.26</v>
      </c>
      <c r="K213" s="12">
        <f t="shared" si="491"/>
        <v>147.33870967741936</v>
      </c>
      <c r="L213" s="12">
        <f t="shared" si="504"/>
        <v>109.62</v>
      </c>
      <c r="M213" s="11">
        <v>0.56000000000000005</v>
      </c>
      <c r="N213" s="12">
        <f t="shared" si="492"/>
        <v>65.483870967741936</v>
      </c>
      <c r="O213" s="12">
        <f t="shared" si="505"/>
        <v>48.720000000000006</v>
      </c>
      <c r="P213" s="11">
        <v>1</v>
      </c>
      <c r="Q213" s="12">
        <f t="shared" si="493"/>
        <v>116.93548387096774</v>
      </c>
      <c r="R213" s="12">
        <f t="shared" si="506"/>
        <v>87</v>
      </c>
      <c r="S213" s="11">
        <v>1</v>
      </c>
      <c r="T213" s="12">
        <f t="shared" si="494"/>
        <v>116.93548387096774</v>
      </c>
      <c r="U213" s="12">
        <f t="shared" si="507"/>
        <v>87</v>
      </c>
      <c r="X213" s="10"/>
      <c r="Y213" s="10"/>
      <c r="Z213" s="11">
        <v>1.35</v>
      </c>
      <c r="AA213" s="12">
        <f t="shared" si="508"/>
        <v>157.86290322580646</v>
      </c>
      <c r="AB213" s="12">
        <f t="shared" si="495"/>
        <v>117.45</v>
      </c>
      <c r="AC213" s="11">
        <v>0.46</v>
      </c>
      <c r="AD213" s="12">
        <f t="shared" si="509"/>
        <v>53.790322580645167</v>
      </c>
      <c r="AE213" s="12">
        <f t="shared" si="496"/>
        <v>40.020000000000003</v>
      </c>
      <c r="AF213" s="11">
        <v>0.95</v>
      </c>
      <c r="AG213" s="12">
        <f t="shared" si="510"/>
        <v>111.08870967741935</v>
      </c>
      <c r="AH213" s="12">
        <f t="shared" si="497"/>
        <v>82.649999999999991</v>
      </c>
      <c r="AI213" s="11">
        <v>0.95</v>
      </c>
      <c r="AJ213" s="12">
        <f t="shared" si="511"/>
        <v>111.08870967741935</v>
      </c>
      <c r="AK213" s="12">
        <f t="shared" si="498"/>
        <v>82.649999999999991</v>
      </c>
      <c r="AN213" s="26">
        <f t="shared" si="512"/>
        <v>152.60080645161293</v>
      </c>
      <c r="AO213" s="26">
        <f t="shared" si="513"/>
        <v>113.535</v>
      </c>
      <c r="AP213" s="26">
        <f t="shared" si="514"/>
        <v>59.637096774193552</v>
      </c>
      <c r="AQ213" s="26">
        <f t="shared" si="515"/>
        <v>44.370000000000005</v>
      </c>
      <c r="AR213" s="26">
        <f t="shared" si="516"/>
        <v>114.01209677419354</v>
      </c>
      <c r="AS213" s="26">
        <f t="shared" si="517"/>
        <v>84.824999999999989</v>
      </c>
      <c r="AT213" s="26">
        <f t="shared" si="518"/>
        <v>114.01209677419354</v>
      </c>
      <c r="AU213" s="26">
        <f t="shared" si="519"/>
        <v>84.824999999999989</v>
      </c>
      <c r="AX213" s="11">
        <v>1.22</v>
      </c>
      <c r="AY213" s="12">
        <f t="shared" si="520"/>
        <v>142.66129032258064</v>
      </c>
      <c r="AZ213" s="12">
        <f t="shared" si="499"/>
        <v>106.14</v>
      </c>
      <c r="BA213" s="11">
        <v>0.53</v>
      </c>
      <c r="BB213" s="12">
        <f t="shared" si="521"/>
        <v>61.975806451612904</v>
      </c>
      <c r="BC213" s="12">
        <f t="shared" si="500"/>
        <v>46.11</v>
      </c>
      <c r="BD213" s="11">
        <v>0.86</v>
      </c>
      <c r="BE213" s="12">
        <f t="shared" si="522"/>
        <v>100.56451612903226</v>
      </c>
      <c r="BF213" s="12">
        <f t="shared" si="501"/>
        <v>74.819999999999993</v>
      </c>
      <c r="BG213" s="11">
        <v>0.86</v>
      </c>
      <c r="BH213" s="12">
        <f t="shared" si="523"/>
        <v>100.56451612903226</v>
      </c>
      <c r="BI213" s="12">
        <f t="shared" si="502"/>
        <v>74.819999999999993</v>
      </c>
    </row>
    <row r="214" spans="1:61" ht="14.4" x14ac:dyDescent="0.3">
      <c r="A214" s="13" t="s">
        <v>4</v>
      </c>
      <c r="B214" s="5">
        <v>30</v>
      </c>
      <c r="C214" s="5">
        <f t="shared" si="503"/>
        <v>720</v>
      </c>
      <c r="D214" s="9">
        <f t="shared" si="490"/>
        <v>177.77777777777777</v>
      </c>
      <c r="E214" s="5">
        <v>128</v>
      </c>
      <c r="H214" s="10"/>
      <c r="J214" s="11">
        <v>1.1000000000000001</v>
      </c>
      <c r="K214" s="12">
        <f t="shared" si="491"/>
        <v>195.55555555555557</v>
      </c>
      <c r="L214" s="12">
        <f t="shared" si="504"/>
        <v>140.80000000000001</v>
      </c>
      <c r="M214" s="11">
        <v>0.71</v>
      </c>
      <c r="N214" s="12">
        <f t="shared" si="492"/>
        <v>126.22222222222221</v>
      </c>
      <c r="O214" s="12">
        <f t="shared" si="505"/>
        <v>90.88</v>
      </c>
      <c r="P214" s="11">
        <v>0.97</v>
      </c>
      <c r="Q214" s="12">
        <f t="shared" si="493"/>
        <v>172.44444444444443</v>
      </c>
      <c r="R214" s="12">
        <f t="shared" si="506"/>
        <v>124.16</v>
      </c>
      <c r="S214" s="11">
        <v>0.97</v>
      </c>
      <c r="T214" s="12">
        <f t="shared" si="494"/>
        <v>172.44444444444443</v>
      </c>
      <c r="U214" s="12">
        <f t="shared" si="507"/>
        <v>124.16</v>
      </c>
      <c r="X214" s="10"/>
      <c r="Y214" s="10"/>
      <c r="Z214" s="11">
        <v>1.04</v>
      </c>
      <c r="AA214" s="12">
        <f>Z214*$D214</f>
        <v>184.88888888888889</v>
      </c>
      <c r="AB214" s="12">
        <f t="shared" si="495"/>
        <v>133.12</v>
      </c>
      <c r="AC214" s="11">
        <v>0.42</v>
      </c>
      <c r="AD214" s="12">
        <f>AC214*$D214</f>
        <v>74.666666666666657</v>
      </c>
      <c r="AE214" s="12">
        <f t="shared" si="496"/>
        <v>53.76</v>
      </c>
      <c r="AF214" s="11">
        <v>0.87</v>
      </c>
      <c r="AG214" s="12">
        <f>AF214*$D214</f>
        <v>154.66666666666666</v>
      </c>
      <c r="AH214" s="12">
        <f t="shared" si="497"/>
        <v>111.36</v>
      </c>
      <c r="AI214" s="11">
        <v>0.87</v>
      </c>
      <c r="AJ214" s="12">
        <f>AI214*$D214</f>
        <v>154.66666666666666</v>
      </c>
      <c r="AK214" s="12">
        <f t="shared" si="498"/>
        <v>111.36</v>
      </c>
      <c r="AN214" s="26">
        <f t="shared" si="512"/>
        <v>190.22222222222223</v>
      </c>
      <c r="AO214" s="26">
        <f t="shared" si="513"/>
        <v>136.96</v>
      </c>
      <c r="AP214" s="26">
        <f t="shared" si="514"/>
        <v>100.44444444444443</v>
      </c>
      <c r="AQ214" s="26">
        <f t="shared" si="515"/>
        <v>72.319999999999993</v>
      </c>
      <c r="AR214" s="26">
        <f t="shared" si="516"/>
        <v>163.55555555555554</v>
      </c>
      <c r="AS214" s="26">
        <f t="shared" si="517"/>
        <v>117.75999999999999</v>
      </c>
      <c r="AT214" s="26">
        <f t="shared" si="518"/>
        <v>163.55555555555554</v>
      </c>
      <c r="AU214" s="26">
        <f t="shared" si="519"/>
        <v>117.75999999999999</v>
      </c>
      <c r="AX214" s="11">
        <v>0.82</v>
      </c>
      <c r="AY214" s="12">
        <f>AX214*$D214</f>
        <v>145.77777777777777</v>
      </c>
      <c r="AZ214" s="12">
        <f t="shared" si="499"/>
        <v>104.96</v>
      </c>
      <c r="BA214" s="11">
        <v>0.41</v>
      </c>
      <c r="BB214" s="12">
        <f>BA214*$D214</f>
        <v>72.888888888888886</v>
      </c>
      <c r="BC214" s="12">
        <f t="shared" si="500"/>
        <v>52.48</v>
      </c>
      <c r="BD214" s="11">
        <v>0.69</v>
      </c>
      <c r="BE214" s="12">
        <f>BD214*$D214</f>
        <v>122.66666666666666</v>
      </c>
      <c r="BF214" s="12">
        <f t="shared" si="501"/>
        <v>88.32</v>
      </c>
      <c r="BG214" s="11">
        <v>0.69</v>
      </c>
      <c r="BH214" s="12">
        <f>BG214*$D214</f>
        <v>122.66666666666666</v>
      </c>
      <c r="BI214" s="12">
        <f t="shared" si="502"/>
        <v>88.32</v>
      </c>
    </row>
    <row r="215" spans="1:61" ht="14.4" x14ac:dyDescent="0.3">
      <c r="A215" s="13" t="s">
        <v>22</v>
      </c>
      <c r="B215" s="5">
        <v>31</v>
      </c>
      <c r="C215" s="5">
        <f t="shared" si="503"/>
        <v>744</v>
      </c>
      <c r="D215" s="9">
        <f t="shared" si="490"/>
        <v>201.61290322580646</v>
      </c>
      <c r="E215" s="5">
        <v>150</v>
      </c>
      <c r="H215" s="10"/>
      <c r="J215" s="11">
        <v>1.01</v>
      </c>
      <c r="K215" s="12">
        <f t="shared" si="491"/>
        <v>203.62903225806454</v>
      </c>
      <c r="L215" s="12">
        <f t="shared" si="504"/>
        <v>151.5</v>
      </c>
      <c r="M215" s="11">
        <v>0.81</v>
      </c>
      <c r="N215" s="12">
        <f t="shared" si="492"/>
        <v>163.30645161290323</v>
      </c>
      <c r="O215" s="12">
        <f t="shared" si="505"/>
        <v>121.50000000000001</v>
      </c>
      <c r="P215" s="11">
        <v>0.96</v>
      </c>
      <c r="Q215" s="12">
        <f t="shared" si="493"/>
        <v>193.54838709677421</v>
      </c>
      <c r="R215" s="12">
        <f t="shared" si="506"/>
        <v>144</v>
      </c>
      <c r="S215" s="11">
        <v>0.96</v>
      </c>
      <c r="T215" s="12">
        <f t="shared" si="494"/>
        <v>193.54838709677421</v>
      </c>
      <c r="U215" s="12">
        <f t="shared" si="507"/>
        <v>144</v>
      </c>
      <c r="X215" s="10"/>
      <c r="Y215" s="10"/>
      <c r="Z215" s="11">
        <v>0.87</v>
      </c>
      <c r="AA215" s="12">
        <f t="shared" si="508"/>
        <v>175.40322580645162</v>
      </c>
      <c r="AB215" s="12">
        <f t="shared" si="495"/>
        <v>130.5</v>
      </c>
      <c r="AC215" s="11">
        <v>0.44</v>
      </c>
      <c r="AD215" s="12">
        <f t="shared" si="509"/>
        <v>88.709677419354847</v>
      </c>
      <c r="AE215" s="12">
        <f t="shared" si="496"/>
        <v>66</v>
      </c>
      <c r="AF215" s="11">
        <v>0.82</v>
      </c>
      <c r="AG215" s="12">
        <f t="shared" si="510"/>
        <v>165.32258064516128</v>
      </c>
      <c r="AH215" s="12">
        <f t="shared" si="497"/>
        <v>122.99999999999999</v>
      </c>
      <c r="AI215" s="11">
        <v>0.82</v>
      </c>
      <c r="AJ215" s="12">
        <f t="shared" si="511"/>
        <v>165.32258064516128</v>
      </c>
      <c r="AK215" s="12">
        <f t="shared" si="498"/>
        <v>122.99999999999999</v>
      </c>
      <c r="AN215" s="26">
        <f t="shared" si="512"/>
        <v>189.51612903225808</v>
      </c>
      <c r="AO215" s="26">
        <f t="shared" si="513"/>
        <v>141</v>
      </c>
      <c r="AP215" s="26">
        <f t="shared" si="514"/>
        <v>126.00806451612904</v>
      </c>
      <c r="AQ215" s="26">
        <f t="shared" si="515"/>
        <v>93.75</v>
      </c>
      <c r="AR215" s="26">
        <f t="shared" si="516"/>
        <v>179.43548387096774</v>
      </c>
      <c r="AS215" s="26">
        <f t="shared" si="517"/>
        <v>133.5</v>
      </c>
      <c r="AT215" s="26">
        <f t="shared" si="518"/>
        <v>179.43548387096774</v>
      </c>
      <c r="AU215" s="26">
        <f t="shared" si="519"/>
        <v>133.5</v>
      </c>
      <c r="AX215" s="11">
        <v>0.6</v>
      </c>
      <c r="AY215" s="12">
        <f t="shared" si="520"/>
        <v>120.96774193548387</v>
      </c>
      <c r="AZ215" s="12">
        <f t="shared" si="499"/>
        <v>90</v>
      </c>
      <c r="BA215" s="11">
        <v>0.37</v>
      </c>
      <c r="BB215" s="12">
        <f t="shared" si="521"/>
        <v>74.596774193548384</v>
      </c>
      <c r="BC215" s="12">
        <f t="shared" si="500"/>
        <v>55.5</v>
      </c>
      <c r="BD215" s="11">
        <v>0.6</v>
      </c>
      <c r="BE215" s="12">
        <f t="shared" si="522"/>
        <v>120.96774193548387</v>
      </c>
      <c r="BF215" s="12">
        <f t="shared" si="501"/>
        <v>90</v>
      </c>
      <c r="BG215" s="11">
        <v>0.6</v>
      </c>
      <c r="BH215" s="12">
        <f t="shared" si="523"/>
        <v>120.96774193548387</v>
      </c>
      <c r="BI215" s="12">
        <f t="shared" si="502"/>
        <v>90</v>
      </c>
    </row>
    <row r="216" spans="1:61" ht="14.4" x14ac:dyDescent="0.3">
      <c r="A216" s="13" t="s">
        <v>23</v>
      </c>
      <c r="B216" s="5">
        <v>30</v>
      </c>
      <c r="C216" s="5">
        <f t="shared" si="503"/>
        <v>720</v>
      </c>
      <c r="D216" s="9">
        <f t="shared" si="490"/>
        <v>223.61111111111111</v>
      </c>
      <c r="E216" s="5">
        <v>161</v>
      </c>
      <c r="H216" s="10"/>
      <c r="I216" s="4" t="s">
        <v>39</v>
      </c>
      <c r="J216" s="11">
        <v>0.97</v>
      </c>
      <c r="K216" s="12">
        <f t="shared" si="491"/>
        <v>216.90277777777777</v>
      </c>
      <c r="L216" s="12">
        <f t="shared" si="504"/>
        <v>156.16999999999999</v>
      </c>
      <c r="M216" s="11">
        <v>0.83</v>
      </c>
      <c r="N216" s="12">
        <f t="shared" si="492"/>
        <v>185.59722222222223</v>
      </c>
      <c r="O216" s="12">
        <f t="shared" si="505"/>
        <v>133.63</v>
      </c>
      <c r="P216" s="11">
        <v>0.95</v>
      </c>
      <c r="Q216" s="12">
        <f t="shared" si="493"/>
        <v>212.43055555555554</v>
      </c>
      <c r="R216" s="12">
        <f t="shared" si="506"/>
        <v>152.94999999999999</v>
      </c>
      <c r="S216" s="11">
        <v>0.95</v>
      </c>
      <c r="T216" s="12">
        <f t="shared" si="494"/>
        <v>212.43055555555554</v>
      </c>
      <c r="U216" s="12">
        <f t="shared" si="507"/>
        <v>152.94999999999999</v>
      </c>
      <c r="W216" s="4" t="s">
        <v>39</v>
      </c>
      <c r="X216" s="10"/>
      <c r="Y216" s="10"/>
      <c r="Z216" s="11">
        <v>0.79</v>
      </c>
      <c r="AA216" s="12">
        <f t="shared" si="508"/>
        <v>176.6527777777778</v>
      </c>
      <c r="AB216" s="12">
        <f t="shared" si="495"/>
        <v>127.19000000000001</v>
      </c>
      <c r="AC216" s="11">
        <v>0.47</v>
      </c>
      <c r="AD216" s="12">
        <f t="shared" si="509"/>
        <v>105.09722222222221</v>
      </c>
      <c r="AE216" s="12">
        <f t="shared" si="496"/>
        <v>75.67</v>
      </c>
      <c r="AF216" s="11">
        <v>0.79</v>
      </c>
      <c r="AG216" s="12">
        <f t="shared" si="510"/>
        <v>176.6527777777778</v>
      </c>
      <c r="AH216" s="12">
        <f t="shared" si="497"/>
        <v>127.19000000000001</v>
      </c>
      <c r="AI216" s="11">
        <v>0.79</v>
      </c>
      <c r="AJ216" s="12">
        <f t="shared" si="511"/>
        <v>176.6527777777778</v>
      </c>
      <c r="AK216" s="12">
        <f t="shared" si="498"/>
        <v>127.19000000000001</v>
      </c>
      <c r="AM216" s="4" t="s">
        <v>39</v>
      </c>
      <c r="AN216" s="26">
        <f t="shared" si="512"/>
        <v>196.77777777777777</v>
      </c>
      <c r="AO216" s="26">
        <f t="shared" si="513"/>
        <v>141.68</v>
      </c>
      <c r="AP216" s="26">
        <f t="shared" si="514"/>
        <v>145.34722222222223</v>
      </c>
      <c r="AQ216" s="26">
        <f t="shared" si="515"/>
        <v>104.65</v>
      </c>
      <c r="AR216" s="26">
        <f t="shared" si="516"/>
        <v>194.54166666666669</v>
      </c>
      <c r="AS216" s="26">
        <f t="shared" si="517"/>
        <v>140.07</v>
      </c>
      <c r="AT216" s="26">
        <f t="shared" si="518"/>
        <v>194.54166666666669</v>
      </c>
      <c r="AU216" s="26">
        <f>(U216+AK216)/2</f>
        <v>140.07</v>
      </c>
      <c r="AW216" s="4" t="s">
        <v>39</v>
      </c>
      <c r="AX216" s="11">
        <v>0.52</v>
      </c>
      <c r="AY216" s="12">
        <f t="shared" si="520"/>
        <v>116.27777777777779</v>
      </c>
      <c r="AZ216" s="12">
        <f t="shared" si="499"/>
        <v>83.72</v>
      </c>
      <c r="BA216" s="11">
        <v>0.35</v>
      </c>
      <c r="BB216" s="12">
        <f t="shared" si="521"/>
        <v>78.263888888888886</v>
      </c>
      <c r="BC216" s="12">
        <f t="shared" si="500"/>
        <v>56.349999999999994</v>
      </c>
      <c r="BD216" s="11">
        <v>0.56000000000000005</v>
      </c>
      <c r="BE216" s="12">
        <f t="shared" si="522"/>
        <v>125.22222222222224</v>
      </c>
      <c r="BF216" s="12">
        <f t="shared" si="501"/>
        <v>90.160000000000011</v>
      </c>
      <c r="BG216" s="11">
        <v>0.56000000000000005</v>
      </c>
      <c r="BH216" s="12">
        <f t="shared" si="523"/>
        <v>125.22222222222224</v>
      </c>
      <c r="BI216" s="12">
        <f t="shared" si="502"/>
        <v>90.160000000000011</v>
      </c>
    </row>
    <row r="217" spans="1:61" ht="14.4" x14ac:dyDescent="0.3">
      <c r="A217" s="13" t="s">
        <v>24</v>
      </c>
      <c r="B217" s="5">
        <v>31</v>
      </c>
      <c r="C217" s="5">
        <f t="shared" si="503"/>
        <v>744</v>
      </c>
      <c r="D217" s="9">
        <f t="shared" si="490"/>
        <v>212.36559139784947</v>
      </c>
      <c r="E217" s="5">
        <v>158</v>
      </c>
      <c r="H217" s="10"/>
      <c r="I217" s="4">
        <v>3</v>
      </c>
      <c r="J217" s="11">
        <v>0.99</v>
      </c>
      <c r="K217" s="12">
        <f t="shared" si="491"/>
        <v>210.24193548387098</v>
      </c>
      <c r="L217" s="12">
        <f t="shared" si="504"/>
        <v>156.41999999999999</v>
      </c>
      <c r="M217" s="11">
        <v>0.82</v>
      </c>
      <c r="N217" s="12">
        <f t="shared" si="492"/>
        <v>174.13978494623655</v>
      </c>
      <c r="O217" s="12">
        <f t="shared" si="505"/>
        <v>129.56</v>
      </c>
      <c r="P217" s="11">
        <v>0.95</v>
      </c>
      <c r="Q217" s="12">
        <f t="shared" si="493"/>
        <v>201.74731182795699</v>
      </c>
      <c r="R217" s="12">
        <f t="shared" si="506"/>
        <v>150.1</v>
      </c>
      <c r="S217" s="11">
        <v>0.95</v>
      </c>
      <c r="T217" s="12">
        <f t="shared" si="494"/>
        <v>201.74731182795699</v>
      </c>
      <c r="U217" s="12">
        <f t="shared" si="507"/>
        <v>150.1</v>
      </c>
      <c r="W217" s="4">
        <v>3</v>
      </c>
      <c r="X217" s="10"/>
      <c r="Y217" s="10"/>
      <c r="Z217" s="11">
        <v>0.81</v>
      </c>
      <c r="AA217" s="12">
        <f t="shared" si="508"/>
        <v>172.01612903225808</v>
      </c>
      <c r="AB217" s="12">
        <f t="shared" si="495"/>
        <v>127.98</v>
      </c>
      <c r="AC217" s="11">
        <v>0.44</v>
      </c>
      <c r="AD217" s="12">
        <f t="shared" si="509"/>
        <v>93.440860215053775</v>
      </c>
      <c r="AE217" s="12">
        <f t="shared" si="496"/>
        <v>69.52</v>
      </c>
      <c r="AF217" s="11">
        <v>0.79</v>
      </c>
      <c r="AG217" s="12">
        <f t="shared" si="510"/>
        <v>167.76881720430109</v>
      </c>
      <c r="AH217" s="12">
        <f t="shared" si="497"/>
        <v>124.82000000000001</v>
      </c>
      <c r="AI217" s="11">
        <v>0.79</v>
      </c>
      <c r="AJ217" s="12">
        <f t="shared" si="511"/>
        <v>167.76881720430109</v>
      </c>
      <c r="AK217" s="12">
        <f t="shared" si="498"/>
        <v>124.82000000000001</v>
      </c>
      <c r="AM217" s="4">
        <v>3</v>
      </c>
      <c r="AN217" s="26">
        <f t="shared" si="512"/>
        <v>191.12903225806451</v>
      </c>
      <c r="AO217" s="26">
        <f t="shared" si="513"/>
        <v>142.19999999999999</v>
      </c>
      <c r="AP217" s="26">
        <f t="shared" si="514"/>
        <v>133.79032258064515</v>
      </c>
      <c r="AQ217" s="26">
        <f t="shared" si="515"/>
        <v>99.539999999999992</v>
      </c>
      <c r="AR217" s="26">
        <f t="shared" si="516"/>
        <v>184.75806451612902</v>
      </c>
      <c r="AS217" s="26">
        <f t="shared" si="517"/>
        <v>137.46</v>
      </c>
      <c r="AT217" s="26">
        <f t="shared" si="518"/>
        <v>184.75806451612902</v>
      </c>
      <c r="AU217" s="26">
        <f t="shared" ref="AU217:AU218" si="524">(U217+AK217)/2</f>
        <v>137.46</v>
      </c>
      <c r="AW217" s="4" t="s">
        <v>70</v>
      </c>
      <c r="AX217" s="11">
        <v>0.53</v>
      </c>
      <c r="AY217" s="12">
        <f t="shared" si="520"/>
        <v>112.55376344086022</v>
      </c>
      <c r="AZ217" s="12">
        <f t="shared" si="499"/>
        <v>83.740000000000009</v>
      </c>
      <c r="BA217" s="11">
        <v>0.34</v>
      </c>
      <c r="BB217" s="12">
        <f t="shared" si="521"/>
        <v>72.20430107526883</v>
      </c>
      <c r="BC217" s="12">
        <f t="shared" si="500"/>
        <v>53.720000000000006</v>
      </c>
      <c r="BD217" s="11">
        <v>0.55000000000000004</v>
      </c>
      <c r="BE217" s="12">
        <f t="shared" si="522"/>
        <v>116.80107526881721</v>
      </c>
      <c r="BF217" s="12">
        <f t="shared" si="501"/>
        <v>86.9</v>
      </c>
      <c r="BG217" s="11">
        <v>0.55000000000000004</v>
      </c>
      <c r="BH217" s="12">
        <f t="shared" si="523"/>
        <v>116.80107526881721</v>
      </c>
      <c r="BI217" s="12">
        <f t="shared" si="502"/>
        <v>86.9</v>
      </c>
    </row>
    <row r="218" spans="1:61" ht="14.4" x14ac:dyDescent="0.3">
      <c r="A218" s="13" t="s">
        <v>25</v>
      </c>
      <c r="B218" s="5">
        <v>31</v>
      </c>
      <c r="C218" s="5">
        <f t="shared" si="503"/>
        <v>744</v>
      </c>
      <c r="D218" s="9">
        <f t="shared" si="490"/>
        <v>190.86021505376345</v>
      </c>
      <c r="E218" s="5">
        <v>142</v>
      </c>
      <c r="H218" s="10"/>
      <c r="J218" s="11">
        <v>1.04</v>
      </c>
      <c r="K218" s="12">
        <f t="shared" si="491"/>
        <v>198.49462365591401</v>
      </c>
      <c r="L218" s="12">
        <f t="shared" si="504"/>
        <v>147.68</v>
      </c>
      <c r="M218" s="11">
        <v>0.74</v>
      </c>
      <c r="N218" s="12">
        <f t="shared" si="492"/>
        <v>141.23655913978496</v>
      </c>
      <c r="O218" s="12">
        <f t="shared" si="505"/>
        <v>105.08</v>
      </c>
      <c r="P218" s="11">
        <v>0.95</v>
      </c>
      <c r="Q218" s="12">
        <f t="shared" si="493"/>
        <v>181.31720430107526</v>
      </c>
      <c r="R218" s="12">
        <f t="shared" si="506"/>
        <v>134.9</v>
      </c>
      <c r="S218" s="11">
        <v>0.95</v>
      </c>
      <c r="T218" s="12">
        <f t="shared" si="494"/>
        <v>181.31720430107526</v>
      </c>
      <c r="U218" s="12">
        <f t="shared" si="507"/>
        <v>134.9</v>
      </c>
      <c r="X218" s="10"/>
      <c r="Y218" s="10"/>
      <c r="Z218" s="11">
        <v>0.91</v>
      </c>
      <c r="AA218" s="12">
        <f t="shared" si="508"/>
        <v>173.68279569892474</v>
      </c>
      <c r="AB218" s="12">
        <f t="shared" si="495"/>
        <v>129.22</v>
      </c>
      <c r="AC218" s="11">
        <v>0.36</v>
      </c>
      <c r="AD218" s="12">
        <f t="shared" si="509"/>
        <v>68.709677419354847</v>
      </c>
      <c r="AE218" s="12">
        <f t="shared" si="496"/>
        <v>51.12</v>
      </c>
      <c r="AF218" s="11">
        <v>0.81</v>
      </c>
      <c r="AG218" s="12">
        <f t="shared" si="510"/>
        <v>154.59677419354841</v>
      </c>
      <c r="AH218" s="12">
        <f t="shared" si="497"/>
        <v>115.02000000000001</v>
      </c>
      <c r="AI218" s="11">
        <v>0.81</v>
      </c>
      <c r="AJ218" s="12">
        <f t="shared" si="511"/>
        <v>154.59677419354841</v>
      </c>
      <c r="AK218" s="12">
        <f t="shared" si="498"/>
        <v>115.02000000000001</v>
      </c>
      <c r="AN218" s="26">
        <f t="shared" si="512"/>
        <v>186.08870967741939</v>
      </c>
      <c r="AO218" s="26">
        <f>(L218+AB218)/2</f>
        <v>138.44999999999999</v>
      </c>
      <c r="AP218" s="26">
        <f t="shared" si="514"/>
        <v>104.9731182795699</v>
      </c>
      <c r="AQ218" s="26">
        <f>(O218+AE218)/2</f>
        <v>78.099999999999994</v>
      </c>
      <c r="AR218" s="26">
        <f t="shared" si="516"/>
        <v>167.95698924731184</v>
      </c>
      <c r="AS218" s="26">
        <f t="shared" si="517"/>
        <v>124.96000000000001</v>
      </c>
      <c r="AT218" s="26">
        <f t="shared" si="518"/>
        <v>167.95698924731184</v>
      </c>
      <c r="AU218" s="26">
        <f t="shared" si="524"/>
        <v>124.96000000000001</v>
      </c>
      <c r="AX218" s="11">
        <v>0.63</v>
      </c>
      <c r="AY218" s="12">
        <f t="shared" si="520"/>
        <v>120.24193548387098</v>
      </c>
      <c r="AZ218" s="12">
        <f t="shared" si="499"/>
        <v>89.46</v>
      </c>
      <c r="BA218" s="11">
        <v>0.31</v>
      </c>
      <c r="BB218" s="12">
        <f t="shared" si="521"/>
        <v>59.166666666666671</v>
      </c>
      <c r="BC218" s="12">
        <f t="shared" si="500"/>
        <v>44.02</v>
      </c>
      <c r="BD218" s="11">
        <v>0.56999999999999995</v>
      </c>
      <c r="BE218" s="12">
        <f t="shared" si="522"/>
        <v>108.79032258064515</v>
      </c>
      <c r="BF218" s="12">
        <f t="shared" si="501"/>
        <v>80.94</v>
      </c>
      <c r="BG218" s="11">
        <v>0.56999999999999995</v>
      </c>
      <c r="BH218" s="12">
        <f t="shared" si="523"/>
        <v>108.79032258064515</v>
      </c>
      <c r="BI218" s="12">
        <f t="shared" si="502"/>
        <v>80.94</v>
      </c>
    </row>
    <row r="219" spans="1:61" ht="14.4" x14ac:dyDescent="0.3">
      <c r="A219" s="13" t="s">
        <v>26</v>
      </c>
      <c r="B219" s="5">
        <v>30</v>
      </c>
      <c r="C219" s="5">
        <f t="shared" si="503"/>
        <v>720</v>
      </c>
      <c r="D219" s="9">
        <f t="shared" si="490"/>
        <v>150</v>
      </c>
      <c r="E219" s="5">
        <v>108</v>
      </c>
      <c r="H219" s="10"/>
      <c r="J219" s="11">
        <v>1.18</v>
      </c>
      <c r="K219" s="12">
        <f t="shared" si="491"/>
        <v>177</v>
      </c>
      <c r="L219" s="12">
        <f t="shared" si="504"/>
        <v>127.44</v>
      </c>
      <c r="M219" s="11">
        <v>0.59</v>
      </c>
      <c r="N219" s="12">
        <f t="shared" si="492"/>
        <v>88.5</v>
      </c>
      <c r="O219" s="12">
        <f t="shared" si="505"/>
        <v>63.72</v>
      </c>
      <c r="P219" s="11">
        <v>0.96</v>
      </c>
      <c r="Q219" s="12">
        <f t="shared" si="493"/>
        <v>144</v>
      </c>
      <c r="R219" s="12">
        <f t="shared" si="506"/>
        <v>103.67999999999999</v>
      </c>
      <c r="S219" s="11">
        <v>0.96</v>
      </c>
      <c r="T219" s="12">
        <f t="shared" si="494"/>
        <v>144</v>
      </c>
      <c r="U219" s="12">
        <f t="shared" si="507"/>
        <v>103.67999999999999</v>
      </c>
      <c r="X219" s="10"/>
      <c r="Y219" s="10"/>
      <c r="Z219" s="11">
        <v>1.1299999999999999</v>
      </c>
      <c r="AA219" s="12">
        <f t="shared" si="508"/>
        <v>169.49999999999997</v>
      </c>
      <c r="AB219" s="12">
        <f t="shared" si="495"/>
        <v>122.03999999999999</v>
      </c>
      <c r="AC219" s="11">
        <v>0.32</v>
      </c>
      <c r="AD219" s="12">
        <f t="shared" si="509"/>
        <v>48</v>
      </c>
      <c r="AE219" s="12">
        <f t="shared" si="496"/>
        <v>34.56</v>
      </c>
      <c r="AF219" s="11">
        <v>0.83</v>
      </c>
      <c r="AG219" s="12">
        <f t="shared" si="510"/>
        <v>124.5</v>
      </c>
      <c r="AH219" s="12">
        <f t="shared" si="497"/>
        <v>89.64</v>
      </c>
      <c r="AI219" s="11">
        <v>0.83</v>
      </c>
      <c r="AJ219" s="12">
        <f t="shared" si="511"/>
        <v>124.5</v>
      </c>
      <c r="AK219" s="12">
        <f t="shared" si="498"/>
        <v>89.64</v>
      </c>
      <c r="AN219" s="26">
        <f t="shared" si="512"/>
        <v>173.25</v>
      </c>
      <c r="AO219" s="26">
        <f t="shared" ref="AO219:AO222" si="525">(L219+AB219)/2</f>
        <v>124.74</v>
      </c>
      <c r="AP219" s="26">
        <f t="shared" si="514"/>
        <v>68.25</v>
      </c>
      <c r="AQ219" s="26">
        <f t="shared" ref="AQ219:AQ222" si="526">(O219+AE219)/2</f>
        <v>49.14</v>
      </c>
      <c r="AR219" s="26">
        <f t="shared" si="516"/>
        <v>134.25</v>
      </c>
      <c r="AS219" s="26">
        <f t="shared" si="517"/>
        <v>96.66</v>
      </c>
      <c r="AT219" s="26">
        <f t="shared" si="518"/>
        <v>134.25</v>
      </c>
      <c r="AU219" s="26">
        <f>(U219+AK219)/2</f>
        <v>96.66</v>
      </c>
      <c r="AX219" s="11">
        <v>0.88</v>
      </c>
      <c r="AY219" s="12">
        <f t="shared" si="520"/>
        <v>132</v>
      </c>
      <c r="AZ219" s="12">
        <f t="shared" si="499"/>
        <v>95.04</v>
      </c>
      <c r="BA219" s="11">
        <v>0.3</v>
      </c>
      <c r="BB219" s="12">
        <f t="shared" si="521"/>
        <v>45</v>
      </c>
      <c r="BC219" s="12">
        <f t="shared" si="500"/>
        <v>32.4</v>
      </c>
      <c r="BD219" s="11">
        <v>0.61</v>
      </c>
      <c r="BE219" s="12">
        <f t="shared" si="522"/>
        <v>91.5</v>
      </c>
      <c r="BF219" s="12">
        <f t="shared" si="501"/>
        <v>65.88</v>
      </c>
      <c r="BG219" s="11">
        <v>0.61</v>
      </c>
      <c r="BH219" s="12">
        <f t="shared" si="523"/>
        <v>91.5</v>
      </c>
      <c r="BI219" s="12">
        <f t="shared" si="502"/>
        <v>65.88</v>
      </c>
    </row>
    <row r="220" spans="1:61" ht="14.4" x14ac:dyDescent="0.3">
      <c r="A220" s="13" t="s">
        <v>5</v>
      </c>
      <c r="B220" s="5">
        <v>31</v>
      </c>
      <c r="C220" s="5">
        <f t="shared" si="503"/>
        <v>744</v>
      </c>
      <c r="D220" s="9">
        <f t="shared" si="490"/>
        <v>87.365591397849457</v>
      </c>
      <c r="E220" s="5">
        <v>65</v>
      </c>
      <c r="H220" s="10"/>
      <c r="J220" s="11">
        <v>1.43</v>
      </c>
      <c r="K220" s="12">
        <f t="shared" si="491"/>
        <v>124.93279569892472</v>
      </c>
      <c r="L220" s="12">
        <f t="shared" si="504"/>
        <v>92.95</v>
      </c>
      <c r="M220" s="11">
        <v>0.38</v>
      </c>
      <c r="N220" s="12">
        <f t="shared" si="492"/>
        <v>33.198924731182792</v>
      </c>
      <c r="O220" s="12">
        <f t="shared" si="505"/>
        <v>24.7</v>
      </c>
      <c r="P220" s="11">
        <v>0.98</v>
      </c>
      <c r="Q220" s="12">
        <f t="shared" si="493"/>
        <v>85.618279569892465</v>
      </c>
      <c r="R220" s="12">
        <f t="shared" si="506"/>
        <v>63.699999999999996</v>
      </c>
      <c r="S220" s="11">
        <v>0.98</v>
      </c>
      <c r="T220" s="12">
        <f t="shared" si="494"/>
        <v>85.618279569892465</v>
      </c>
      <c r="U220" s="12">
        <f t="shared" si="507"/>
        <v>63.699999999999996</v>
      </c>
      <c r="X220" s="10"/>
      <c r="Y220" s="10"/>
      <c r="Z220" s="11">
        <v>1.58</v>
      </c>
      <c r="AA220" s="12">
        <f t="shared" si="508"/>
        <v>138.03763440860214</v>
      </c>
      <c r="AB220" s="12">
        <f t="shared" si="495"/>
        <v>102.7</v>
      </c>
      <c r="AC220" s="11">
        <v>0.31</v>
      </c>
      <c r="AD220" s="12">
        <f t="shared" si="509"/>
        <v>27.083333333333332</v>
      </c>
      <c r="AE220" s="12">
        <f t="shared" si="496"/>
        <v>20.149999999999999</v>
      </c>
      <c r="AF220" s="11">
        <v>0.89</v>
      </c>
      <c r="AG220" s="12">
        <f t="shared" si="510"/>
        <v>77.755376344086017</v>
      </c>
      <c r="AH220" s="12">
        <f t="shared" si="497"/>
        <v>57.85</v>
      </c>
      <c r="AI220" s="11">
        <v>0.89</v>
      </c>
      <c r="AJ220" s="12">
        <f t="shared" si="511"/>
        <v>77.755376344086017</v>
      </c>
      <c r="AK220" s="12">
        <f t="shared" si="498"/>
        <v>57.85</v>
      </c>
      <c r="AN220" s="26">
        <f t="shared" si="512"/>
        <v>131.48521505376343</v>
      </c>
      <c r="AO220" s="26">
        <f t="shared" si="525"/>
        <v>97.825000000000003</v>
      </c>
      <c r="AP220" s="26">
        <f t="shared" si="514"/>
        <v>30.141129032258064</v>
      </c>
      <c r="AQ220" s="26">
        <f t="shared" si="526"/>
        <v>22.424999999999997</v>
      </c>
      <c r="AR220" s="26">
        <f t="shared" si="516"/>
        <v>81.686827956989248</v>
      </c>
      <c r="AS220" s="26">
        <f t="shared" si="517"/>
        <v>60.774999999999999</v>
      </c>
      <c r="AT220" s="26">
        <f t="shared" si="518"/>
        <v>81.686827956989248</v>
      </c>
      <c r="AU220" s="26">
        <f t="shared" ref="AU220:AU222" si="527">(U220+AK220)/2</f>
        <v>60.774999999999999</v>
      </c>
      <c r="AX220" s="11">
        <v>1.38</v>
      </c>
      <c r="AY220" s="12">
        <f t="shared" si="520"/>
        <v>120.56451612903224</v>
      </c>
      <c r="AZ220" s="12">
        <f t="shared" si="499"/>
        <v>89.699999999999989</v>
      </c>
      <c r="BA220" s="11">
        <v>0.31</v>
      </c>
      <c r="BB220" s="12">
        <f t="shared" si="521"/>
        <v>27.083333333333332</v>
      </c>
      <c r="BC220" s="12">
        <f t="shared" si="500"/>
        <v>20.149999999999999</v>
      </c>
      <c r="BD220" s="11">
        <v>0.7</v>
      </c>
      <c r="BE220" s="12">
        <f t="shared" si="522"/>
        <v>61.155913978494617</v>
      </c>
      <c r="BF220" s="12">
        <f t="shared" si="501"/>
        <v>45.5</v>
      </c>
      <c r="BG220" s="11">
        <v>0.7</v>
      </c>
      <c r="BH220" s="12">
        <f t="shared" si="523"/>
        <v>61.155913978494617</v>
      </c>
      <c r="BI220" s="12">
        <f t="shared" si="502"/>
        <v>45.5</v>
      </c>
    </row>
    <row r="221" spans="1:61" ht="14.4" x14ac:dyDescent="0.3">
      <c r="A221" s="13" t="s">
        <v>6</v>
      </c>
      <c r="B221" s="5">
        <v>30</v>
      </c>
      <c r="C221" s="5">
        <f t="shared" si="503"/>
        <v>720</v>
      </c>
      <c r="D221" s="9">
        <f t="shared" si="490"/>
        <v>43.055555555555557</v>
      </c>
      <c r="E221" s="5">
        <v>31</v>
      </c>
      <c r="H221" s="10"/>
      <c r="J221" s="11">
        <v>1.65</v>
      </c>
      <c r="K221" s="12">
        <f t="shared" si="491"/>
        <v>71.041666666666671</v>
      </c>
      <c r="L221" s="12">
        <f t="shared" si="504"/>
        <v>51.15</v>
      </c>
      <c r="M221" s="11">
        <v>0.44</v>
      </c>
      <c r="N221" s="12">
        <f t="shared" si="492"/>
        <v>18.944444444444446</v>
      </c>
      <c r="O221" s="12">
        <f t="shared" si="505"/>
        <v>13.64</v>
      </c>
      <c r="P221" s="11">
        <v>1</v>
      </c>
      <c r="Q221" s="12">
        <f t="shared" si="493"/>
        <v>43.055555555555557</v>
      </c>
      <c r="R221" s="12">
        <f t="shared" si="506"/>
        <v>31</v>
      </c>
      <c r="S221" s="11">
        <v>1</v>
      </c>
      <c r="T221" s="12">
        <f t="shared" si="494"/>
        <v>43.055555555555557</v>
      </c>
      <c r="U221" s="12">
        <f t="shared" si="507"/>
        <v>31</v>
      </c>
      <c r="X221" s="10"/>
      <c r="Y221" s="10"/>
      <c r="Z221" s="11">
        <v>1.98</v>
      </c>
      <c r="AA221" s="12">
        <f t="shared" si="508"/>
        <v>85.25</v>
      </c>
      <c r="AB221" s="12">
        <f t="shared" si="495"/>
        <v>61.38</v>
      </c>
      <c r="AC221" s="11">
        <v>0.42</v>
      </c>
      <c r="AD221" s="12">
        <f t="shared" si="509"/>
        <v>18.083333333333332</v>
      </c>
      <c r="AE221" s="12">
        <f t="shared" si="496"/>
        <v>13.02</v>
      </c>
      <c r="AF221" s="11">
        <v>0.93</v>
      </c>
      <c r="AG221" s="12">
        <f t="shared" si="510"/>
        <v>40.041666666666671</v>
      </c>
      <c r="AH221" s="12">
        <f t="shared" si="497"/>
        <v>28.830000000000002</v>
      </c>
      <c r="AI221" s="11">
        <v>0.93</v>
      </c>
      <c r="AJ221" s="12">
        <f t="shared" si="511"/>
        <v>40.041666666666671</v>
      </c>
      <c r="AK221" s="12">
        <f t="shared" si="498"/>
        <v>28.830000000000002</v>
      </c>
      <c r="AN221" s="26">
        <f t="shared" si="512"/>
        <v>78.145833333333343</v>
      </c>
      <c r="AO221" s="26">
        <f t="shared" si="525"/>
        <v>56.265000000000001</v>
      </c>
      <c r="AP221" s="26">
        <f t="shared" si="514"/>
        <v>18.513888888888889</v>
      </c>
      <c r="AQ221" s="26">
        <f t="shared" si="526"/>
        <v>13.33</v>
      </c>
      <c r="AR221" s="26">
        <f t="shared" si="516"/>
        <v>41.548611111111114</v>
      </c>
      <c r="AS221" s="26">
        <f t="shared" si="517"/>
        <v>29.914999999999999</v>
      </c>
      <c r="AT221" s="26">
        <f t="shared" si="518"/>
        <v>41.548611111111114</v>
      </c>
      <c r="AU221" s="26">
        <f t="shared" si="527"/>
        <v>29.914999999999999</v>
      </c>
      <c r="AX221" s="11">
        <v>1.9</v>
      </c>
      <c r="AY221" s="12">
        <f t="shared" si="520"/>
        <v>81.805555555555557</v>
      </c>
      <c r="AZ221" s="12">
        <f t="shared" si="499"/>
        <v>58.9</v>
      </c>
      <c r="BA221" s="11">
        <v>0.43</v>
      </c>
      <c r="BB221" s="12">
        <f t="shared" si="521"/>
        <v>18.513888888888889</v>
      </c>
      <c r="BC221" s="12">
        <f t="shared" si="500"/>
        <v>13.33</v>
      </c>
      <c r="BD221" s="11">
        <v>0.78</v>
      </c>
      <c r="BE221" s="12">
        <f t="shared" si="522"/>
        <v>33.583333333333336</v>
      </c>
      <c r="BF221" s="12">
        <f t="shared" si="501"/>
        <v>24.18</v>
      </c>
      <c r="BG221" s="11">
        <v>0.78</v>
      </c>
      <c r="BH221" s="12">
        <f t="shared" si="523"/>
        <v>33.583333333333336</v>
      </c>
      <c r="BI221" s="12">
        <f t="shared" si="502"/>
        <v>24.18</v>
      </c>
    </row>
    <row r="222" spans="1:61" ht="15" thickBot="1" x14ac:dyDescent="0.35">
      <c r="A222" s="14" t="s">
        <v>7</v>
      </c>
      <c r="B222" s="5">
        <v>31</v>
      </c>
      <c r="C222" s="5">
        <f t="shared" si="503"/>
        <v>744</v>
      </c>
      <c r="D222" s="9">
        <f t="shared" si="490"/>
        <v>29.56989247311828</v>
      </c>
      <c r="E222" s="5">
        <v>22</v>
      </c>
      <c r="H222" s="10"/>
      <c r="J222" s="11">
        <v>1.85</v>
      </c>
      <c r="K222" s="12">
        <f t="shared" si="491"/>
        <v>54.704301075268823</v>
      </c>
      <c r="L222" s="12">
        <f t="shared" si="504"/>
        <v>40.700000000000003</v>
      </c>
      <c r="M222" s="11">
        <v>0.49</v>
      </c>
      <c r="N222" s="12">
        <f t="shared" si="492"/>
        <v>14.489247311827956</v>
      </c>
      <c r="O222" s="12">
        <f t="shared" si="505"/>
        <v>10.78</v>
      </c>
      <c r="P222" s="11">
        <v>1.01</v>
      </c>
      <c r="Q222" s="12">
        <f t="shared" si="493"/>
        <v>29.865591397849464</v>
      </c>
      <c r="R222" s="12">
        <f t="shared" si="506"/>
        <v>22.22</v>
      </c>
      <c r="S222" s="11">
        <v>1.01</v>
      </c>
      <c r="T222" s="12">
        <f t="shared" si="494"/>
        <v>29.865591397849464</v>
      </c>
      <c r="U222" s="12">
        <f t="shared" si="507"/>
        <v>22.22</v>
      </c>
      <c r="X222" s="10"/>
      <c r="Y222" s="10"/>
      <c r="Z222" s="11">
        <v>2.3199999999999998</v>
      </c>
      <c r="AA222" s="12">
        <f t="shared" si="508"/>
        <v>68.602150537634401</v>
      </c>
      <c r="AB222" s="12">
        <f t="shared" si="495"/>
        <v>51.04</v>
      </c>
      <c r="AC222" s="11">
        <v>0.51</v>
      </c>
      <c r="AD222" s="12">
        <f t="shared" si="509"/>
        <v>15.080645161290324</v>
      </c>
      <c r="AE222" s="12">
        <f t="shared" si="496"/>
        <v>11.22</v>
      </c>
      <c r="AF222" s="11">
        <v>1</v>
      </c>
      <c r="AG222" s="12">
        <f t="shared" si="510"/>
        <v>29.56989247311828</v>
      </c>
      <c r="AH222" s="12">
        <f t="shared" si="497"/>
        <v>22</v>
      </c>
      <c r="AI222" s="11">
        <v>1</v>
      </c>
      <c r="AJ222" s="12">
        <f t="shared" si="511"/>
        <v>29.56989247311828</v>
      </c>
      <c r="AK222" s="12">
        <f t="shared" si="498"/>
        <v>22</v>
      </c>
      <c r="AN222" s="26">
        <f t="shared" si="512"/>
        <v>61.653225806451616</v>
      </c>
      <c r="AO222" s="26">
        <f t="shared" si="525"/>
        <v>45.870000000000005</v>
      </c>
      <c r="AP222" s="26">
        <f t="shared" si="514"/>
        <v>14.78494623655914</v>
      </c>
      <c r="AQ222" s="26">
        <f t="shared" si="526"/>
        <v>11</v>
      </c>
      <c r="AR222" s="26">
        <f t="shared" si="516"/>
        <v>29.717741935483872</v>
      </c>
      <c r="AS222" s="26">
        <f t="shared" si="517"/>
        <v>22.11</v>
      </c>
      <c r="AT222" s="26">
        <f t="shared" si="518"/>
        <v>29.717741935483872</v>
      </c>
      <c r="AU222" s="26">
        <f t="shared" si="527"/>
        <v>22.11</v>
      </c>
      <c r="AX222" s="11">
        <v>2.35</v>
      </c>
      <c r="AY222" s="12">
        <f t="shared" si="520"/>
        <v>69.489247311827967</v>
      </c>
      <c r="AZ222" s="12">
        <f t="shared" si="499"/>
        <v>51.7</v>
      </c>
      <c r="BA222" s="11">
        <v>0.56999999999999995</v>
      </c>
      <c r="BB222" s="12">
        <f t="shared" si="521"/>
        <v>16.854838709677416</v>
      </c>
      <c r="BC222" s="12">
        <f t="shared" si="500"/>
        <v>12.54</v>
      </c>
      <c r="BD222" s="11">
        <v>0.92</v>
      </c>
      <c r="BE222" s="12">
        <f t="shared" si="522"/>
        <v>27.20430107526882</v>
      </c>
      <c r="BF222" s="12">
        <f t="shared" si="501"/>
        <v>20.240000000000002</v>
      </c>
      <c r="BG222" s="11">
        <v>0.92</v>
      </c>
      <c r="BH222" s="12">
        <f t="shared" si="523"/>
        <v>27.20430107526882</v>
      </c>
      <c r="BI222" s="12">
        <f t="shared" si="502"/>
        <v>20.240000000000002</v>
      </c>
    </row>
    <row r="224" spans="1:61" x14ac:dyDescent="0.25">
      <c r="A224" s="15" t="s">
        <v>44</v>
      </c>
      <c r="B224" s="7" t="s">
        <v>10</v>
      </c>
      <c r="C224" s="7" t="s">
        <v>11</v>
      </c>
      <c r="E224" s="7" t="s">
        <v>12</v>
      </c>
      <c r="F224" s="7"/>
      <c r="G224" s="7"/>
      <c r="J224" s="36" t="s">
        <v>15</v>
      </c>
      <c r="K224" s="37"/>
      <c r="L224" s="38"/>
      <c r="M224" s="36" t="s">
        <v>16</v>
      </c>
      <c r="N224" s="37"/>
      <c r="O224" s="38"/>
      <c r="P224" s="36" t="s">
        <v>17</v>
      </c>
      <c r="Q224" s="37"/>
      <c r="R224" s="37"/>
      <c r="S224" s="34" t="s">
        <v>18</v>
      </c>
      <c r="T224" s="34"/>
      <c r="U224" s="34"/>
      <c r="Z224" s="36" t="s">
        <v>15</v>
      </c>
      <c r="AA224" s="37"/>
      <c r="AB224" s="38"/>
      <c r="AC224" s="36" t="s">
        <v>16</v>
      </c>
      <c r="AD224" s="37"/>
      <c r="AE224" s="38"/>
      <c r="AF224" s="36" t="s">
        <v>17</v>
      </c>
      <c r="AG224" s="37"/>
      <c r="AH224" s="37"/>
      <c r="AI224" s="34" t="s">
        <v>18</v>
      </c>
      <c r="AJ224" s="34"/>
      <c r="AK224" s="34"/>
      <c r="AN224" s="32" t="s">
        <v>15</v>
      </c>
      <c r="AO224" s="33"/>
      <c r="AP224" s="32" t="s">
        <v>16</v>
      </c>
      <c r="AQ224" s="33"/>
      <c r="AR224" s="32" t="s">
        <v>19</v>
      </c>
      <c r="AS224" s="33"/>
      <c r="AT224" s="34" t="s">
        <v>18</v>
      </c>
      <c r="AU224" s="34"/>
      <c r="AX224" s="36" t="s">
        <v>15</v>
      </c>
      <c r="AY224" s="37"/>
      <c r="AZ224" s="38"/>
      <c r="BA224" s="36" t="s">
        <v>16</v>
      </c>
      <c r="BB224" s="37"/>
      <c r="BC224" s="38"/>
      <c r="BD224" s="36" t="s">
        <v>17</v>
      </c>
      <c r="BE224" s="37"/>
      <c r="BF224" s="37"/>
      <c r="BG224" s="34" t="s">
        <v>18</v>
      </c>
      <c r="BH224" s="34"/>
      <c r="BI224" s="34"/>
    </row>
    <row r="225" spans="1:61" ht="13.8" thickBot="1" x14ac:dyDescent="0.3">
      <c r="D225" s="5" t="s">
        <v>14</v>
      </c>
      <c r="E225" s="5" t="s">
        <v>13</v>
      </c>
      <c r="J225" s="4" t="s">
        <v>48</v>
      </c>
      <c r="K225" s="4" t="s">
        <v>14</v>
      </c>
      <c r="L225" s="4" t="s">
        <v>13</v>
      </c>
      <c r="M225" s="4" t="s">
        <v>48</v>
      </c>
      <c r="N225" s="4" t="s">
        <v>14</v>
      </c>
      <c r="O225" s="4" t="s">
        <v>13</v>
      </c>
      <c r="P225" s="4" t="s">
        <v>48</v>
      </c>
      <c r="Q225" s="4" t="s">
        <v>14</v>
      </c>
      <c r="R225" s="4" t="s">
        <v>13</v>
      </c>
      <c r="S225" s="24" t="s">
        <v>48</v>
      </c>
      <c r="T225" s="24" t="s">
        <v>14</v>
      </c>
      <c r="U225" s="24" t="s">
        <v>13</v>
      </c>
      <c r="Z225" s="4" t="s">
        <v>48</v>
      </c>
      <c r="AA225" s="4" t="s">
        <v>14</v>
      </c>
      <c r="AB225" s="4" t="s">
        <v>13</v>
      </c>
      <c r="AC225" s="4" t="s">
        <v>48</v>
      </c>
      <c r="AD225" s="4" t="s">
        <v>14</v>
      </c>
      <c r="AE225" s="4" t="s">
        <v>13</v>
      </c>
      <c r="AF225" s="4" t="s">
        <v>48</v>
      </c>
      <c r="AG225" s="4" t="s">
        <v>14</v>
      </c>
      <c r="AH225" s="4" t="s">
        <v>13</v>
      </c>
      <c r="AI225" s="24" t="s">
        <v>48</v>
      </c>
      <c r="AJ225" s="24" t="s">
        <v>14</v>
      </c>
      <c r="AK225" s="24" t="s">
        <v>13</v>
      </c>
      <c r="AN225" s="24" t="s">
        <v>14</v>
      </c>
      <c r="AO225" s="24" t="s">
        <v>13</v>
      </c>
      <c r="AP225" s="24" t="s">
        <v>14</v>
      </c>
      <c r="AQ225" s="24" t="s">
        <v>13</v>
      </c>
      <c r="AR225" s="24" t="s">
        <v>14</v>
      </c>
      <c r="AS225" s="24" t="s">
        <v>13</v>
      </c>
      <c r="AT225" s="24" t="s">
        <v>14</v>
      </c>
      <c r="AU225" s="24" t="s">
        <v>13</v>
      </c>
      <c r="AX225" s="4" t="s">
        <v>48</v>
      </c>
      <c r="AY225" s="4" t="s">
        <v>14</v>
      </c>
      <c r="AZ225" s="4" t="s">
        <v>13</v>
      </c>
      <c r="BA225" s="4" t="s">
        <v>48</v>
      </c>
      <c r="BB225" s="4" t="s">
        <v>14</v>
      </c>
      <c r="BC225" s="4" t="s">
        <v>13</v>
      </c>
      <c r="BD225" s="4" t="s">
        <v>48</v>
      </c>
      <c r="BE225" s="4" t="s">
        <v>14</v>
      </c>
      <c r="BF225" s="4" t="s">
        <v>13</v>
      </c>
      <c r="BG225" s="24" t="s">
        <v>48</v>
      </c>
      <c r="BH225" s="24" t="s">
        <v>14</v>
      </c>
      <c r="BI225" s="24" t="s">
        <v>13</v>
      </c>
    </row>
    <row r="226" spans="1:61" ht="14.4" x14ac:dyDescent="0.3">
      <c r="A226" s="8" t="s">
        <v>1</v>
      </c>
      <c r="B226" s="5">
        <v>31</v>
      </c>
      <c r="C226" s="5">
        <f>B226*24</f>
        <v>744</v>
      </c>
      <c r="D226" s="9">
        <f t="shared" ref="D226:D237" si="528">E226*1000/C226</f>
        <v>43.01075268817204</v>
      </c>
      <c r="E226" s="5">
        <v>32</v>
      </c>
      <c r="H226" s="10"/>
      <c r="J226" s="11">
        <v>1.75</v>
      </c>
      <c r="K226" s="12">
        <f t="shared" ref="K226:K237" si="529">J226*D226</f>
        <v>75.268817204301072</v>
      </c>
      <c r="L226" s="12">
        <f>$E226*J226</f>
        <v>56</v>
      </c>
      <c r="M226" s="11">
        <v>0.47</v>
      </c>
      <c r="N226" s="12">
        <f t="shared" ref="N226:N237" si="530">M226*D226</f>
        <v>20.215053763440856</v>
      </c>
      <c r="O226" s="12">
        <f>$E226*M226</f>
        <v>15.04</v>
      </c>
      <c r="P226" s="11">
        <v>1.02</v>
      </c>
      <c r="Q226" s="12">
        <f t="shared" ref="Q226:Q237" si="531">P226*D226</f>
        <v>43.87096774193548</v>
      </c>
      <c r="R226" s="12">
        <f>$E226*P226</f>
        <v>32.64</v>
      </c>
      <c r="S226" s="11">
        <v>1.02</v>
      </c>
      <c r="T226" s="12">
        <f t="shared" ref="T226:T237" si="532">S226*D226</f>
        <v>43.87096774193548</v>
      </c>
      <c r="U226" s="12">
        <f>$E226*S226</f>
        <v>32.64</v>
      </c>
      <c r="X226" s="10"/>
      <c r="Y226" s="10"/>
      <c r="Z226" s="11">
        <v>2.2000000000000002</v>
      </c>
      <c r="AA226" s="12">
        <f>Z226*$D226</f>
        <v>94.623655913978496</v>
      </c>
      <c r="AB226" s="12">
        <f t="shared" ref="AB226:AB237" si="533">$E226*Z226</f>
        <v>70.400000000000006</v>
      </c>
      <c r="AC226" s="11">
        <v>0.5</v>
      </c>
      <c r="AD226" s="12">
        <f>AC226*$D226</f>
        <v>21.50537634408602</v>
      </c>
      <c r="AE226" s="12">
        <f t="shared" ref="AE226:AE237" si="534">$E226*AC226</f>
        <v>16</v>
      </c>
      <c r="AF226" s="11">
        <v>1.01</v>
      </c>
      <c r="AG226" s="12">
        <f>AF226*$D226</f>
        <v>43.44086021505376</v>
      </c>
      <c r="AH226" s="12">
        <f t="shared" ref="AH226:AH237" si="535">$E226*AF226</f>
        <v>32.32</v>
      </c>
      <c r="AI226" s="11">
        <v>1.01</v>
      </c>
      <c r="AJ226" s="12">
        <f>AI226*$D226</f>
        <v>43.44086021505376</v>
      </c>
      <c r="AK226" s="12">
        <f t="shared" ref="AK226:AK237" si="536">$E226*AI226</f>
        <v>32.32</v>
      </c>
      <c r="AN226" s="26">
        <f>(K226+AA226)/2</f>
        <v>84.946236559139777</v>
      </c>
      <c r="AO226" s="26">
        <f>(L226+AB226)/2</f>
        <v>63.2</v>
      </c>
      <c r="AP226" s="26">
        <f>(N226+AD226)/2</f>
        <v>20.86021505376344</v>
      </c>
      <c r="AQ226" s="26">
        <f>(O226+AE226)/2</f>
        <v>15.52</v>
      </c>
      <c r="AR226" s="26">
        <f>(Q226+AG226)/2</f>
        <v>43.655913978494624</v>
      </c>
      <c r="AS226" s="26">
        <f>(R226+AH226)/2</f>
        <v>32.480000000000004</v>
      </c>
      <c r="AT226" s="26">
        <f>(T226+AJ226)/2</f>
        <v>43.655913978494624</v>
      </c>
      <c r="AU226" s="26">
        <f>(U226+AK226)/2</f>
        <v>32.480000000000004</v>
      </c>
      <c r="AX226" s="11">
        <v>2.2200000000000002</v>
      </c>
      <c r="AY226" s="12">
        <f>AX226*$D226</f>
        <v>95.483870967741936</v>
      </c>
      <c r="AZ226" s="12">
        <f t="shared" ref="AZ226:AZ237" si="537">$E226*AX226</f>
        <v>71.040000000000006</v>
      </c>
      <c r="BA226" s="11">
        <v>0.57999999999999996</v>
      </c>
      <c r="BB226" s="12">
        <f>BA226*$D226</f>
        <v>24.946236559139781</v>
      </c>
      <c r="BC226" s="12">
        <f t="shared" ref="BC226:BC237" si="538">$E226*BA226</f>
        <v>18.559999999999999</v>
      </c>
      <c r="BD226" s="11">
        <v>0.94</v>
      </c>
      <c r="BE226" s="12">
        <f>BD226*$D226</f>
        <v>40.430107526881713</v>
      </c>
      <c r="BF226" s="12">
        <f t="shared" ref="BF226:BF237" si="539">$E226*BD226</f>
        <v>30.08</v>
      </c>
      <c r="BG226" s="11">
        <v>0.94</v>
      </c>
      <c r="BH226" s="12">
        <f>BG226*$D226</f>
        <v>40.430107526881713</v>
      </c>
      <c r="BI226" s="12">
        <f t="shared" ref="BI226:BI237" si="540">$E226*BG226</f>
        <v>30.08</v>
      </c>
    </row>
    <row r="227" spans="1:61" ht="14.4" x14ac:dyDescent="0.3">
      <c r="A227" s="13" t="s">
        <v>2</v>
      </c>
      <c r="B227" s="5">
        <v>28</v>
      </c>
      <c r="C227" s="5">
        <f t="shared" ref="C227:C237" si="541">B227*24</f>
        <v>672</v>
      </c>
      <c r="D227" s="9">
        <f t="shared" si="528"/>
        <v>86.30952380952381</v>
      </c>
      <c r="E227" s="5">
        <v>58</v>
      </c>
      <c r="H227" s="10"/>
      <c r="J227" s="11">
        <v>1.51</v>
      </c>
      <c r="K227" s="12">
        <f t="shared" si="529"/>
        <v>130.32738095238096</v>
      </c>
      <c r="L227" s="12">
        <f t="shared" ref="L227:L237" si="542">$E227*J227</f>
        <v>87.58</v>
      </c>
      <c r="M227" s="11">
        <v>0.46</v>
      </c>
      <c r="N227" s="12">
        <f t="shared" si="530"/>
        <v>39.702380952380956</v>
      </c>
      <c r="O227" s="12">
        <f t="shared" ref="O227:O237" si="543">$E227*M227</f>
        <v>26.68</v>
      </c>
      <c r="P227" s="11">
        <v>1.01</v>
      </c>
      <c r="Q227" s="12">
        <f t="shared" si="531"/>
        <v>87.172619047619051</v>
      </c>
      <c r="R227" s="12">
        <f t="shared" ref="R227:R237" si="544">$E227*P227</f>
        <v>58.58</v>
      </c>
      <c r="S227" s="11">
        <v>1.01</v>
      </c>
      <c r="T227" s="12">
        <f t="shared" si="532"/>
        <v>87.172619047619051</v>
      </c>
      <c r="U227" s="12">
        <f t="shared" ref="U227:U237" si="545">$E227*S227</f>
        <v>58.58</v>
      </c>
      <c r="X227" s="10"/>
      <c r="Y227" s="10"/>
      <c r="Z227" s="11">
        <v>1.76</v>
      </c>
      <c r="AA227" s="12">
        <f t="shared" ref="AA227:AA237" si="546">Z227*$D227</f>
        <v>151.9047619047619</v>
      </c>
      <c r="AB227" s="12">
        <f t="shared" si="533"/>
        <v>102.08</v>
      </c>
      <c r="AC227" s="11">
        <v>0.48</v>
      </c>
      <c r="AD227" s="12">
        <f t="shared" ref="AD227:AD237" si="547">AC227*$D227</f>
        <v>41.428571428571431</v>
      </c>
      <c r="AE227" s="12">
        <f t="shared" si="534"/>
        <v>27.84</v>
      </c>
      <c r="AF227" s="11">
        <v>1</v>
      </c>
      <c r="AG227" s="12">
        <f t="shared" ref="AG227:AG237" si="548">AF227*$D227</f>
        <v>86.30952380952381</v>
      </c>
      <c r="AH227" s="12">
        <f t="shared" si="535"/>
        <v>58</v>
      </c>
      <c r="AI227" s="11">
        <v>1</v>
      </c>
      <c r="AJ227" s="12">
        <f t="shared" ref="AJ227:AJ237" si="549">AI227*$D227</f>
        <v>86.30952380952381</v>
      </c>
      <c r="AK227" s="12">
        <f t="shared" si="536"/>
        <v>58</v>
      </c>
      <c r="AN227" s="26">
        <f t="shared" ref="AN227:AN237" si="550">(K227+AA227)/2</f>
        <v>141.11607142857144</v>
      </c>
      <c r="AO227" s="26">
        <f t="shared" ref="AO227:AO232" si="551">(L227+AB227)/2</f>
        <v>94.83</v>
      </c>
      <c r="AP227" s="26">
        <f t="shared" ref="AP227:AP237" si="552">(N227+AD227)/2</f>
        <v>40.56547619047619</v>
      </c>
      <c r="AQ227" s="26">
        <f t="shared" ref="AQ227:AQ232" si="553">(O227+AE227)/2</f>
        <v>27.259999999999998</v>
      </c>
      <c r="AR227" s="26">
        <f t="shared" ref="AR227:AR237" si="554">(Q227+AG227)/2</f>
        <v>86.741071428571431</v>
      </c>
      <c r="AS227" s="26">
        <f t="shared" ref="AS227:AS237" si="555">(R227+AH227)/2</f>
        <v>58.29</v>
      </c>
      <c r="AT227" s="26">
        <f t="shared" ref="AT227:AT237" si="556">(T227+AJ227)/2</f>
        <v>86.741071428571431</v>
      </c>
      <c r="AU227" s="26">
        <f t="shared" ref="AU227:AU230" si="557">(U227+AK227)/2</f>
        <v>58.29</v>
      </c>
      <c r="AX227" s="11">
        <v>1.72</v>
      </c>
      <c r="AY227" s="12">
        <f t="shared" ref="AY227:AY237" si="558">AX227*$D227</f>
        <v>148.45238095238096</v>
      </c>
      <c r="AZ227" s="12">
        <f t="shared" si="537"/>
        <v>99.76</v>
      </c>
      <c r="BA227" s="11">
        <v>0.56999999999999995</v>
      </c>
      <c r="BB227" s="12">
        <f t="shared" ref="BB227:BB237" si="559">BA227*$D227</f>
        <v>49.196428571428569</v>
      </c>
      <c r="BC227" s="12">
        <f t="shared" si="538"/>
        <v>33.059999999999995</v>
      </c>
      <c r="BD227" s="11">
        <v>0.94</v>
      </c>
      <c r="BE227" s="12">
        <f t="shared" ref="BE227:BE237" si="560">BD227*$D227</f>
        <v>81.13095238095238</v>
      </c>
      <c r="BF227" s="12">
        <f t="shared" si="539"/>
        <v>54.519999999999996</v>
      </c>
      <c r="BG227" s="11">
        <v>0.94</v>
      </c>
      <c r="BH227" s="12">
        <f t="shared" ref="BH227:BH237" si="561">BG227*$D227</f>
        <v>81.13095238095238</v>
      </c>
      <c r="BI227" s="12">
        <f t="shared" si="540"/>
        <v>54.519999999999996</v>
      </c>
    </row>
    <row r="228" spans="1:61" ht="14.4" x14ac:dyDescent="0.3">
      <c r="A228" s="13" t="s">
        <v>3</v>
      </c>
      <c r="B228" s="5">
        <v>31</v>
      </c>
      <c r="C228" s="5">
        <f t="shared" si="541"/>
        <v>744</v>
      </c>
      <c r="D228" s="9">
        <f t="shared" si="528"/>
        <v>129.03225806451613</v>
      </c>
      <c r="E228" s="5">
        <v>96</v>
      </c>
      <c r="H228" s="10"/>
      <c r="J228" s="11">
        <v>1.26</v>
      </c>
      <c r="K228" s="12">
        <f t="shared" si="529"/>
        <v>162.58064516129033</v>
      </c>
      <c r="L228" s="12">
        <f t="shared" si="542"/>
        <v>120.96000000000001</v>
      </c>
      <c r="M228" s="11">
        <v>0.56000000000000005</v>
      </c>
      <c r="N228" s="12">
        <f t="shared" si="530"/>
        <v>72.258064516129039</v>
      </c>
      <c r="O228" s="12">
        <f t="shared" si="543"/>
        <v>53.760000000000005</v>
      </c>
      <c r="P228" s="11">
        <v>1</v>
      </c>
      <c r="Q228" s="12">
        <f t="shared" si="531"/>
        <v>129.03225806451613</v>
      </c>
      <c r="R228" s="12">
        <f t="shared" si="544"/>
        <v>96</v>
      </c>
      <c r="S228" s="11">
        <v>1</v>
      </c>
      <c r="T228" s="12">
        <f t="shared" si="532"/>
        <v>129.03225806451613</v>
      </c>
      <c r="U228" s="12">
        <f t="shared" si="545"/>
        <v>96</v>
      </c>
      <c r="X228" s="10"/>
      <c r="Y228" s="10"/>
      <c r="Z228" s="11">
        <v>1.35</v>
      </c>
      <c r="AA228" s="12">
        <f t="shared" si="546"/>
        <v>174.1935483870968</v>
      </c>
      <c r="AB228" s="12">
        <f t="shared" si="533"/>
        <v>129.60000000000002</v>
      </c>
      <c r="AC228" s="11">
        <v>0.46</v>
      </c>
      <c r="AD228" s="12">
        <f t="shared" si="547"/>
        <v>59.354838709677423</v>
      </c>
      <c r="AE228" s="12">
        <f t="shared" si="534"/>
        <v>44.160000000000004</v>
      </c>
      <c r="AF228" s="11">
        <v>0.95</v>
      </c>
      <c r="AG228" s="12">
        <f t="shared" si="548"/>
        <v>122.58064516129032</v>
      </c>
      <c r="AH228" s="12">
        <f t="shared" si="535"/>
        <v>91.199999999999989</v>
      </c>
      <c r="AI228" s="11">
        <v>0.95</v>
      </c>
      <c r="AJ228" s="12">
        <f t="shared" si="549"/>
        <v>122.58064516129032</v>
      </c>
      <c r="AK228" s="12">
        <f t="shared" si="536"/>
        <v>91.199999999999989</v>
      </c>
      <c r="AN228" s="26">
        <f t="shared" si="550"/>
        <v>168.38709677419357</v>
      </c>
      <c r="AO228" s="26">
        <f t="shared" si="551"/>
        <v>125.28000000000002</v>
      </c>
      <c r="AP228" s="26">
        <f t="shared" si="552"/>
        <v>65.806451612903231</v>
      </c>
      <c r="AQ228" s="26">
        <f t="shared" si="553"/>
        <v>48.960000000000008</v>
      </c>
      <c r="AR228" s="26">
        <f t="shared" si="554"/>
        <v>125.80645161290323</v>
      </c>
      <c r="AS228" s="26">
        <f t="shared" si="555"/>
        <v>93.6</v>
      </c>
      <c r="AT228" s="26">
        <f t="shared" si="556"/>
        <v>125.80645161290323</v>
      </c>
      <c r="AU228" s="26">
        <f t="shared" si="557"/>
        <v>93.6</v>
      </c>
      <c r="AX228" s="11">
        <v>1.22</v>
      </c>
      <c r="AY228" s="12">
        <f t="shared" si="558"/>
        <v>157.41935483870967</v>
      </c>
      <c r="AZ228" s="12">
        <f t="shared" si="537"/>
        <v>117.12</v>
      </c>
      <c r="BA228" s="11">
        <v>0.53</v>
      </c>
      <c r="BB228" s="12">
        <f t="shared" si="559"/>
        <v>68.387096774193552</v>
      </c>
      <c r="BC228" s="12">
        <f t="shared" si="538"/>
        <v>50.88</v>
      </c>
      <c r="BD228" s="11">
        <v>0.86</v>
      </c>
      <c r="BE228" s="12">
        <f t="shared" si="560"/>
        <v>110.96774193548387</v>
      </c>
      <c r="BF228" s="12">
        <f t="shared" si="539"/>
        <v>82.56</v>
      </c>
      <c r="BG228" s="11">
        <v>0.86</v>
      </c>
      <c r="BH228" s="12">
        <f t="shared" si="561"/>
        <v>110.96774193548387</v>
      </c>
      <c r="BI228" s="12">
        <f t="shared" si="540"/>
        <v>82.56</v>
      </c>
    </row>
    <row r="229" spans="1:61" ht="14.4" x14ac:dyDescent="0.3">
      <c r="A229" s="13" t="s">
        <v>4</v>
      </c>
      <c r="B229" s="5">
        <v>30</v>
      </c>
      <c r="C229" s="5">
        <f t="shared" si="541"/>
        <v>720</v>
      </c>
      <c r="D229" s="9">
        <f t="shared" si="528"/>
        <v>184.72222222222223</v>
      </c>
      <c r="E229" s="5">
        <v>133</v>
      </c>
      <c r="H229" s="10"/>
      <c r="J229" s="11">
        <v>1.1000000000000001</v>
      </c>
      <c r="K229" s="12">
        <f t="shared" si="529"/>
        <v>203.19444444444446</v>
      </c>
      <c r="L229" s="12">
        <f t="shared" si="542"/>
        <v>146.30000000000001</v>
      </c>
      <c r="M229" s="11">
        <v>0.71</v>
      </c>
      <c r="N229" s="12">
        <f t="shared" si="530"/>
        <v>131.15277777777777</v>
      </c>
      <c r="O229" s="12">
        <f t="shared" si="543"/>
        <v>94.429999999999993</v>
      </c>
      <c r="P229" s="11">
        <v>0.97</v>
      </c>
      <c r="Q229" s="12">
        <f t="shared" si="531"/>
        <v>179.18055555555554</v>
      </c>
      <c r="R229" s="12">
        <f t="shared" si="544"/>
        <v>129.01</v>
      </c>
      <c r="S229" s="11">
        <v>0.97</v>
      </c>
      <c r="T229" s="12">
        <f t="shared" si="532"/>
        <v>179.18055555555554</v>
      </c>
      <c r="U229" s="12">
        <f t="shared" si="545"/>
        <v>129.01</v>
      </c>
      <c r="X229" s="10"/>
      <c r="Y229" s="10"/>
      <c r="Z229" s="11">
        <v>1.04</v>
      </c>
      <c r="AA229" s="12">
        <f>Z229*$D229</f>
        <v>192.11111111111111</v>
      </c>
      <c r="AB229" s="12">
        <f t="shared" si="533"/>
        <v>138.32</v>
      </c>
      <c r="AC229" s="11">
        <v>0.42</v>
      </c>
      <c r="AD229" s="12">
        <f>AC229*$D229</f>
        <v>77.583333333333329</v>
      </c>
      <c r="AE229" s="12">
        <f t="shared" si="534"/>
        <v>55.86</v>
      </c>
      <c r="AF229" s="11">
        <v>0.87</v>
      </c>
      <c r="AG229" s="12">
        <f>AF229*$D229</f>
        <v>160.70833333333334</v>
      </c>
      <c r="AH229" s="12">
        <f t="shared" si="535"/>
        <v>115.71</v>
      </c>
      <c r="AI229" s="11">
        <v>0.87</v>
      </c>
      <c r="AJ229" s="12">
        <f>AI229*$D229</f>
        <v>160.70833333333334</v>
      </c>
      <c r="AK229" s="12">
        <f t="shared" si="536"/>
        <v>115.71</v>
      </c>
      <c r="AN229" s="26">
        <f t="shared" si="550"/>
        <v>197.65277777777777</v>
      </c>
      <c r="AO229" s="26">
        <f t="shared" si="551"/>
        <v>142.31</v>
      </c>
      <c r="AP229" s="26">
        <f t="shared" si="552"/>
        <v>104.36805555555554</v>
      </c>
      <c r="AQ229" s="26">
        <f t="shared" si="553"/>
        <v>75.144999999999996</v>
      </c>
      <c r="AR229" s="26">
        <f t="shared" si="554"/>
        <v>169.94444444444446</v>
      </c>
      <c r="AS229" s="26">
        <f t="shared" si="555"/>
        <v>122.35999999999999</v>
      </c>
      <c r="AT229" s="26">
        <f t="shared" si="556"/>
        <v>169.94444444444446</v>
      </c>
      <c r="AU229" s="26">
        <f t="shared" si="557"/>
        <v>122.35999999999999</v>
      </c>
      <c r="AX229" s="11">
        <v>0.82</v>
      </c>
      <c r="AY229" s="12">
        <f>AX229*$D229</f>
        <v>151.47222222222223</v>
      </c>
      <c r="AZ229" s="12">
        <f t="shared" si="537"/>
        <v>109.05999999999999</v>
      </c>
      <c r="BA229" s="11">
        <v>0.41</v>
      </c>
      <c r="BB229" s="12">
        <f>BA229*$D229</f>
        <v>75.736111111111114</v>
      </c>
      <c r="BC229" s="12">
        <f t="shared" si="538"/>
        <v>54.529999999999994</v>
      </c>
      <c r="BD229" s="11">
        <v>0.69</v>
      </c>
      <c r="BE229" s="12">
        <f>BD229*$D229</f>
        <v>127.45833333333333</v>
      </c>
      <c r="BF229" s="12">
        <f t="shared" si="539"/>
        <v>91.77</v>
      </c>
      <c r="BG229" s="11">
        <v>0.69</v>
      </c>
      <c r="BH229" s="12">
        <f>BG229*$D229</f>
        <v>127.45833333333333</v>
      </c>
      <c r="BI229" s="12">
        <f t="shared" si="540"/>
        <v>91.77</v>
      </c>
    </row>
    <row r="230" spans="1:61" ht="14.4" x14ac:dyDescent="0.3">
      <c r="A230" s="13" t="s">
        <v>22</v>
      </c>
      <c r="B230" s="5">
        <v>31</v>
      </c>
      <c r="C230" s="5">
        <f t="shared" si="541"/>
        <v>744</v>
      </c>
      <c r="D230" s="9">
        <f t="shared" si="528"/>
        <v>231.18279569892474</v>
      </c>
      <c r="E230" s="5">
        <v>172</v>
      </c>
      <c r="H230" s="10"/>
      <c r="J230" s="11">
        <v>1.01</v>
      </c>
      <c r="K230" s="12">
        <f t="shared" si="529"/>
        <v>233.49462365591398</v>
      </c>
      <c r="L230" s="12">
        <f t="shared" si="542"/>
        <v>173.72</v>
      </c>
      <c r="M230" s="11">
        <v>0.81</v>
      </c>
      <c r="N230" s="12">
        <f t="shared" si="530"/>
        <v>187.25806451612905</v>
      </c>
      <c r="O230" s="12">
        <f t="shared" si="543"/>
        <v>139.32000000000002</v>
      </c>
      <c r="P230" s="11">
        <v>0.96</v>
      </c>
      <c r="Q230" s="12">
        <f t="shared" si="531"/>
        <v>221.93548387096774</v>
      </c>
      <c r="R230" s="12">
        <f t="shared" si="544"/>
        <v>165.12</v>
      </c>
      <c r="S230" s="11">
        <v>0.96</v>
      </c>
      <c r="T230" s="12">
        <f t="shared" si="532"/>
        <v>221.93548387096774</v>
      </c>
      <c r="U230" s="12">
        <f t="shared" si="545"/>
        <v>165.12</v>
      </c>
      <c r="X230" s="10"/>
      <c r="Y230" s="10"/>
      <c r="Z230" s="11">
        <v>0.87</v>
      </c>
      <c r="AA230" s="12">
        <f t="shared" si="546"/>
        <v>201.12903225806451</v>
      </c>
      <c r="AB230" s="12">
        <f t="shared" si="533"/>
        <v>149.63999999999999</v>
      </c>
      <c r="AC230" s="11">
        <v>0.44</v>
      </c>
      <c r="AD230" s="12">
        <f t="shared" si="547"/>
        <v>101.72043010752688</v>
      </c>
      <c r="AE230" s="12">
        <f t="shared" si="534"/>
        <v>75.680000000000007</v>
      </c>
      <c r="AF230" s="11">
        <v>0.82</v>
      </c>
      <c r="AG230" s="12">
        <f t="shared" si="548"/>
        <v>189.56989247311827</v>
      </c>
      <c r="AH230" s="12">
        <f t="shared" si="535"/>
        <v>141.04</v>
      </c>
      <c r="AI230" s="11">
        <v>0.82</v>
      </c>
      <c r="AJ230" s="12">
        <f t="shared" si="549"/>
        <v>189.56989247311827</v>
      </c>
      <c r="AK230" s="12">
        <f t="shared" si="536"/>
        <v>141.04</v>
      </c>
      <c r="AN230" s="26">
        <f t="shared" si="550"/>
        <v>217.31182795698925</v>
      </c>
      <c r="AO230" s="26">
        <f t="shared" si="551"/>
        <v>161.68</v>
      </c>
      <c r="AP230" s="26">
        <f t="shared" si="552"/>
        <v>144.48924731182797</v>
      </c>
      <c r="AQ230" s="26">
        <f t="shared" si="553"/>
        <v>107.50000000000001</v>
      </c>
      <c r="AR230" s="26">
        <f t="shared" si="554"/>
        <v>205.75268817204301</v>
      </c>
      <c r="AS230" s="26">
        <f t="shared" si="555"/>
        <v>153.07999999999998</v>
      </c>
      <c r="AT230" s="26">
        <f t="shared" si="556"/>
        <v>205.75268817204301</v>
      </c>
      <c r="AU230" s="26">
        <f t="shared" si="557"/>
        <v>153.07999999999998</v>
      </c>
      <c r="AX230" s="11">
        <v>0.6</v>
      </c>
      <c r="AY230" s="12">
        <f t="shared" si="558"/>
        <v>138.70967741935485</v>
      </c>
      <c r="AZ230" s="12">
        <f t="shared" si="537"/>
        <v>103.2</v>
      </c>
      <c r="BA230" s="11">
        <v>0.37</v>
      </c>
      <c r="BB230" s="12">
        <f t="shared" si="559"/>
        <v>85.537634408602145</v>
      </c>
      <c r="BC230" s="12">
        <f t="shared" si="538"/>
        <v>63.64</v>
      </c>
      <c r="BD230" s="11">
        <v>0.6</v>
      </c>
      <c r="BE230" s="12">
        <f t="shared" si="560"/>
        <v>138.70967741935485</v>
      </c>
      <c r="BF230" s="12">
        <f t="shared" si="539"/>
        <v>103.2</v>
      </c>
      <c r="BG230" s="11">
        <v>0.6</v>
      </c>
      <c r="BH230" s="12">
        <f t="shared" si="561"/>
        <v>138.70967741935485</v>
      </c>
      <c r="BI230" s="12">
        <f t="shared" si="540"/>
        <v>103.2</v>
      </c>
    </row>
    <row r="231" spans="1:61" ht="14.4" x14ac:dyDescent="0.3">
      <c r="A231" s="13" t="s">
        <v>23</v>
      </c>
      <c r="B231" s="5">
        <v>30</v>
      </c>
      <c r="C231" s="5">
        <f t="shared" si="541"/>
        <v>720</v>
      </c>
      <c r="D231" s="9">
        <f t="shared" si="528"/>
        <v>238.88888888888889</v>
      </c>
      <c r="E231" s="5">
        <v>172</v>
      </c>
      <c r="H231" s="10"/>
      <c r="I231" s="4" t="s">
        <v>40</v>
      </c>
      <c r="J231" s="11">
        <v>0.97</v>
      </c>
      <c r="K231" s="12">
        <f t="shared" si="529"/>
        <v>231.7222222222222</v>
      </c>
      <c r="L231" s="12">
        <f t="shared" si="542"/>
        <v>166.84</v>
      </c>
      <c r="M231" s="11">
        <v>0.83</v>
      </c>
      <c r="N231" s="12">
        <f t="shared" si="530"/>
        <v>198.27777777777777</v>
      </c>
      <c r="O231" s="12">
        <f t="shared" si="543"/>
        <v>142.76</v>
      </c>
      <c r="P231" s="11">
        <v>0.95</v>
      </c>
      <c r="Q231" s="12">
        <f t="shared" si="531"/>
        <v>226.94444444444443</v>
      </c>
      <c r="R231" s="12">
        <f t="shared" si="544"/>
        <v>163.4</v>
      </c>
      <c r="S231" s="11">
        <v>0.95</v>
      </c>
      <c r="T231" s="12">
        <f t="shared" si="532"/>
        <v>226.94444444444443</v>
      </c>
      <c r="U231" s="12">
        <f t="shared" si="545"/>
        <v>163.4</v>
      </c>
      <c r="W231" s="4" t="s">
        <v>40</v>
      </c>
      <c r="X231" s="10"/>
      <c r="Y231" s="10"/>
      <c r="Z231" s="11">
        <v>0.79</v>
      </c>
      <c r="AA231" s="12">
        <f t="shared" si="546"/>
        <v>188.72222222222223</v>
      </c>
      <c r="AB231" s="12">
        <f t="shared" si="533"/>
        <v>135.88</v>
      </c>
      <c r="AC231" s="11">
        <v>0.47</v>
      </c>
      <c r="AD231" s="12">
        <f t="shared" si="547"/>
        <v>112.27777777777777</v>
      </c>
      <c r="AE231" s="12">
        <f t="shared" si="534"/>
        <v>80.839999999999989</v>
      </c>
      <c r="AF231" s="11">
        <v>0.79</v>
      </c>
      <c r="AG231" s="12">
        <f t="shared" si="548"/>
        <v>188.72222222222223</v>
      </c>
      <c r="AH231" s="12">
        <f t="shared" si="535"/>
        <v>135.88</v>
      </c>
      <c r="AI231" s="11">
        <v>0.79</v>
      </c>
      <c r="AJ231" s="12">
        <f t="shared" si="549"/>
        <v>188.72222222222223</v>
      </c>
      <c r="AK231" s="12">
        <f t="shared" si="536"/>
        <v>135.88</v>
      </c>
      <c r="AM231" s="4" t="s">
        <v>40</v>
      </c>
      <c r="AN231" s="26">
        <f t="shared" si="550"/>
        <v>210.22222222222223</v>
      </c>
      <c r="AO231" s="26">
        <f t="shared" si="551"/>
        <v>151.36000000000001</v>
      </c>
      <c r="AP231" s="26">
        <f t="shared" si="552"/>
        <v>155.27777777777777</v>
      </c>
      <c r="AQ231" s="26">
        <f t="shared" si="553"/>
        <v>111.79999999999998</v>
      </c>
      <c r="AR231" s="26">
        <f t="shared" si="554"/>
        <v>207.83333333333331</v>
      </c>
      <c r="AS231" s="26">
        <f t="shared" si="555"/>
        <v>149.63999999999999</v>
      </c>
      <c r="AT231" s="26">
        <f t="shared" si="556"/>
        <v>207.83333333333331</v>
      </c>
      <c r="AU231" s="26">
        <f>(U231+AK231)/2</f>
        <v>149.63999999999999</v>
      </c>
      <c r="AW231" s="4" t="s">
        <v>40</v>
      </c>
      <c r="AX231" s="11">
        <v>0.52</v>
      </c>
      <c r="AY231" s="12">
        <f t="shared" si="558"/>
        <v>124.22222222222223</v>
      </c>
      <c r="AZ231" s="12">
        <f t="shared" si="537"/>
        <v>89.44</v>
      </c>
      <c r="BA231" s="11">
        <v>0.35</v>
      </c>
      <c r="BB231" s="12">
        <f t="shared" si="559"/>
        <v>83.6111111111111</v>
      </c>
      <c r="BC231" s="12">
        <f t="shared" si="538"/>
        <v>60.199999999999996</v>
      </c>
      <c r="BD231" s="11">
        <v>0.56000000000000005</v>
      </c>
      <c r="BE231" s="12">
        <f t="shared" si="560"/>
        <v>133.7777777777778</v>
      </c>
      <c r="BF231" s="12">
        <f t="shared" si="539"/>
        <v>96.320000000000007</v>
      </c>
      <c r="BG231" s="11">
        <v>0.56000000000000005</v>
      </c>
      <c r="BH231" s="12">
        <f t="shared" si="561"/>
        <v>133.7777777777778</v>
      </c>
      <c r="BI231" s="12">
        <f t="shared" si="540"/>
        <v>96.320000000000007</v>
      </c>
    </row>
    <row r="232" spans="1:61" ht="14.4" x14ac:dyDescent="0.3">
      <c r="A232" s="13" t="s">
        <v>24</v>
      </c>
      <c r="B232" s="5">
        <v>31</v>
      </c>
      <c r="C232" s="5">
        <f t="shared" si="541"/>
        <v>744</v>
      </c>
      <c r="D232" s="9">
        <f t="shared" si="528"/>
        <v>227.15053763440861</v>
      </c>
      <c r="E232" s="5">
        <v>169</v>
      </c>
      <c r="H232" s="10"/>
      <c r="I232" s="4">
        <v>3</v>
      </c>
      <c r="J232" s="11">
        <v>0.99</v>
      </c>
      <c r="K232" s="12">
        <f t="shared" si="529"/>
        <v>224.87903225806451</v>
      </c>
      <c r="L232" s="12">
        <f t="shared" si="542"/>
        <v>167.31</v>
      </c>
      <c r="M232" s="11">
        <v>0.82</v>
      </c>
      <c r="N232" s="12">
        <f t="shared" si="530"/>
        <v>186.26344086021504</v>
      </c>
      <c r="O232" s="12">
        <f t="shared" si="543"/>
        <v>138.57999999999998</v>
      </c>
      <c r="P232" s="11">
        <v>0.95</v>
      </c>
      <c r="Q232" s="12">
        <f t="shared" si="531"/>
        <v>215.79301075268816</v>
      </c>
      <c r="R232" s="12">
        <f t="shared" si="544"/>
        <v>160.54999999999998</v>
      </c>
      <c r="S232" s="11">
        <v>0.95</v>
      </c>
      <c r="T232" s="12">
        <f t="shared" si="532"/>
        <v>215.79301075268816</v>
      </c>
      <c r="U232" s="12">
        <f t="shared" si="545"/>
        <v>160.54999999999998</v>
      </c>
      <c r="W232" s="4">
        <v>3</v>
      </c>
      <c r="X232" s="10"/>
      <c r="Y232" s="10"/>
      <c r="Z232" s="11">
        <v>0.81</v>
      </c>
      <c r="AA232" s="12">
        <f t="shared" si="546"/>
        <v>183.99193548387098</v>
      </c>
      <c r="AB232" s="12">
        <f t="shared" si="533"/>
        <v>136.89000000000001</v>
      </c>
      <c r="AC232" s="11">
        <v>0.44</v>
      </c>
      <c r="AD232" s="12">
        <f t="shared" si="547"/>
        <v>99.946236559139791</v>
      </c>
      <c r="AE232" s="12">
        <f t="shared" si="534"/>
        <v>74.36</v>
      </c>
      <c r="AF232" s="11">
        <v>0.79</v>
      </c>
      <c r="AG232" s="12">
        <f t="shared" si="548"/>
        <v>179.44892473118281</v>
      </c>
      <c r="AH232" s="12">
        <f t="shared" si="535"/>
        <v>133.51000000000002</v>
      </c>
      <c r="AI232" s="11">
        <v>0.79</v>
      </c>
      <c r="AJ232" s="12">
        <f t="shared" si="549"/>
        <v>179.44892473118281</v>
      </c>
      <c r="AK232" s="12">
        <f t="shared" si="536"/>
        <v>133.51000000000002</v>
      </c>
      <c r="AM232" s="4">
        <v>3</v>
      </c>
      <c r="AN232" s="26">
        <f t="shared" si="550"/>
        <v>204.43548387096774</v>
      </c>
      <c r="AO232" s="26">
        <f t="shared" si="551"/>
        <v>152.10000000000002</v>
      </c>
      <c r="AP232" s="26">
        <f t="shared" si="552"/>
        <v>143.10483870967741</v>
      </c>
      <c r="AQ232" s="26">
        <f t="shared" si="553"/>
        <v>106.47</v>
      </c>
      <c r="AR232" s="26">
        <f t="shared" si="554"/>
        <v>197.62096774193549</v>
      </c>
      <c r="AS232" s="26">
        <f t="shared" si="555"/>
        <v>147.03</v>
      </c>
      <c r="AT232" s="26">
        <f t="shared" si="556"/>
        <v>197.62096774193549</v>
      </c>
      <c r="AU232" s="26">
        <f t="shared" ref="AU232:AU233" si="562">(U232+AK232)/2</f>
        <v>147.03</v>
      </c>
      <c r="AW232" s="4" t="s">
        <v>70</v>
      </c>
      <c r="AX232" s="11">
        <v>0.53</v>
      </c>
      <c r="AY232" s="12">
        <f t="shared" si="558"/>
        <v>120.38978494623657</v>
      </c>
      <c r="AZ232" s="12">
        <f t="shared" si="537"/>
        <v>89.570000000000007</v>
      </c>
      <c r="BA232" s="11">
        <v>0.34</v>
      </c>
      <c r="BB232" s="12">
        <f t="shared" si="559"/>
        <v>77.231182795698928</v>
      </c>
      <c r="BC232" s="12">
        <f t="shared" si="538"/>
        <v>57.46</v>
      </c>
      <c r="BD232" s="11">
        <v>0.55000000000000004</v>
      </c>
      <c r="BE232" s="12">
        <f t="shared" si="560"/>
        <v>124.93279569892475</v>
      </c>
      <c r="BF232" s="12">
        <f t="shared" si="539"/>
        <v>92.95</v>
      </c>
      <c r="BG232" s="11">
        <v>0.55000000000000004</v>
      </c>
      <c r="BH232" s="12">
        <f t="shared" si="561"/>
        <v>124.93279569892475</v>
      </c>
      <c r="BI232" s="12">
        <f t="shared" si="540"/>
        <v>92.95</v>
      </c>
    </row>
    <row r="233" spans="1:61" ht="14.4" x14ac:dyDescent="0.3">
      <c r="A233" s="13" t="s">
        <v>25</v>
      </c>
      <c r="B233" s="5">
        <v>31</v>
      </c>
      <c r="C233" s="5">
        <f t="shared" si="541"/>
        <v>744</v>
      </c>
      <c r="D233" s="9">
        <f t="shared" si="528"/>
        <v>200.26881720430109</v>
      </c>
      <c r="E233" s="5">
        <v>149</v>
      </c>
      <c r="H233" s="10"/>
      <c r="J233" s="11">
        <v>1.04</v>
      </c>
      <c r="K233" s="12">
        <f t="shared" si="529"/>
        <v>208.27956989247315</v>
      </c>
      <c r="L233" s="12">
        <f t="shared" si="542"/>
        <v>154.96</v>
      </c>
      <c r="M233" s="11">
        <v>0.74</v>
      </c>
      <c r="N233" s="12">
        <f t="shared" si="530"/>
        <v>148.19892473118281</v>
      </c>
      <c r="O233" s="12">
        <f t="shared" si="543"/>
        <v>110.26</v>
      </c>
      <c r="P233" s="11">
        <v>0.95</v>
      </c>
      <c r="Q233" s="12">
        <f t="shared" si="531"/>
        <v>190.25537634408602</v>
      </c>
      <c r="R233" s="12">
        <f t="shared" si="544"/>
        <v>141.54999999999998</v>
      </c>
      <c r="S233" s="11">
        <v>0.95</v>
      </c>
      <c r="T233" s="12">
        <f t="shared" si="532"/>
        <v>190.25537634408602</v>
      </c>
      <c r="U233" s="12">
        <f t="shared" si="545"/>
        <v>141.54999999999998</v>
      </c>
      <c r="X233" s="10"/>
      <c r="Y233" s="10"/>
      <c r="Z233" s="11">
        <v>0.91</v>
      </c>
      <c r="AA233" s="12">
        <f t="shared" si="546"/>
        <v>182.24462365591398</v>
      </c>
      <c r="AB233" s="12">
        <f t="shared" si="533"/>
        <v>135.59</v>
      </c>
      <c r="AC233" s="11">
        <v>0.36</v>
      </c>
      <c r="AD233" s="12">
        <f t="shared" si="547"/>
        <v>72.096774193548384</v>
      </c>
      <c r="AE233" s="12">
        <f t="shared" si="534"/>
        <v>53.64</v>
      </c>
      <c r="AF233" s="11">
        <v>0.81</v>
      </c>
      <c r="AG233" s="12">
        <f t="shared" si="548"/>
        <v>162.2177419354839</v>
      </c>
      <c r="AH233" s="12">
        <f t="shared" si="535"/>
        <v>120.69000000000001</v>
      </c>
      <c r="AI233" s="11">
        <v>0.81</v>
      </c>
      <c r="AJ233" s="12">
        <f t="shared" si="549"/>
        <v>162.2177419354839</v>
      </c>
      <c r="AK233" s="12">
        <f t="shared" si="536"/>
        <v>120.69000000000001</v>
      </c>
      <c r="AN233" s="26">
        <f t="shared" si="550"/>
        <v>195.26209677419357</v>
      </c>
      <c r="AO233" s="26">
        <f>(L233+AB233)/2</f>
        <v>145.27500000000001</v>
      </c>
      <c r="AP233" s="26">
        <f t="shared" si="552"/>
        <v>110.1478494623656</v>
      </c>
      <c r="AQ233" s="26">
        <f>(O233+AE233)/2</f>
        <v>81.95</v>
      </c>
      <c r="AR233" s="26">
        <f t="shared" si="554"/>
        <v>176.23655913978496</v>
      </c>
      <c r="AS233" s="26">
        <f t="shared" si="555"/>
        <v>131.12</v>
      </c>
      <c r="AT233" s="26">
        <f t="shared" si="556"/>
        <v>176.23655913978496</v>
      </c>
      <c r="AU233" s="26">
        <f t="shared" si="562"/>
        <v>131.12</v>
      </c>
      <c r="AX233" s="11">
        <v>0.63</v>
      </c>
      <c r="AY233" s="12">
        <f t="shared" si="558"/>
        <v>126.16935483870968</v>
      </c>
      <c r="AZ233" s="12">
        <f t="shared" si="537"/>
        <v>93.87</v>
      </c>
      <c r="BA233" s="11">
        <v>0.31</v>
      </c>
      <c r="BB233" s="12">
        <f t="shared" si="559"/>
        <v>62.083333333333336</v>
      </c>
      <c r="BC233" s="12">
        <f t="shared" si="538"/>
        <v>46.19</v>
      </c>
      <c r="BD233" s="11">
        <v>0.56999999999999995</v>
      </c>
      <c r="BE233" s="12">
        <f t="shared" si="560"/>
        <v>114.15322580645162</v>
      </c>
      <c r="BF233" s="12">
        <f t="shared" si="539"/>
        <v>84.929999999999993</v>
      </c>
      <c r="BG233" s="11">
        <v>0.56999999999999995</v>
      </c>
      <c r="BH233" s="12">
        <f t="shared" si="561"/>
        <v>114.15322580645162</v>
      </c>
      <c r="BI233" s="12">
        <f t="shared" si="540"/>
        <v>84.929999999999993</v>
      </c>
    </row>
    <row r="234" spans="1:61" ht="14.4" x14ac:dyDescent="0.3">
      <c r="A234" s="13" t="s">
        <v>26</v>
      </c>
      <c r="B234" s="5">
        <v>30</v>
      </c>
      <c r="C234" s="5">
        <f t="shared" si="541"/>
        <v>720</v>
      </c>
      <c r="D234" s="9">
        <f t="shared" si="528"/>
        <v>158.33333333333334</v>
      </c>
      <c r="E234" s="5">
        <v>114</v>
      </c>
      <c r="H234" s="10"/>
      <c r="J234" s="11">
        <v>1.18</v>
      </c>
      <c r="K234" s="12">
        <f t="shared" si="529"/>
        <v>186.83333333333334</v>
      </c>
      <c r="L234" s="12">
        <f t="shared" si="542"/>
        <v>134.51999999999998</v>
      </c>
      <c r="M234" s="11">
        <v>0.59</v>
      </c>
      <c r="N234" s="12">
        <f t="shared" si="530"/>
        <v>93.416666666666671</v>
      </c>
      <c r="O234" s="12">
        <f t="shared" si="543"/>
        <v>67.259999999999991</v>
      </c>
      <c r="P234" s="11">
        <v>0.96</v>
      </c>
      <c r="Q234" s="12">
        <f t="shared" si="531"/>
        <v>152</v>
      </c>
      <c r="R234" s="12">
        <f t="shared" si="544"/>
        <v>109.44</v>
      </c>
      <c r="S234" s="11">
        <v>0.96</v>
      </c>
      <c r="T234" s="12">
        <f t="shared" si="532"/>
        <v>152</v>
      </c>
      <c r="U234" s="12">
        <f t="shared" si="545"/>
        <v>109.44</v>
      </c>
      <c r="X234" s="10"/>
      <c r="Y234" s="10"/>
      <c r="Z234" s="11">
        <v>1.1299999999999999</v>
      </c>
      <c r="AA234" s="12">
        <f t="shared" si="546"/>
        <v>178.91666666666666</v>
      </c>
      <c r="AB234" s="12">
        <f t="shared" si="533"/>
        <v>128.82</v>
      </c>
      <c r="AC234" s="11">
        <v>0.32</v>
      </c>
      <c r="AD234" s="12">
        <f t="shared" si="547"/>
        <v>50.666666666666671</v>
      </c>
      <c r="AE234" s="12">
        <f t="shared" si="534"/>
        <v>36.480000000000004</v>
      </c>
      <c r="AF234" s="11">
        <v>0.83</v>
      </c>
      <c r="AG234" s="12">
        <f t="shared" si="548"/>
        <v>131.41666666666666</v>
      </c>
      <c r="AH234" s="12">
        <f t="shared" si="535"/>
        <v>94.61999999999999</v>
      </c>
      <c r="AI234" s="11">
        <v>0.83</v>
      </c>
      <c r="AJ234" s="12">
        <f t="shared" si="549"/>
        <v>131.41666666666666</v>
      </c>
      <c r="AK234" s="12">
        <f t="shared" si="536"/>
        <v>94.61999999999999</v>
      </c>
      <c r="AN234" s="26">
        <f t="shared" si="550"/>
        <v>182.875</v>
      </c>
      <c r="AO234" s="26">
        <f t="shared" ref="AO234:AO237" si="563">(L234+AB234)/2</f>
        <v>131.66999999999999</v>
      </c>
      <c r="AP234" s="26">
        <f t="shared" si="552"/>
        <v>72.041666666666671</v>
      </c>
      <c r="AQ234" s="26">
        <f t="shared" ref="AQ234:AQ237" si="564">(O234+AE234)/2</f>
        <v>51.87</v>
      </c>
      <c r="AR234" s="26">
        <f t="shared" si="554"/>
        <v>141.70833333333331</v>
      </c>
      <c r="AS234" s="26">
        <f t="shared" si="555"/>
        <v>102.03</v>
      </c>
      <c r="AT234" s="26">
        <f t="shared" si="556"/>
        <v>141.70833333333331</v>
      </c>
      <c r="AU234" s="26">
        <f>(U234+AK234)/2</f>
        <v>102.03</v>
      </c>
      <c r="AX234" s="11">
        <v>0.88</v>
      </c>
      <c r="AY234" s="12">
        <f t="shared" si="558"/>
        <v>139.33333333333334</v>
      </c>
      <c r="AZ234" s="12">
        <f t="shared" si="537"/>
        <v>100.32000000000001</v>
      </c>
      <c r="BA234" s="11">
        <v>0.3</v>
      </c>
      <c r="BB234" s="12">
        <f t="shared" si="559"/>
        <v>47.5</v>
      </c>
      <c r="BC234" s="12">
        <f t="shared" si="538"/>
        <v>34.199999999999996</v>
      </c>
      <c r="BD234" s="11">
        <v>0.61</v>
      </c>
      <c r="BE234" s="12">
        <f t="shared" si="560"/>
        <v>96.583333333333343</v>
      </c>
      <c r="BF234" s="12">
        <f t="shared" si="539"/>
        <v>69.539999999999992</v>
      </c>
      <c r="BG234" s="11">
        <v>0.61</v>
      </c>
      <c r="BH234" s="12">
        <f t="shared" si="561"/>
        <v>96.583333333333343</v>
      </c>
      <c r="BI234" s="12">
        <f t="shared" si="540"/>
        <v>69.539999999999992</v>
      </c>
    </row>
    <row r="235" spans="1:61" ht="14.4" x14ac:dyDescent="0.3">
      <c r="A235" s="13" t="s">
        <v>5</v>
      </c>
      <c r="B235" s="5">
        <v>31</v>
      </c>
      <c r="C235" s="5">
        <f t="shared" si="541"/>
        <v>744</v>
      </c>
      <c r="D235" s="9">
        <f t="shared" si="528"/>
        <v>94.086021505376351</v>
      </c>
      <c r="E235" s="5">
        <v>70</v>
      </c>
      <c r="H235" s="10"/>
      <c r="J235" s="11">
        <v>1.43</v>
      </c>
      <c r="K235" s="12">
        <f t="shared" si="529"/>
        <v>134.54301075268819</v>
      </c>
      <c r="L235" s="12">
        <f t="shared" si="542"/>
        <v>100.1</v>
      </c>
      <c r="M235" s="11">
        <v>0.38</v>
      </c>
      <c r="N235" s="12">
        <f t="shared" si="530"/>
        <v>35.752688172043015</v>
      </c>
      <c r="O235" s="12">
        <f t="shared" si="543"/>
        <v>26.6</v>
      </c>
      <c r="P235" s="11">
        <v>0.98</v>
      </c>
      <c r="Q235" s="12">
        <f t="shared" si="531"/>
        <v>92.204301075268816</v>
      </c>
      <c r="R235" s="12">
        <f t="shared" si="544"/>
        <v>68.599999999999994</v>
      </c>
      <c r="S235" s="11">
        <v>0.98</v>
      </c>
      <c r="T235" s="12">
        <f t="shared" si="532"/>
        <v>92.204301075268816</v>
      </c>
      <c r="U235" s="12">
        <f t="shared" si="545"/>
        <v>68.599999999999994</v>
      </c>
      <c r="X235" s="10"/>
      <c r="Y235" s="10"/>
      <c r="Z235" s="11">
        <v>1.58</v>
      </c>
      <c r="AA235" s="12">
        <f t="shared" si="546"/>
        <v>148.65591397849465</v>
      </c>
      <c r="AB235" s="12">
        <f t="shared" si="533"/>
        <v>110.60000000000001</v>
      </c>
      <c r="AC235" s="11">
        <v>0.31</v>
      </c>
      <c r="AD235" s="12">
        <f t="shared" si="547"/>
        <v>29.166666666666668</v>
      </c>
      <c r="AE235" s="12">
        <f t="shared" si="534"/>
        <v>21.7</v>
      </c>
      <c r="AF235" s="11">
        <v>0.89</v>
      </c>
      <c r="AG235" s="12">
        <f t="shared" si="548"/>
        <v>83.736559139784958</v>
      </c>
      <c r="AH235" s="12">
        <f t="shared" si="535"/>
        <v>62.300000000000004</v>
      </c>
      <c r="AI235" s="11">
        <v>0.89</v>
      </c>
      <c r="AJ235" s="12">
        <f t="shared" si="549"/>
        <v>83.736559139784958</v>
      </c>
      <c r="AK235" s="12">
        <f t="shared" si="536"/>
        <v>62.300000000000004</v>
      </c>
      <c r="AN235" s="26">
        <f t="shared" si="550"/>
        <v>141.59946236559142</v>
      </c>
      <c r="AO235" s="26">
        <f t="shared" si="563"/>
        <v>105.35</v>
      </c>
      <c r="AP235" s="26">
        <f t="shared" si="552"/>
        <v>32.45967741935484</v>
      </c>
      <c r="AQ235" s="26">
        <f t="shared" si="564"/>
        <v>24.15</v>
      </c>
      <c r="AR235" s="26">
        <f t="shared" si="554"/>
        <v>87.97043010752688</v>
      </c>
      <c r="AS235" s="26">
        <f t="shared" si="555"/>
        <v>65.45</v>
      </c>
      <c r="AT235" s="26">
        <f t="shared" si="556"/>
        <v>87.97043010752688</v>
      </c>
      <c r="AU235" s="26">
        <f t="shared" ref="AU235:AU237" si="565">(U235+AK235)/2</f>
        <v>65.45</v>
      </c>
      <c r="AX235" s="11">
        <v>1.38</v>
      </c>
      <c r="AY235" s="12">
        <f t="shared" si="558"/>
        <v>129.83870967741936</v>
      </c>
      <c r="AZ235" s="12">
        <f t="shared" si="537"/>
        <v>96.6</v>
      </c>
      <c r="BA235" s="11">
        <v>0.31</v>
      </c>
      <c r="BB235" s="12">
        <f t="shared" si="559"/>
        <v>29.166666666666668</v>
      </c>
      <c r="BC235" s="12">
        <f t="shared" si="538"/>
        <v>21.7</v>
      </c>
      <c r="BD235" s="11">
        <v>0.7</v>
      </c>
      <c r="BE235" s="12">
        <f t="shared" si="560"/>
        <v>65.86021505376344</v>
      </c>
      <c r="BF235" s="12">
        <f t="shared" si="539"/>
        <v>49</v>
      </c>
      <c r="BG235" s="11">
        <v>0.7</v>
      </c>
      <c r="BH235" s="12">
        <f t="shared" si="561"/>
        <v>65.86021505376344</v>
      </c>
      <c r="BI235" s="12">
        <f t="shared" si="540"/>
        <v>49</v>
      </c>
    </row>
    <row r="236" spans="1:61" ht="14.4" x14ac:dyDescent="0.3">
      <c r="A236" s="13" t="s">
        <v>6</v>
      </c>
      <c r="B236" s="5">
        <v>30</v>
      </c>
      <c r="C236" s="5">
        <f t="shared" si="541"/>
        <v>720</v>
      </c>
      <c r="D236" s="9">
        <f t="shared" si="528"/>
        <v>47.222222222222221</v>
      </c>
      <c r="E236" s="5">
        <v>34</v>
      </c>
      <c r="H236" s="10"/>
      <c r="J236" s="11">
        <v>1.65</v>
      </c>
      <c r="K236" s="12">
        <f t="shared" si="529"/>
        <v>77.916666666666657</v>
      </c>
      <c r="L236" s="12">
        <f t="shared" si="542"/>
        <v>56.099999999999994</v>
      </c>
      <c r="M236" s="11">
        <v>0.44</v>
      </c>
      <c r="N236" s="12">
        <f t="shared" si="530"/>
        <v>20.777777777777779</v>
      </c>
      <c r="O236" s="12">
        <f t="shared" si="543"/>
        <v>14.96</v>
      </c>
      <c r="P236" s="11">
        <v>1</v>
      </c>
      <c r="Q236" s="12">
        <f t="shared" si="531"/>
        <v>47.222222222222221</v>
      </c>
      <c r="R236" s="12">
        <f t="shared" si="544"/>
        <v>34</v>
      </c>
      <c r="S236" s="11">
        <v>1</v>
      </c>
      <c r="T236" s="12">
        <f t="shared" si="532"/>
        <v>47.222222222222221</v>
      </c>
      <c r="U236" s="12">
        <f t="shared" si="545"/>
        <v>34</v>
      </c>
      <c r="X236" s="10"/>
      <c r="Y236" s="10"/>
      <c r="Z236" s="11">
        <v>1.98</v>
      </c>
      <c r="AA236" s="12">
        <f t="shared" si="546"/>
        <v>93.5</v>
      </c>
      <c r="AB236" s="12">
        <f t="shared" si="533"/>
        <v>67.319999999999993</v>
      </c>
      <c r="AC236" s="11">
        <v>0.42</v>
      </c>
      <c r="AD236" s="12">
        <f t="shared" si="547"/>
        <v>19.833333333333332</v>
      </c>
      <c r="AE236" s="12">
        <f t="shared" si="534"/>
        <v>14.28</v>
      </c>
      <c r="AF236" s="11">
        <v>0.93</v>
      </c>
      <c r="AG236" s="12">
        <f t="shared" si="548"/>
        <v>43.916666666666671</v>
      </c>
      <c r="AH236" s="12">
        <f t="shared" si="535"/>
        <v>31.62</v>
      </c>
      <c r="AI236" s="11">
        <v>0.93</v>
      </c>
      <c r="AJ236" s="12">
        <f t="shared" si="549"/>
        <v>43.916666666666671</v>
      </c>
      <c r="AK236" s="12">
        <f t="shared" si="536"/>
        <v>31.62</v>
      </c>
      <c r="AN236" s="26">
        <f t="shared" si="550"/>
        <v>85.708333333333329</v>
      </c>
      <c r="AO236" s="26">
        <f t="shared" si="563"/>
        <v>61.709999999999994</v>
      </c>
      <c r="AP236" s="26">
        <f t="shared" si="552"/>
        <v>20.305555555555557</v>
      </c>
      <c r="AQ236" s="26">
        <f t="shared" si="564"/>
        <v>14.620000000000001</v>
      </c>
      <c r="AR236" s="26">
        <f t="shared" si="554"/>
        <v>45.569444444444443</v>
      </c>
      <c r="AS236" s="26">
        <f t="shared" si="555"/>
        <v>32.81</v>
      </c>
      <c r="AT236" s="26">
        <f t="shared" si="556"/>
        <v>45.569444444444443</v>
      </c>
      <c r="AU236" s="26">
        <f t="shared" si="565"/>
        <v>32.81</v>
      </c>
      <c r="AX236" s="11">
        <v>1.9</v>
      </c>
      <c r="AY236" s="12">
        <f t="shared" si="558"/>
        <v>89.722222222222214</v>
      </c>
      <c r="AZ236" s="12">
        <f t="shared" si="537"/>
        <v>64.599999999999994</v>
      </c>
      <c r="BA236" s="11">
        <v>0.43</v>
      </c>
      <c r="BB236" s="12">
        <f t="shared" si="559"/>
        <v>20.305555555555554</v>
      </c>
      <c r="BC236" s="12">
        <f t="shared" si="538"/>
        <v>14.62</v>
      </c>
      <c r="BD236" s="11">
        <v>0.78</v>
      </c>
      <c r="BE236" s="12">
        <f t="shared" si="560"/>
        <v>36.833333333333336</v>
      </c>
      <c r="BF236" s="12">
        <f t="shared" si="539"/>
        <v>26.52</v>
      </c>
      <c r="BG236" s="11">
        <v>0.78</v>
      </c>
      <c r="BH236" s="12">
        <f t="shared" si="561"/>
        <v>36.833333333333336</v>
      </c>
      <c r="BI236" s="12">
        <f t="shared" si="540"/>
        <v>26.52</v>
      </c>
    </row>
    <row r="237" spans="1:61" ht="15" thickBot="1" x14ac:dyDescent="0.35">
      <c r="A237" s="14" t="s">
        <v>7</v>
      </c>
      <c r="B237" s="5">
        <v>31</v>
      </c>
      <c r="C237" s="5">
        <f t="shared" si="541"/>
        <v>744</v>
      </c>
      <c r="D237" s="9">
        <f t="shared" si="528"/>
        <v>32.258064516129032</v>
      </c>
      <c r="E237" s="5">
        <v>24</v>
      </c>
      <c r="H237" s="10"/>
      <c r="J237" s="11">
        <v>1.85</v>
      </c>
      <c r="K237" s="12">
        <f t="shared" si="529"/>
        <v>59.677419354838712</v>
      </c>
      <c r="L237" s="12">
        <f t="shared" si="542"/>
        <v>44.400000000000006</v>
      </c>
      <c r="M237" s="11">
        <v>0.49</v>
      </c>
      <c r="N237" s="12">
        <f t="shared" si="530"/>
        <v>15.806451612903226</v>
      </c>
      <c r="O237" s="12">
        <f t="shared" si="543"/>
        <v>11.76</v>
      </c>
      <c r="P237" s="11">
        <v>1.01</v>
      </c>
      <c r="Q237" s="12">
        <f t="shared" si="531"/>
        <v>32.58064516129032</v>
      </c>
      <c r="R237" s="12">
        <f t="shared" si="544"/>
        <v>24.240000000000002</v>
      </c>
      <c r="S237" s="11">
        <v>1.01</v>
      </c>
      <c r="T237" s="12">
        <f t="shared" si="532"/>
        <v>32.58064516129032</v>
      </c>
      <c r="U237" s="12">
        <f t="shared" si="545"/>
        <v>24.240000000000002</v>
      </c>
      <c r="X237" s="10"/>
      <c r="Y237" s="10"/>
      <c r="Z237" s="11">
        <v>2.3199999999999998</v>
      </c>
      <c r="AA237" s="12">
        <f t="shared" si="546"/>
        <v>74.838709677419345</v>
      </c>
      <c r="AB237" s="12">
        <f t="shared" si="533"/>
        <v>55.679999999999993</v>
      </c>
      <c r="AC237" s="11">
        <v>0.51</v>
      </c>
      <c r="AD237" s="12">
        <f t="shared" si="547"/>
        <v>16.451612903225808</v>
      </c>
      <c r="AE237" s="12">
        <f t="shared" si="534"/>
        <v>12.24</v>
      </c>
      <c r="AF237" s="11">
        <v>1</v>
      </c>
      <c r="AG237" s="12">
        <f t="shared" si="548"/>
        <v>32.258064516129032</v>
      </c>
      <c r="AH237" s="12">
        <f t="shared" si="535"/>
        <v>24</v>
      </c>
      <c r="AI237" s="11">
        <v>1</v>
      </c>
      <c r="AJ237" s="12">
        <f t="shared" si="549"/>
        <v>32.258064516129032</v>
      </c>
      <c r="AK237" s="12">
        <f t="shared" si="536"/>
        <v>24</v>
      </c>
      <c r="AN237" s="26">
        <f t="shared" si="550"/>
        <v>67.258064516129025</v>
      </c>
      <c r="AO237" s="26">
        <f t="shared" si="563"/>
        <v>50.04</v>
      </c>
      <c r="AP237" s="26">
        <f t="shared" si="552"/>
        <v>16.129032258064516</v>
      </c>
      <c r="AQ237" s="26">
        <f t="shared" si="564"/>
        <v>12</v>
      </c>
      <c r="AR237" s="26">
        <f t="shared" si="554"/>
        <v>32.41935483870968</v>
      </c>
      <c r="AS237" s="26">
        <f t="shared" si="555"/>
        <v>24.12</v>
      </c>
      <c r="AT237" s="26">
        <f t="shared" si="556"/>
        <v>32.41935483870968</v>
      </c>
      <c r="AU237" s="26">
        <f t="shared" si="565"/>
        <v>24.12</v>
      </c>
      <c r="AX237" s="11">
        <v>2.35</v>
      </c>
      <c r="AY237" s="12">
        <f t="shared" si="558"/>
        <v>75.806451612903231</v>
      </c>
      <c r="AZ237" s="12">
        <f t="shared" si="537"/>
        <v>56.400000000000006</v>
      </c>
      <c r="BA237" s="11">
        <v>0.56999999999999995</v>
      </c>
      <c r="BB237" s="12">
        <f t="shared" si="559"/>
        <v>18.387096774193548</v>
      </c>
      <c r="BC237" s="12">
        <f t="shared" si="538"/>
        <v>13.68</v>
      </c>
      <c r="BD237" s="11">
        <v>0.92</v>
      </c>
      <c r="BE237" s="12">
        <f t="shared" si="560"/>
        <v>29.677419354838712</v>
      </c>
      <c r="BF237" s="12">
        <f t="shared" si="539"/>
        <v>22.080000000000002</v>
      </c>
      <c r="BG237" s="11">
        <v>0.92</v>
      </c>
      <c r="BH237" s="12">
        <f t="shared" si="561"/>
        <v>29.677419354838712</v>
      </c>
      <c r="BI237" s="12">
        <f t="shared" si="540"/>
        <v>22.080000000000002</v>
      </c>
    </row>
    <row r="239" spans="1:61" x14ac:dyDescent="0.25">
      <c r="A239" s="15" t="s">
        <v>44</v>
      </c>
      <c r="B239" s="7" t="s">
        <v>10</v>
      </c>
      <c r="C239" s="7" t="s">
        <v>11</v>
      </c>
      <c r="E239" s="7" t="s">
        <v>12</v>
      </c>
      <c r="F239" s="7"/>
      <c r="G239" s="7"/>
      <c r="J239" s="36" t="s">
        <v>15</v>
      </c>
      <c r="K239" s="37"/>
      <c r="L239" s="38"/>
      <c r="M239" s="36" t="s">
        <v>16</v>
      </c>
      <c r="N239" s="37"/>
      <c r="O239" s="38"/>
      <c r="P239" s="36" t="s">
        <v>17</v>
      </c>
      <c r="Q239" s="37"/>
      <c r="R239" s="37"/>
      <c r="S239" s="34" t="s">
        <v>18</v>
      </c>
      <c r="T239" s="34"/>
      <c r="U239" s="34"/>
      <c r="Z239" s="36" t="s">
        <v>15</v>
      </c>
      <c r="AA239" s="37"/>
      <c r="AB239" s="38"/>
      <c r="AC239" s="36" t="s">
        <v>16</v>
      </c>
      <c r="AD239" s="37"/>
      <c r="AE239" s="38"/>
      <c r="AF239" s="36" t="s">
        <v>17</v>
      </c>
      <c r="AG239" s="37"/>
      <c r="AH239" s="37"/>
      <c r="AI239" s="34" t="s">
        <v>18</v>
      </c>
      <c r="AJ239" s="34"/>
      <c r="AK239" s="34"/>
      <c r="AN239" s="32" t="s">
        <v>15</v>
      </c>
      <c r="AO239" s="33"/>
      <c r="AP239" s="32" t="s">
        <v>16</v>
      </c>
      <c r="AQ239" s="33"/>
      <c r="AR239" s="32" t="s">
        <v>19</v>
      </c>
      <c r="AS239" s="33"/>
      <c r="AT239" s="34" t="s">
        <v>18</v>
      </c>
      <c r="AU239" s="34"/>
      <c r="AX239" s="36" t="s">
        <v>15</v>
      </c>
      <c r="AY239" s="37"/>
      <c r="AZ239" s="38"/>
      <c r="BA239" s="36" t="s">
        <v>16</v>
      </c>
      <c r="BB239" s="37"/>
      <c r="BC239" s="38"/>
      <c r="BD239" s="36" t="s">
        <v>17</v>
      </c>
      <c r="BE239" s="37"/>
      <c r="BF239" s="37"/>
      <c r="BG239" s="34" t="s">
        <v>18</v>
      </c>
      <c r="BH239" s="34"/>
      <c r="BI239" s="34"/>
    </row>
    <row r="240" spans="1:61" ht="13.8" thickBot="1" x14ac:dyDescent="0.3">
      <c r="D240" s="5" t="s">
        <v>14</v>
      </c>
      <c r="E240" s="5" t="s">
        <v>13</v>
      </c>
      <c r="J240" s="4" t="s">
        <v>48</v>
      </c>
      <c r="K240" s="4" t="s">
        <v>14</v>
      </c>
      <c r="L240" s="4" t="s">
        <v>13</v>
      </c>
      <c r="M240" s="4" t="s">
        <v>48</v>
      </c>
      <c r="N240" s="4" t="s">
        <v>14</v>
      </c>
      <c r="O240" s="4" t="s">
        <v>13</v>
      </c>
      <c r="P240" s="4" t="s">
        <v>48</v>
      </c>
      <c r="Q240" s="4" t="s">
        <v>14</v>
      </c>
      <c r="R240" s="4" t="s">
        <v>13</v>
      </c>
      <c r="S240" s="24" t="s">
        <v>48</v>
      </c>
      <c r="T240" s="24" t="s">
        <v>14</v>
      </c>
      <c r="U240" s="24" t="s">
        <v>13</v>
      </c>
      <c r="Z240" s="4" t="s">
        <v>48</v>
      </c>
      <c r="AA240" s="4" t="s">
        <v>14</v>
      </c>
      <c r="AB240" s="4" t="s">
        <v>13</v>
      </c>
      <c r="AC240" s="4" t="s">
        <v>48</v>
      </c>
      <c r="AD240" s="4" t="s">
        <v>14</v>
      </c>
      <c r="AE240" s="4" t="s">
        <v>13</v>
      </c>
      <c r="AF240" s="4" t="s">
        <v>48</v>
      </c>
      <c r="AG240" s="4" t="s">
        <v>14</v>
      </c>
      <c r="AH240" s="4" t="s">
        <v>13</v>
      </c>
      <c r="AI240" s="24" t="s">
        <v>48</v>
      </c>
      <c r="AJ240" s="24" t="s">
        <v>14</v>
      </c>
      <c r="AK240" s="24" t="s">
        <v>13</v>
      </c>
      <c r="AN240" s="24" t="s">
        <v>14</v>
      </c>
      <c r="AO240" s="24" t="s">
        <v>13</v>
      </c>
      <c r="AP240" s="24" t="s">
        <v>14</v>
      </c>
      <c r="AQ240" s="24" t="s">
        <v>13</v>
      </c>
      <c r="AR240" s="24" t="s">
        <v>14</v>
      </c>
      <c r="AS240" s="24" t="s">
        <v>13</v>
      </c>
      <c r="AT240" s="24" t="s">
        <v>14</v>
      </c>
      <c r="AU240" s="24" t="s">
        <v>13</v>
      </c>
      <c r="AX240" s="4" t="s">
        <v>48</v>
      </c>
      <c r="AY240" s="4" t="s">
        <v>14</v>
      </c>
      <c r="AZ240" s="4" t="s">
        <v>13</v>
      </c>
      <c r="BA240" s="4" t="s">
        <v>48</v>
      </c>
      <c r="BB240" s="4" t="s">
        <v>14</v>
      </c>
      <c r="BC240" s="4" t="s">
        <v>13</v>
      </c>
      <c r="BD240" s="4" t="s">
        <v>48</v>
      </c>
      <c r="BE240" s="4" t="s">
        <v>14</v>
      </c>
      <c r="BF240" s="4" t="s">
        <v>13</v>
      </c>
      <c r="BG240" s="24" t="s">
        <v>48</v>
      </c>
      <c r="BH240" s="24" t="s">
        <v>14</v>
      </c>
      <c r="BI240" s="24" t="s">
        <v>13</v>
      </c>
    </row>
    <row r="241" spans="1:61" ht="14.4" x14ac:dyDescent="0.3">
      <c r="A241" s="8" t="s">
        <v>1</v>
      </c>
      <c r="B241" s="5">
        <v>31</v>
      </c>
      <c r="C241" s="5">
        <f>B241*24</f>
        <v>744</v>
      </c>
      <c r="D241" s="9">
        <f t="shared" ref="D241:D252" si="566">E241*1000/C241</f>
        <v>34.946236559139784</v>
      </c>
      <c r="E241" s="5">
        <v>26</v>
      </c>
      <c r="H241" s="10"/>
      <c r="J241" s="11">
        <v>1.61</v>
      </c>
      <c r="K241" s="12">
        <f t="shared" ref="K241:K252" si="567">J241*D241</f>
        <v>56.263440860215056</v>
      </c>
      <c r="L241" s="12">
        <f>$E241*J241</f>
        <v>41.86</v>
      </c>
      <c r="M241" s="11">
        <v>0.52</v>
      </c>
      <c r="N241" s="12">
        <f t="shared" ref="N241:N252" si="568">M241*D241</f>
        <v>18.172043010752688</v>
      </c>
      <c r="O241" s="12">
        <f>$E241*M241</f>
        <v>13.52</v>
      </c>
      <c r="P241" s="11">
        <v>1</v>
      </c>
      <c r="Q241" s="12">
        <f t="shared" ref="Q241:Q252" si="569">P241*D241</f>
        <v>34.946236559139784</v>
      </c>
      <c r="R241" s="12">
        <f>$E241*P241</f>
        <v>26</v>
      </c>
      <c r="S241" s="11">
        <v>1</v>
      </c>
      <c r="T241" s="12">
        <f t="shared" ref="T241:T252" si="570">S241*D241</f>
        <v>34.946236559139784</v>
      </c>
      <c r="U241" s="12">
        <f>$E241*S241</f>
        <v>26</v>
      </c>
      <c r="X241" s="10"/>
      <c r="Y241" s="10"/>
      <c r="Z241" s="11">
        <v>1.94</v>
      </c>
      <c r="AA241" s="12">
        <f>Z241*$D241</f>
        <v>67.795698924731184</v>
      </c>
      <c r="AB241" s="12">
        <f t="shared" ref="AB241:AB252" si="571">$E241*Z241</f>
        <v>50.44</v>
      </c>
      <c r="AC241" s="11">
        <v>0.51</v>
      </c>
      <c r="AD241" s="12">
        <f>AC241*$D241</f>
        <v>17.822580645161292</v>
      </c>
      <c r="AE241" s="12">
        <f t="shared" ref="AE241:AE252" si="572">$E241*AC241</f>
        <v>13.26</v>
      </c>
      <c r="AF241" s="11">
        <v>0.95</v>
      </c>
      <c r="AG241" s="12">
        <f>AF241*$D241</f>
        <v>33.198924731182792</v>
      </c>
      <c r="AH241" s="12">
        <f t="shared" ref="AH241:AH252" si="573">$E241*AF241</f>
        <v>24.7</v>
      </c>
      <c r="AI241" s="11">
        <v>0.95</v>
      </c>
      <c r="AJ241" s="12">
        <f>AI241*$D241</f>
        <v>33.198924731182792</v>
      </c>
      <c r="AK241" s="12">
        <f t="shared" ref="AK241:AK252" si="574">$E241*AI241</f>
        <v>24.7</v>
      </c>
      <c r="AN241" s="26">
        <f>(K241+AA241)/2</f>
        <v>62.02956989247312</v>
      </c>
      <c r="AO241" s="26">
        <f>(L241+AB241)/2</f>
        <v>46.15</v>
      </c>
      <c r="AP241" s="26">
        <f>(N241+AD241)/2</f>
        <v>17.997311827956992</v>
      </c>
      <c r="AQ241" s="26">
        <f>(O241+AE241)/2</f>
        <v>13.39</v>
      </c>
      <c r="AR241" s="26">
        <f>(Q241+AG241)/2</f>
        <v>34.072580645161288</v>
      </c>
      <c r="AS241" s="26">
        <f>(R241+AH241)/2</f>
        <v>25.35</v>
      </c>
      <c r="AT241" s="26">
        <f>(T241+AJ241)/2</f>
        <v>34.072580645161288</v>
      </c>
      <c r="AU241" s="26">
        <f>(U241+AK241)/2</f>
        <v>25.35</v>
      </c>
      <c r="AX241" s="11">
        <v>1.92</v>
      </c>
      <c r="AY241" s="12">
        <f>AX241*$D241</f>
        <v>67.096774193548384</v>
      </c>
      <c r="AZ241" s="12">
        <f t="shared" ref="AZ241:AZ252" si="575">$E241*AX241</f>
        <v>49.92</v>
      </c>
      <c r="BA241" s="11">
        <v>0.55000000000000004</v>
      </c>
      <c r="BB241" s="12">
        <f>BA241*$D241</f>
        <v>19.220430107526884</v>
      </c>
      <c r="BC241" s="12">
        <f t="shared" ref="BC241:BC252" si="576">$E241*BA241</f>
        <v>14.3</v>
      </c>
      <c r="BD241" s="11">
        <v>0.85</v>
      </c>
      <c r="BE241" s="12">
        <f>BD241*$D241</f>
        <v>29.704301075268816</v>
      </c>
      <c r="BF241" s="12">
        <f t="shared" ref="BF241:BF252" si="577">$E241*BD241</f>
        <v>22.099999999999998</v>
      </c>
      <c r="BG241" s="11">
        <v>0.85</v>
      </c>
      <c r="BH241" s="12">
        <f>BG241*$D241</f>
        <v>29.704301075268816</v>
      </c>
      <c r="BI241" s="12">
        <f t="shared" ref="BI241:BI252" si="578">$E241*BG241</f>
        <v>22.099999999999998</v>
      </c>
    </row>
    <row r="242" spans="1:61" ht="14.4" x14ac:dyDescent="0.3">
      <c r="A242" s="13" t="s">
        <v>2</v>
      </c>
      <c r="B242" s="5">
        <v>28</v>
      </c>
      <c r="C242" s="5">
        <f t="shared" ref="C242:C252" si="579">B242*24</f>
        <v>672</v>
      </c>
      <c r="D242" s="9">
        <f t="shared" si="566"/>
        <v>71.428571428571431</v>
      </c>
      <c r="E242" s="5">
        <v>48</v>
      </c>
      <c r="H242" s="10"/>
      <c r="J242" s="11">
        <v>1.45</v>
      </c>
      <c r="K242" s="12">
        <f t="shared" si="567"/>
        <v>103.57142857142857</v>
      </c>
      <c r="L242" s="12">
        <f t="shared" ref="L242:L252" si="580">$E242*J242</f>
        <v>69.599999999999994</v>
      </c>
      <c r="M242" s="11">
        <v>0.45</v>
      </c>
      <c r="N242" s="12">
        <f t="shared" si="568"/>
        <v>32.142857142857146</v>
      </c>
      <c r="O242" s="12">
        <f t="shared" ref="O242:O252" si="581">$E242*M242</f>
        <v>21.6</v>
      </c>
      <c r="P242" s="11">
        <v>0.98</v>
      </c>
      <c r="Q242" s="12">
        <f t="shared" si="569"/>
        <v>70</v>
      </c>
      <c r="R242" s="12">
        <f t="shared" ref="R242:R252" si="582">$E242*P242</f>
        <v>47.04</v>
      </c>
      <c r="S242" s="11">
        <v>0.98</v>
      </c>
      <c r="T242" s="12">
        <f t="shared" si="570"/>
        <v>70</v>
      </c>
      <c r="U242" s="12">
        <f t="shared" ref="U242:U252" si="583">$E242*S242</f>
        <v>47.04</v>
      </c>
      <c r="X242" s="10"/>
      <c r="Y242" s="10"/>
      <c r="Z242" s="11">
        <v>1.64</v>
      </c>
      <c r="AA242" s="12">
        <f t="shared" ref="AA242:AA252" si="584">Z242*$D242</f>
        <v>117.14285714285714</v>
      </c>
      <c r="AB242" s="12">
        <f t="shared" si="571"/>
        <v>78.72</v>
      </c>
      <c r="AC242" s="11">
        <v>0.44</v>
      </c>
      <c r="AD242" s="12">
        <f t="shared" ref="AD242:AD252" si="585">AC242*$D242</f>
        <v>31.428571428571431</v>
      </c>
      <c r="AE242" s="12">
        <f t="shared" si="572"/>
        <v>21.12</v>
      </c>
      <c r="AF242" s="11">
        <v>0.92</v>
      </c>
      <c r="AG242" s="12">
        <f t="shared" ref="AG242:AG252" si="586">AF242*$D242</f>
        <v>65.714285714285722</v>
      </c>
      <c r="AH242" s="12">
        <f t="shared" si="573"/>
        <v>44.160000000000004</v>
      </c>
      <c r="AI242" s="11">
        <v>0.92</v>
      </c>
      <c r="AJ242" s="12">
        <f t="shared" ref="AJ242:AJ252" si="587">AI242*$D242</f>
        <v>65.714285714285722</v>
      </c>
      <c r="AK242" s="12">
        <f t="shared" si="574"/>
        <v>44.160000000000004</v>
      </c>
      <c r="AN242" s="26">
        <f t="shared" ref="AN242:AN252" si="588">(K242+AA242)/2</f>
        <v>110.35714285714286</v>
      </c>
      <c r="AO242" s="26">
        <f t="shared" ref="AO242:AO247" si="589">(L242+AB242)/2</f>
        <v>74.16</v>
      </c>
      <c r="AP242" s="26">
        <f t="shared" ref="AP242:AP252" si="590">(N242+AD242)/2</f>
        <v>31.785714285714288</v>
      </c>
      <c r="AQ242" s="26">
        <f t="shared" ref="AQ242:AQ247" si="591">(O242+AE242)/2</f>
        <v>21.36</v>
      </c>
      <c r="AR242" s="26">
        <f t="shared" ref="AR242:AR252" si="592">(Q242+AG242)/2</f>
        <v>67.857142857142861</v>
      </c>
      <c r="AS242" s="26">
        <f t="shared" ref="AS242:AS252" si="593">(R242+AH242)/2</f>
        <v>45.6</v>
      </c>
      <c r="AT242" s="26">
        <f t="shared" ref="AT242:AT252" si="594">(T242+AJ242)/2</f>
        <v>67.857142857142861</v>
      </c>
      <c r="AU242" s="26">
        <f t="shared" ref="AU242:AU245" si="595">(U242+AK242)/2</f>
        <v>45.6</v>
      </c>
      <c r="AX242" s="11">
        <v>1.54</v>
      </c>
      <c r="AY242" s="12">
        <f t="shared" ref="AY242:AY252" si="596">AX242*$D242</f>
        <v>110</v>
      </c>
      <c r="AZ242" s="12">
        <f t="shared" si="575"/>
        <v>73.92</v>
      </c>
      <c r="BA242" s="11">
        <v>0.47</v>
      </c>
      <c r="BB242" s="12">
        <f t="shared" ref="BB242:BB252" si="597">BA242*$D242</f>
        <v>33.571428571428569</v>
      </c>
      <c r="BC242" s="12">
        <f t="shared" si="576"/>
        <v>22.56</v>
      </c>
      <c r="BD242" s="11">
        <v>0.8</v>
      </c>
      <c r="BE242" s="12">
        <f t="shared" ref="BE242:BE252" si="598">BD242*$D242</f>
        <v>57.142857142857146</v>
      </c>
      <c r="BF242" s="12">
        <f t="shared" si="577"/>
        <v>38.400000000000006</v>
      </c>
      <c r="BG242" s="11">
        <v>0.8</v>
      </c>
      <c r="BH242" s="12">
        <f t="shared" ref="BH242:BH252" si="599">BG242*$D242</f>
        <v>57.142857142857146</v>
      </c>
      <c r="BI242" s="12">
        <f t="shared" si="578"/>
        <v>38.400000000000006</v>
      </c>
    </row>
    <row r="243" spans="1:61" ht="14.4" x14ac:dyDescent="0.3">
      <c r="A243" s="13" t="s">
        <v>3</v>
      </c>
      <c r="B243" s="5">
        <v>31</v>
      </c>
      <c r="C243" s="5">
        <f t="shared" si="579"/>
        <v>744</v>
      </c>
      <c r="D243" s="9">
        <f t="shared" si="566"/>
        <v>115.59139784946237</v>
      </c>
      <c r="E243" s="5">
        <v>86</v>
      </c>
      <c r="H243" s="10"/>
      <c r="J243" s="11">
        <v>1.25</v>
      </c>
      <c r="K243" s="12">
        <f t="shared" si="567"/>
        <v>144.48924731182797</v>
      </c>
      <c r="L243" s="12">
        <f t="shared" si="580"/>
        <v>107.5</v>
      </c>
      <c r="M243" s="11">
        <v>0.52</v>
      </c>
      <c r="N243" s="12">
        <f t="shared" si="568"/>
        <v>60.107526881720432</v>
      </c>
      <c r="O243" s="12">
        <f t="shared" si="581"/>
        <v>44.72</v>
      </c>
      <c r="P243" s="11">
        <v>0.96</v>
      </c>
      <c r="Q243" s="12">
        <f t="shared" si="569"/>
        <v>110.96774193548387</v>
      </c>
      <c r="R243" s="12">
        <f t="shared" si="582"/>
        <v>82.56</v>
      </c>
      <c r="S243" s="11">
        <v>0.96</v>
      </c>
      <c r="T243" s="12">
        <f t="shared" si="570"/>
        <v>110.96774193548387</v>
      </c>
      <c r="U243" s="12">
        <f t="shared" si="583"/>
        <v>82.56</v>
      </c>
      <c r="X243" s="10"/>
      <c r="Y243" s="10"/>
      <c r="Z243" s="11">
        <v>1.28</v>
      </c>
      <c r="AA243" s="12">
        <f t="shared" si="584"/>
        <v>147.95698924731184</v>
      </c>
      <c r="AB243" s="12">
        <f t="shared" si="571"/>
        <v>110.08</v>
      </c>
      <c r="AC243" s="11">
        <v>0.35</v>
      </c>
      <c r="AD243" s="12">
        <f t="shared" si="585"/>
        <v>40.456989247311824</v>
      </c>
      <c r="AE243" s="12">
        <f t="shared" si="572"/>
        <v>30.099999999999998</v>
      </c>
      <c r="AF243" s="11">
        <v>0.85</v>
      </c>
      <c r="AG243" s="12">
        <f t="shared" si="586"/>
        <v>98.252688172043008</v>
      </c>
      <c r="AH243" s="12">
        <f t="shared" si="573"/>
        <v>73.099999999999994</v>
      </c>
      <c r="AI243" s="11">
        <v>0.85</v>
      </c>
      <c r="AJ243" s="12">
        <f t="shared" si="587"/>
        <v>98.252688172043008</v>
      </c>
      <c r="AK243" s="12">
        <f t="shared" si="574"/>
        <v>73.099999999999994</v>
      </c>
      <c r="AN243" s="26">
        <f t="shared" si="588"/>
        <v>146.22311827956992</v>
      </c>
      <c r="AO243" s="26">
        <f t="shared" si="589"/>
        <v>108.78999999999999</v>
      </c>
      <c r="AP243" s="26">
        <f t="shared" si="590"/>
        <v>50.282258064516128</v>
      </c>
      <c r="AQ243" s="26">
        <f t="shared" si="591"/>
        <v>37.409999999999997</v>
      </c>
      <c r="AR243" s="26">
        <f t="shared" si="592"/>
        <v>104.61021505376344</v>
      </c>
      <c r="AS243" s="26">
        <f t="shared" si="593"/>
        <v>77.83</v>
      </c>
      <c r="AT243" s="26">
        <f t="shared" si="594"/>
        <v>104.61021505376344</v>
      </c>
      <c r="AU243" s="26">
        <f t="shared" si="595"/>
        <v>77.83</v>
      </c>
      <c r="AX243" s="11">
        <v>1.06</v>
      </c>
      <c r="AY243" s="12">
        <f t="shared" si="596"/>
        <v>122.52688172043011</v>
      </c>
      <c r="AZ243" s="12">
        <f t="shared" si="575"/>
        <v>91.160000000000011</v>
      </c>
      <c r="BA243" s="11">
        <v>0.34</v>
      </c>
      <c r="BB243" s="12">
        <f t="shared" si="597"/>
        <v>39.301075268817208</v>
      </c>
      <c r="BC243" s="12">
        <f t="shared" si="576"/>
        <v>29.240000000000002</v>
      </c>
      <c r="BD243" s="11">
        <v>0.67</v>
      </c>
      <c r="BE243" s="12">
        <f t="shared" si="598"/>
        <v>77.446236559139791</v>
      </c>
      <c r="BF243" s="12">
        <f t="shared" si="577"/>
        <v>57.620000000000005</v>
      </c>
      <c r="BG243" s="11">
        <v>0.67</v>
      </c>
      <c r="BH243" s="12">
        <f t="shared" si="599"/>
        <v>77.446236559139791</v>
      </c>
      <c r="BI243" s="12">
        <f t="shared" si="578"/>
        <v>57.620000000000005</v>
      </c>
    </row>
    <row r="244" spans="1:61" ht="14.4" x14ac:dyDescent="0.3">
      <c r="A244" s="13" t="s">
        <v>4</v>
      </c>
      <c r="B244" s="5">
        <v>30</v>
      </c>
      <c r="C244" s="5">
        <f t="shared" si="579"/>
        <v>720</v>
      </c>
      <c r="D244" s="9">
        <f t="shared" si="566"/>
        <v>180.55555555555554</v>
      </c>
      <c r="E244" s="5">
        <v>130</v>
      </c>
      <c r="H244" s="10"/>
      <c r="J244" s="11">
        <v>1.0900000000000001</v>
      </c>
      <c r="K244" s="12">
        <f t="shared" si="567"/>
        <v>196.80555555555554</v>
      </c>
      <c r="L244" s="12">
        <f t="shared" si="580"/>
        <v>141.70000000000002</v>
      </c>
      <c r="M244" s="11">
        <v>0.68</v>
      </c>
      <c r="N244" s="12">
        <f t="shared" si="568"/>
        <v>122.77777777777777</v>
      </c>
      <c r="O244" s="12">
        <f t="shared" si="581"/>
        <v>88.4</v>
      </c>
      <c r="P244" s="11">
        <v>0.94</v>
      </c>
      <c r="Q244" s="12">
        <f t="shared" si="569"/>
        <v>169.7222222222222</v>
      </c>
      <c r="R244" s="12">
        <f t="shared" si="582"/>
        <v>122.19999999999999</v>
      </c>
      <c r="S244" s="11">
        <v>0.94</v>
      </c>
      <c r="T244" s="12">
        <f t="shared" si="570"/>
        <v>169.7222222222222</v>
      </c>
      <c r="U244" s="12">
        <f t="shared" si="583"/>
        <v>122.19999999999999</v>
      </c>
      <c r="X244" s="10"/>
      <c r="Y244" s="10"/>
      <c r="Z244" s="11">
        <v>0.99</v>
      </c>
      <c r="AA244" s="12">
        <f>Z244*$D244</f>
        <v>178.75</v>
      </c>
      <c r="AB244" s="12">
        <f t="shared" si="571"/>
        <v>128.69999999999999</v>
      </c>
      <c r="AC244" s="11">
        <v>0.34</v>
      </c>
      <c r="AD244" s="12">
        <f>AC244*$D244</f>
        <v>61.388888888888886</v>
      </c>
      <c r="AE244" s="12">
        <f t="shared" si="572"/>
        <v>44.2</v>
      </c>
      <c r="AF244" s="11">
        <v>0.81</v>
      </c>
      <c r="AG244" s="12">
        <f>AF244*$D244</f>
        <v>146.25</v>
      </c>
      <c r="AH244" s="12">
        <f t="shared" si="573"/>
        <v>105.30000000000001</v>
      </c>
      <c r="AI244" s="11">
        <v>0.81</v>
      </c>
      <c r="AJ244" s="12">
        <f>AI244*$D244</f>
        <v>146.25</v>
      </c>
      <c r="AK244" s="12">
        <f t="shared" si="574"/>
        <v>105.30000000000001</v>
      </c>
      <c r="AN244" s="26">
        <f t="shared" si="588"/>
        <v>187.77777777777777</v>
      </c>
      <c r="AO244" s="26">
        <f t="shared" si="589"/>
        <v>135.19999999999999</v>
      </c>
      <c r="AP244" s="26">
        <f t="shared" si="590"/>
        <v>92.083333333333329</v>
      </c>
      <c r="AQ244" s="26">
        <f t="shared" si="591"/>
        <v>66.300000000000011</v>
      </c>
      <c r="AR244" s="26">
        <f t="shared" si="592"/>
        <v>157.98611111111109</v>
      </c>
      <c r="AS244" s="26">
        <f t="shared" si="593"/>
        <v>113.75</v>
      </c>
      <c r="AT244" s="26">
        <f t="shared" si="594"/>
        <v>157.98611111111109</v>
      </c>
      <c r="AU244" s="26">
        <f t="shared" si="595"/>
        <v>113.75</v>
      </c>
      <c r="AX244" s="11">
        <v>0.72</v>
      </c>
      <c r="AY244" s="12">
        <f>AX244*$D244</f>
        <v>130</v>
      </c>
      <c r="AZ244" s="12">
        <f t="shared" si="575"/>
        <v>93.6</v>
      </c>
      <c r="BA244" s="11">
        <v>0.3</v>
      </c>
      <c r="BB244" s="12">
        <f>BA244*$D244</f>
        <v>54.166666666666664</v>
      </c>
      <c r="BC244" s="12">
        <f t="shared" si="576"/>
        <v>39</v>
      </c>
      <c r="BD244" s="11">
        <v>0.59</v>
      </c>
      <c r="BE244" s="12">
        <f>BD244*$D244</f>
        <v>106.52777777777777</v>
      </c>
      <c r="BF244" s="12">
        <f t="shared" si="577"/>
        <v>76.7</v>
      </c>
      <c r="BG244" s="11">
        <v>0.59</v>
      </c>
      <c r="BH244" s="12">
        <f>BG244*$D244</f>
        <v>106.52777777777777</v>
      </c>
      <c r="BI244" s="12">
        <f t="shared" si="578"/>
        <v>76.7</v>
      </c>
    </row>
    <row r="245" spans="1:61" ht="14.4" x14ac:dyDescent="0.3">
      <c r="A245" s="13" t="s">
        <v>22</v>
      </c>
      <c r="B245" s="5">
        <v>31</v>
      </c>
      <c r="C245" s="5">
        <f t="shared" si="579"/>
        <v>744</v>
      </c>
      <c r="D245" s="9">
        <f t="shared" si="566"/>
        <v>216.3978494623656</v>
      </c>
      <c r="E245" s="5">
        <v>161</v>
      </c>
      <c r="H245" s="10"/>
      <c r="J245" s="11">
        <v>1.01</v>
      </c>
      <c r="K245" s="12">
        <f t="shared" si="567"/>
        <v>218.56182795698925</v>
      </c>
      <c r="L245" s="12">
        <f t="shared" si="580"/>
        <v>162.61000000000001</v>
      </c>
      <c r="M245" s="11">
        <v>0.79</v>
      </c>
      <c r="N245" s="12">
        <f t="shared" si="568"/>
        <v>170.95430107526883</v>
      </c>
      <c r="O245" s="12">
        <f t="shared" si="581"/>
        <v>127.19000000000001</v>
      </c>
      <c r="P245" s="11">
        <v>0.94</v>
      </c>
      <c r="Q245" s="12">
        <f t="shared" si="569"/>
        <v>203.41397849462365</v>
      </c>
      <c r="R245" s="12">
        <f t="shared" si="582"/>
        <v>151.34</v>
      </c>
      <c r="S245" s="11">
        <v>0.94</v>
      </c>
      <c r="T245" s="12">
        <f t="shared" si="570"/>
        <v>203.41397849462365</v>
      </c>
      <c r="U245" s="12">
        <f t="shared" si="583"/>
        <v>151.34</v>
      </c>
      <c r="X245" s="10"/>
      <c r="Y245" s="10"/>
      <c r="Z245" s="11">
        <v>0.84</v>
      </c>
      <c r="AA245" s="12">
        <f t="shared" si="584"/>
        <v>181.7741935483871</v>
      </c>
      <c r="AB245" s="12">
        <f t="shared" si="571"/>
        <v>135.24</v>
      </c>
      <c r="AC245" s="11">
        <v>0.4</v>
      </c>
      <c r="AD245" s="12">
        <f t="shared" si="585"/>
        <v>86.55913978494624</v>
      </c>
      <c r="AE245" s="12">
        <f t="shared" si="572"/>
        <v>64.400000000000006</v>
      </c>
      <c r="AF245" s="11">
        <v>0.79</v>
      </c>
      <c r="AG245" s="12">
        <f t="shared" si="586"/>
        <v>170.95430107526883</v>
      </c>
      <c r="AH245" s="12">
        <f t="shared" si="573"/>
        <v>127.19000000000001</v>
      </c>
      <c r="AI245" s="11">
        <v>0.79</v>
      </c>
      <c r="AJ245" s="12">
        <f t="shared" si="587"/>
        <v>170.95430107526883</v>
      </c>
      <c r="AK245" s="12">
        <f t="shared" si="574"/>
        <v>127.19000000000001</v>
      </c>
      <c r="AN245" s="26">
        <f t="shared" si="588"/>
        <v>200.16801075268819</v>
      </c>
      <c r="AO245" s="26">
        <f t="shared" si="589"/>
        <v>148.92500000000001</v>
      </c>
      <c r="AP245" s="26">
        <f t="shared" si="590"/>
        <v>128.75672043010752</v>
      </c>
      <c r="AQ245" s="26">
        <f t="shared" si="591"/>
        <v>95.795000000000016</v>
      </c>
      <c r="AR245" s="26">
        <f t="shared" si="592"/>
        <v>187.18413978494624</v>
      </c>
      <c r="AS245" s="26">
        <f t="shared" si="593"/>
        <v>139.26500000000001</v>
      </c>
      <c r="AT245" s="26">
        <f t="shared" si="594"/>
        <v>187.18413978494624</v>
      </c>
      <c r="AU245" s="26">
        <f t="shared" si="595"/>
        <v>139.26500000000001</v>
      </c>
      <c r="AX245" s="11">
        <v>0.55000000000000004</v>
      </c>
      <c r="AY245" s="12">
        <f t="shared" si="596"/>
        <v>119.01881720430109</v>
      </c>
      <c r="AZ245" s="12">
        <f t="shared" si="575"/>
        <v>88.550000000000011</v>
      </c>
      <c r="BA245" s="11">
        <v>0.3</v>
      </c>
      <c r="BB245" s="12">
        <f t="shared" si="597"/>
        <v>64.91935483870968</v>
      </c>
      <c r="BC245" s="12">
        <f t="shared" si="576"/>
        <v>48.3</v>
      </c>
      <c r="BD245" s="11">
        <v>0.56000000000000005</v>
      </c>
      <c r="BE245" s="12">
        <f t="shared" si="598"/>
        <v>121.18279569892475</v>
      </c>
      <c r="BF245" s="12">
        <f t="shared" si="577"/>
        <v>90.160000000000011</v>
      </c>
      <c r="BG245" s="11">
        <v>0.56000000000000005</v>
      </c>
      <c r="BH245" s="12">
        <f t="shared" si="599"/>
        <v>121.18279569892475</v>
      </c>
      <c r="BI245" s="12">
        <f t="shared" si="578"/>
        <v>90.160000000000011</v>
      </c>
    </row>
    <row r="246" spans="1:61" ht="14.4" x14ac:dyDescent="0.3">
      <c r="A246" s="13" t="s">
        <v>23</v>
      </c>
      <c r="B246" s="5">
        <v>30</v>
      </c>
      <c r="C246" s="5">
        <f t="shared" si="579"/>
        <v>720</v>
      </c>
      <c r="D246" s="9">
        <f t="shared" si="566"/>
        <v>240.27777777777777</v>
      </c>
      <c r="E246" s="5">
        <v>173</v>
      </c>
      <c r="H246" s="10"/>
      <c r="I246" s="4" t="s">
        <v>41</v>
      </c>
      <c r="J246" s="11">
        <v>0.97</v>
      </c>
      <c r="K246" s="12">
        <f t="shared" si="567"/>
        <v>233.06944444444443</v>
      </c>
      <c r="L246" s="12">
        <f t="shared" si="580"/>
        <v>167.81</v>
      </c>
      <c r="M246" s="11">
        <v>0.82</v>
      </c>
      <c r="N246" s="12">
        <f t="shared" si="568"/>
        <v>197.02777777777777</v>
      </c>
      <c r="O246" s="12">
        <f t="shared" si="581"/>
        <v>141.85999999999999</v>
      </c>
      <c r="P246" s="11">
        <v>0.93</v>
      </c>
      <c r="Q246" s="12">
        <f t="shared" si="569"/>
        <v>223.45833333333334</v>
      </c>
      <c r="R246" s="12">
        <f t="shared" si="582"/>
        <v>160.89000000000001</v>
      </c>
      <c r="S246" s="11">
        <v>0.93</v>
      </c>
      <c r="T246" s="12">
        <f t="shared" si="570"/>
        <v>223.45833333333334</v>
      </c>
      <c r="U246" s="12">
        <f t="shared" si="583"/>
        <v>160.89000000000001</v>
      </c>
      <c r="W246" s="4" t="s">
        <v>41</v>
      </c>
      <c r="X246" s="10"/>
      <c r="Y246" s="10"/>
      <c r="Z246" s="11">
        <v>0.78</v>
      </c>
      <c r="AA246" s="12">
        <f t="shared" si="584"/>
        <v>187.41666666666666</v>
      </c>
      <c r="AB246" s="12">
        <f t="shared" si="571"/>
        <v>134.94</v>
      </c>
      <c r="AC246" s="11">
        <v>0.45</v>
      </c>
      <c r="AD246" s="12">
        <f t="shared" si="585"/>
        <v>108.125</v>
      </c>
      <c r="AE246" s="12">
        <f t="shared" si="572"/>
        <v>77.850000000000009</v>
      </c>
      <c r="AF246" s="11">
        <v>0.78</v>
      </c>
      <c r="AG246" s="12">
        <f t="shared" si="586"/>
        <v>187.41666666666666</v>
      </c>
      <c r="AH246" s="12">
        <f t="shared" si="573"/>
        <v>134.94</v>
      </c>
      <c r="AI246" s="11">
        <v>0.78</v>
      </c>
      <c r="AJ246" s="12">
        <f t="shared" si="587"/>
        <v>187.41666666666666</v>
      </c>
      <c r="AK246" s="12">
        <f t="shared" si="574"/>
        <v>134.94</v>
      </c>
      <c r="AM246" s="4" t="s">
        <v>41</v>
      </c>
      <c r="AN246" s="26">
        <f t="shared" si="588"/>
        <v>210.24305555555554</v>
      </c>
      <c r="AO246" s="26">
        <f t="shared" si="589"/>
        <v>151.375</v>
      </c>
      <c r="AP246" s="26">
        <f t="shared" si="590"/>
        <v>152.57638888888889</v>
      </c>
      <c r="AQ246" s="26">
        <f t="shared" si="591"/>
        <v>109.85499999999999</v>
      </c>
      <c r="AR246" s="26">
        <f t="shared" si="592"/>
        <v>205.4375</v>
      </c>
      <c r="AS246" s="26">
        <f t="shared" si="593"/>
        <v>147.91500000000002</v>
      </c>
      <c r="AT246" s="26">
        <f t="shared" si="594"/>
        <v>205.4375</v>
      </c>
      <c r="AU246" s="26">
        <f>(U246+AK246)/2</f>
        <v>147.91500000000002</v>
      </c>
      <c r="AW246" s="4" t="s">
        <v>41</v>
      </c>
      <c r="AX246" s="11">
        <v>0.5</v>
      </c>
      <c r="AY246" s="12">
        <f t="shared" si="596"/>
        <v>120.13888888888889</v>
      </c>
      <c r="AZ246" s="12">
        <f t="shared" si="575"/>
        <v>86.5</v>
      </c>
      <c r="BA246" s="11">
        <v>0.32</v>
      </c>
      <c r="BB246" s="12">
        <f t="shared" si="597"/>
        <v>76.888888888888886</v>
      </c>
      <c r="BC246" s="12">
        <f t="shared" si="576"/>
        <v>55.36</v>
      </c>
      <c r="BD246" s="11">
        <v>0.55000000000000004</v>
      </c>
      <c r="BE246" s="12">
        <f t="shared" si="598"/>
        <v>132.15277777777777</v>
      </c>
      <c r="BF246" s="12">
        <f t="shared" si="577"/>
        <v>95.15</v>
      </c>
      <c r="BG246" s="11">
        <v>0.55000000000000004</v>
      </c>
      <c r="BH246" s="12">
        <f t="shared" si="599"/>
        <v>132.15277777777777</v>
      </c>
      <c r="BI246" s="12">
        <f t="shared" si="578"/>
        <v>95.15</v>
      </c>
    </row>
    <row r="247" spans="1:61" ht="14.4" x14ac:dyDescent="0.3">
      <c r="A247" s="13" t="s">
        <v>24</v>
      </c>
      <c r="B247" s="5">
        <v>31</v>
      </c>
      <c r="C247" s="5">
        <f t="shared" si="579"/>
        <v>744</v>
      </c>
      <c r="D247" s="9">
        <f t="shared" si="566"/>
        <v>229.83870967741936</v>
      </c>
      <c r="E247" s="5">
        <v>171</v>
      </c>
      <c r="H247" s="10"/>
      <c r="I247" s="4">
        <v>2</v>
      </c>
      <c r="J247" s="11">
        <v>0.98</v>
      </c>
      <c r="K247" s="12">
        <f t="shared" si="567"/>
        <v>225.24193548387098</v>
      </c>
      <c r="L247" s="12">
        <f t="shared" si="580"/>
        <v>167.57999999999998</v>
      </c>
      <c r="M247" s="11">
        <v>0.81</v>
      </c>
      <c r="N247" s="12">
        <f t="shared" si="568"/>
        <v>186.16935483870969</v>
      </c>
      <c r="O247" s="12">
        <f t="shared" si="581"/>
        <v>138.51000000000002</v>
      </c>
      <c r="P247" s="11">
        <v>0.93</v>
      </c>
      <c r="Q247" s="12">
        <f t="shared" si="569"/>
        <v>213.75000000000003</v>
      </c>
      <c r="R247" s="12">
        <f t="shared" si="582"/>
        <v>159.03</v>
      </c>
      <c r="S247" s="11">
        <v>0.93</v>
      </c>
      <c r="T247" s="12">
        <f t="shared" si="570"/>
        <v>213.75000000000003</v>
      </c>
      <c r="U247" s="12">
        <f t="shared" si="583"/>
        <v>159.03</v>
      </c>
      <c r="W247" s="4">
        <v>2</v>
      </c>
      <c r="X247" s="10"/>
      <c r="Y247" s="10"/>
      <c r="Z247" s="11">
        <v>0.81</v>
      </c>
      <c r="AA247" s="12">
        <f t="shared" si="584"/>
        <v>186.16935483870969</v>
      </c>
      <c r="AB247" s="12">
        <f t="shared" si="571"/>
        <v>138.51000000000002</v>
      </c>
      <c r="AC247" s="11">
        <v>0.42</v>
      </c>
      <c r="AD247" s="12">
        <f t="shared" si="585"/>
        <v>96.532258064516128</v>
      </c>
      <c r="AE247" s="12">
        <f t="shared" si="572"/>
        <v>71.819999999999993</v>
      </c>
      <c r="AF247" s="11">
        <v>0.78</v>
      </c>
      <c r="AG247" s="12">
        <f t="shared" si="586"/>
        <v>179.2741935483871</v>
      </c>
      <c r="AH247" s="12">
        <f t="shared" si="573"/>
        <v>133.38</v>
      </c>
      <c r="AI247" s="11">
        <v>0.78</v>
      </c>
      <c r="AJ247" s="12">
        <f t="shared" si="587"/>
        <v>179.2741935483871</v>
      </c>
      <c r="AK247" s="12">
        <f t="shared" si="574"/>
        <v>133.38</v>
      </c>
      <c r="AM247" s="4">
        <v>2</v>
      </c>
      <c r="AN247" s="26">
        <f t="shared" si="588"/>
        <v>205.70564516129033</v>
      </c>
      <c r="AO247" s="26">
        <f t="shared" si="589"/>
        <v>153.04500000000002</v>
      </c>
      <c r="AP247" s="26">
        <f t="shared" si="590"/>
        <v>141.35080645161293</v>
      </c>
      <c r="AQ247" s="26">
        <f t="shared" si="591"/>
        <v>105.16500000000001</v>
      </c>
      <c r="AR247" s="26">
        <f t="shared" si="592"/>
        <v>196.51209677419357</v>
      </c>
      <c r="AS247" s="26">
        <f t="shared" si="593"/>
        <v>146.20499999999998</v>
      </c>
      <c r="AT247" s="26">
        <f t="shared" si="594"/>
        <v>196.51209677419357</v>
      </c>
      <c r="AU247" s="26">
        <f t="shared" ref="AU247:AU248" si="600">(U247+AK247)/2</f>
        <v>146.20499999999998</v>
      </c>
      <c r="AW247" s="4" t="s">
        <v>65</v>
      </c>
      <c r="AX247" s="11">
        <v>0.52</v>
      </c>
      <c r="AY247" s="12">
        <f t="shared" si="596"/>
        <v>119.51612903225806</v>
      </c>
      <c r="AZ247" s="12">
        <f t="shared" si="575"/>
        <v>88.92</v>
      </c>
      <c r="BA247" s="11">
        <v>0.31</v>
      </c>
      <c r="BB247" s="12">
        <f t="shared" si="597"/>
        <v>71.25</v>
      </c>
      <c r="BC247" s="12">
        <f t="shared" si="576"/>
        <v>53.01</v>
      </c>
      <c r="BD247" s="11">
        <v>0.55000000000000004</v>
      </c>
      <c r="BE247" s="12">
        <f t="shared" si="598"/>
        <v>126.41129032258065</v>
      </c>
      <c r="BF247" s="12">
        <f t="shared" si="577"/>
        <v>94.050000000000011</v>
      </c>
      <c r="BG247" s="11">
        <v>0.55000000000000004</v>
      </c>
      <c r="BH247" s="12">
        <f t="shared" si="599"/>
        <v>126.41129032258065</v>
      </c>
      <c r="BI247" s="12">
        <f t="shared" si="578"/>
        <v>94.050000000000011</v>
      </c>
    </row>
    <row r="248" spans="1:61" ht="14.4" x14ac:dyDescent="0.3">
      <c r="A248" s="13" t="s">
        <v>25</v>
      </c>
      <c r="B248" s="5">
        <v>31</v>
      </c>
      <c r="C248" s="5">
        <f t="shared" si="579"/>
        <v>744</v>
      </c>
      <c r="D248" s="9">
        <f t="shared" si="566"/>
        <v>193.54838709677421</v>
      </c>
      <c r="E248" s="5">
        <v>144</v>
      </c>
      <c r="H248" s="10"/>
      <c r="J248" s="11">
        <v>1.04</v>
      </c>
      <c r="K248" s="12">
        <f t="shared" si="567"/>
        <v>201.29032258064518</v>
      </c>
      <c r="L248" s="12">
        <f t="shared" si="580"/>
        <v>149.76</v>
      </c>
      <c r="M248" s="11">
        <v>0.73</v>
      </c>
      <c r="N248" s="12">
        <f t="shared" si="568"/>
        <v>141.29032258064515</v>
      </c>
      <c r="O248" s="12">
        <f t="shared" si="581"/>
        <v>105.12</v>
      </c>
      <c r="P248" s="11">
        <v>0.94</v>
      </c>
      <c r="Q248" s="12">
        <f t="shared" si="569"/>
        <v>181.93548387096774</v>
      </c>
      <c r="R248" s="12">
        <f t="shared" si="582"/>
        <v>135.35999999999999</v>
      </c>
      <c r="S248" s="11">
        <v>0.94</v>
      </c>
      <c r="T248" s="12">
        <f t="shared" si="570"/>
        <v>181.93548387096774</v>
      </c>
      <c r="U248" s="12">
        <f t="shared" si="583"/>
        <v>135.35999999999999</v>
      </c>
      <c r="X248" s="10"/>
      <c r="Y248" s="10"/>
      <c r="Z248" s="11">
        <v>0.91</v>
      </c>
      <c r="AA248" s="12">
        <f t="shared" si="584"/>
        <v>176.12903225806454</v>
      </c>
      <c r="AB248" s="12">
        <f t="shared" si="571"/>
        <v>131.04</v>
      </c>
      <c r="AC248" s="11">
        <v>0.35</v>
      </c>
      <c r="AD248" s="12">
        <f t="shared" si="585"/>
        <v>67.741935483870961</v>
      </c>
      <c r="AE248" s="12">
        <f t="shared" si="572"/>
        <v>50.4</v>
      </c>
      <c r="AF248" s="11">
        <v>0.79</v>
      </c>
      <c r="AG248" s="12">
        <f t="shared" si="586"/>
        <v>152.90322580645164</v>
      </c>
      <c r="AH248" s="12">
        <f t="shared" si="573"/>
        <v>113.76</v>
      </c>
      <c r="AI248" s="11">
        <v>0.79</v>
      </c>
      <c r="AJ248" s="12">
        <f t="shared" si="587"/>
        <v>152.90322580645164</v>
      </c>
      <c r="AK248" s="12">
        <f t="shared" si="574"/>
        <v>113.76</v>
      </c>
      <c r="AN248" s="26">
        <f t="shared" si="588"/>
        <v>188.70967741935488</v>
      </c>
      <c r="AO248" s="26">
        <f>(L248+AB248)/2</f>
        <v>140.39999999999998</v>
      </c>
      <c r="AP248" s="26">
        <f t="shared" si="590"/>
        <v>104.51612903225805</v>
      </c>
      <c r="AQ248" s="26">
        <f>(O248+AE248)/2</f>
        <v>77.760000000000005</v>
      </c>
      <c r="AR248" s="26">
        <f t="shared" si="592"/>
        <v>167.41935483870969</v>
      </c>
      <c r="AS248" s="26">
        <f t="shared" si="593"/>
        <v>124.56</v>
      </c>
      <c r="AT248" s="26">
        <f t="shared" si="594"/>
        <v>167.41935483870969</v>
      </c>
      <c r="AU248" s="26">
        <f t="shared" si="600"/>
        <v>124.56</v>
      </c>
      <c r="AX248" s="11">
        <v>0.62</v>
      </c>
      <c r="AY248" s="12">
        <f t="shared" si="596"/>
        <v>120</v>
      </c>
      <c r="AZ248" s="12">
        <f t="shared" si="575"/>
        <v>89.28</v>
      </c>
      <c r="BA248" s="11">
        <v>0.3</v>
      </c>
      <c r="BB248" s="12">
        <f t="shared" si="597"/>
        <v>58.064516129032256</v>
      </c>
      <c r="BC248" s="12">
        <f t="shared" si="576"/>
        <v>43.199999999999996</v>
      </c>
      <c r="BD248" s="11">
        <v>0.56999999999999995</v>
      </c>
      <c r="BE248" s="12">
        <f t="shared" si="598"/>
        <v>110.32258064516128</v>
      </c>
      <c r="BF248" s="12">
        <f t="shared" si="577"/>
        <v>82.08</v>
      </c>
      <c r="BG248" s="11">
        <v>0.56999999999999995</v>
      </c>
      <c r="BH248" s="12">
        <f t="shared" si="599"/>
        <v>110.32258064516128</v>
      </c>
      <c r="BI248" s="12">
        <f t="shared" si="578"/>
        <v>82.08</v>
      </c>
    </row>
    <row r="249" spans="1:61" ht="14.4" x14ac:dyDescent="0.3">
      <c r="A249" s="13" t="s">
        <v>26</v>
      </c>
      <c r="B249" s="5">
        <v>30</v>
      </c>
      <c r="C249" s="5">
        <f t="shared" si="579"/>
        <v>720</v>
      </c>
      <c r="D249" s="9">
        <f t="shared" si="566"/>
        <v>150</v>
      </c>
      <c r="E249" s="5">
        <v>108</v>
      </c>
      <c r="H249" s="10"/>
      <c r="J249" s="11">
        <v>1.17</v>
      </c>
      <c r="K249" s="12">
        <f t="shared" si="567"/>
        <v>175.5</v>
      </c>
      <c r="L249" s="12">
        <f t="shared" si="580"/>
        <v>126.35999999999999</v>
      </c>
      <c r="M249" s="11">
        <v>0.59</v>
      </c>
      <c r="N249" s="12">
        <f t="shared" si="568"/>
        <v>88.5</v>
      </c>
      <c r="O249" s="12">
        <f t="shared" si="581"/>
        <v>63.72</v>
      </c>
      <c r="P249" s="11">
        <v>0.95</v>
      </c>
      <c r="Q249" s="12">
        <f t="shared" si="569"/>
        <v>142.5</v>
      </c>
      <c r="R249" s="12">
        <f t="shared" si="582"/>
        <v>102.6</v>
      </c>
      <c r="S249" s="11">
        <v>0.95</v>
      </c>
      <c r="T249" s="12">
        <f t="shared" si="570"/>
        <v>142.5</v>
      </c>
      <c r="U249" s="12">
        <f t="shared" si="583"/>
        <v>102.6</v>
      </c>
      <c r="X249" s="10"/>
      <c r="Y249" s="10"/>
      <c r="Z249" s="11">
        <v>1.1100000000000001</v>
      </c>
      <c r="AA249" s="12">
        <f t="shared" si="584"/>
        <v>166.50000000000003</v>
      </c>
      <c r="AB249" s="12">
        <f t="shared" si="571"/>
        <v>119.88000000000001</v>
      </c>
      <c r="AC249" s="11">
        <v>0.31</v>
      </c>
      <c r="AD249" s="12">
        <f t="shared" si="585"/>
        <v>46.5</v>
      </c>
      <c r="AE249" s="12">
        <f t="shared" si="572"/>
        <v>33.479999999999997</v>
      </c>
      <c r="AF249" s="11">
        <v>0.81</v>
      </c>
      <c r="AG249" s="12">
        <f t="shared" si="586"/>
        <v>121.50000000000001</v>
      </c>
      <c r="AH249" s="12">
        <f t="shared" si="573"/>
        <v>87.48</v>
      </c>
      <c r="AI249" s="11">
        <v>0.81</v>
      </c>
      <c r="AJ249" s="12">
        <f t="shared" si="587"/>
        <v>121.50000000000001</v>
      </c>
      <c r="AK249" s="12">
        <f t="shared" si="574"/>
        <v>87.48</v>
      </c>
      <c r="AN249" s="26">
        <f t="shared" si="588"/>
        <v>171</v>
      </c>
      <c r="AO249" s="26">
        <f t="shared" ref="AO249:AO252" si="601">(L249+AB249)/2</f>
        <v>123.12</v>
      </c>
      <c r="AP249" s="26">
        <f t="shared" si="590"/>
        <v>67.5</v>
      </c>
      <c r="AQ249" s="26">
        <f t="shared" ref="AQ249:AQ252" si="602">(O249+AE249)/2</f>
        <v>48.599999999999994</v>
      </c>
      <c r="AR249" s="26">
        <f t="shared" si="592"/>
        <v>132</v>
      </c>
      <c r="AS249" s="26">
        <f t="shared" si="593"/>
        <v>95.039999999999992</v>
      </c>
      <c r="AT249" s="26">
        <f t="shared" si="594"/>
        <v>132</v>
      </c>
      <c r="AU249" s="26">
        <f>(U249+AK249)/2</f>
        <v>95.039999999999992</v>
      </c>
      <c r="AX249" s="11">
        <v>0.85</v>
      </c>
      <c r="AY249" s="12">
        <f t="shared" si="596"/>
        <v>127.5</v>
      </c>
      <c r="AZ249" s="12">
        <f t="shared" si="575"/>
        <v>91.8</v>
      </c>
      <c r="BA249" s="11">
        <v>0.28000000000000003</v>
      </c>
      <c r="BB249" s="12">
        <f t="shared" si="597"/>
        <v>42.000000000000007</v>
      </c>
      <c r="BC249" s="12">
        <f t="shared" si="576"/>
        <v>30.240000000000002</v>
      </c>
      <c r="BD249" s="11">
        <v>0.6</v>
      </c>
      <c r="BE249" s="12">
        <f t="shared" si="598"/>
        <v>90</v>
      </c>
      <c r="BF249" s="12">
        <f t="shared" si="577"/>
        <v>64.8</v>
      </c>
      <c r="BG249" s="11">
        <v>0.6</v>
      </c>
      <c r="BH249" s="12">
        <f t="shared" si="599"/>
        <v>90</v>
      </c>
      <c r="BI249" s="12">
        <f t="shared" si="578"/>
        <v>64.8</v>
      </c>
    </row>
    <row r="250" spans="1:61" ht="14.4" x14ac:dyDescent="0.3">
      <c r="A250" s="13" t="s">
        <v>5</v>
      </c>
      <c r="B250" s="5">
        <v>31</v>
      </c>
      <c r="C250" s="5">
        <f t="shared" si="579"/>
        <v>744</v>
      </c>
      <c r="D250" s="9">
        <f t="shared" si="566"/>
        <v>84.677419354838705</v>
      </c>
      <c r="E250" s="5">
        <v>63</v>
      </c>
      <c r="H250" s="10"/>
      <c r="J250" s="11">
        <v>1.33</v>
      </c>
      <c r="K250" s="12">
        <f t="shared" si="567"/>
        <v>112.62096774193549</v>
      </c>
      <c r="L250" s="12">
        <f t="shared" si="580"/>
        <v>83.79</v>
      </c>
      <c r="M250" s="11">
        <v>0.45</v>
      </c>
      <c r="N250" s="12">
        <f t="shared" si="568"/>
        <v>38.104838709677416</v>
      </c>
      <c r="O250" s="12">
        <f t="shared" si="581"/>
        <v>28.35</v>
      </c>
      <c r="P250" s="11">
        <v>0.96</v>
      </c>
      <c r="Q250" s="12">
        <f t="shared" si="569"/>
        <v>81.290322580645153</v>
      </c>
      <c r="R250" s="12">
        <f t="shared" si="582"/>
        <v>60.48</v>
      </c>
      <c r="S250" s="11">
        <v>0.96</v>
      </c>
      <c r="T250" s="12">
        <f t="shared" si="570"/>
        <v>81.290322580645153</v>
      </c>
      <c r="U250" s="12">
        <f t="shared" si="583"/>
        <v>60.48</v>
      </c>
      <c r="X250" s="10"/>
      <c r="Y250" s="10"/>
      <c r="Z250" s="11">
        <v>1.4</v>
      </c>
      <c r="AA250" s="12">
        <f t="shared" si="584"/>
        <v>118.54838709677418</v>
      </c>
      <c r="AB250" s="12">
        <f t="shared" si="571"/>
        <v>88.199999999999989</v>
      </c>
      <c r="AC250" s="11">
        <v>0.34</v>
      </c>
      <c r="AD250" s="12">
        <f t="shared" si="585"/>
        <v>28.79032258064516</v>
      </c>
      <c r="AE250" s="12">
        <f t="shared" si="572"/>
        <v>21.42</v>
      </c>
      <c r="AF250" s="11">
        <v>0.84</v>
      </c>
      <c r="AG250" s="12">
        <f t="shared" si="586"/>
        <v>71.129032258064512</v>
      </c>
      <c r="AH250" s="12">
        <f t="shared" si="573"/>
        <v>52.919999999999995</v>
      </c>
      <c r="AI250" s="11">
        <v>0.84</v>
      </c>
      <c r="AJ250" s="12">
        <f t="shared" si="587"/>
        <v>71.129032258064512</v>
      </c>
      <c r="AK250" s="12">
        <f t="shared" si="574"/>
        <v>52.919999999999995</v>
      </c>
      <c r="AN250" s="26">
        <f t="shared" si="588"/>
        <v>115.58467741935483</v>
      </c>
      <c r="AO250" s="26">
        <f t="shared" si="601"/>
        <v>85.995000000000005</v>
      </c>
      <c r="AP250" s="26">
        <f t="shared" si="590"/>
        <v>33.447580645161288</v>
      </c>
      <c r="AQ250" s="26">
        <f t="shared" si="602"/>
        <v>24.885000000000002</v>
      </c>
      <c r="AR250" s="26">
        <f t="shared" si="592"/>
        <v>76.209677419354833</v>
      </c>
      <c r="AS250" s="26">
        <f t="shared" si="593"/>
        <v>56.699999999999996</v>
      </c>
      <c r="AT250" s="26">
        <f t="shared" si="594"/>
        <v>76.209677419354833</v>
      </c>
      <c r="AU250" s="26">
        <f t="shared" ref="AU250:AU252" si="603">(U250+AK250)/2</f>
        <v>56.699999999999996</v>
      </c>
      <c r="AX250" s="11">
        <v>1.19</v>
      </c>
      <c r="AY250" s="12">
        <f t="shared" si="596"/>
        <v>100.76612903225805</v>
      </c>
      <c r="AZ250" s="12">
        <f t="shared" si="575"/>
        <v>74.97</v>
      </c>
      <c r="BA250" s="11">
        <v>0.3</v>
      </c>
      <c r="BB250" s="12">
        <f t="shared" si="597"/>
        <v>25.403225806451612</v>
      </c>
      <c r="BC250" s="12">
        <f t="shared" si="576"/>
        <v>18.899999999999999</v>
      </c>
      <c r="BD250" s="11">
        <v>0.63</v>
      </c>
      <c r="BE250" s="12">
        <f t="shared" si="598"/>
        <v>53.346774193548384</v>
      </c>
      <c r="BF250" s="12">
        <f t="shared" si="577"/>
        <v>39.69</v>
      </c>
      <c r="BG250" s="11">
        <v>0.63</v>
      </c>
      <c r="BH250" s="12">
        <f t="shared" si="599"/>
        <v>53.346774193548384</v>
      </c>
      <c r="BI250" s="12">
        <f t="shared" si="578"/>
        <v>39.69</v>
      </c>
    </row>
    <row r="251" spans="1:61" ht="14.4" x14ac:dyDescent="0.3">
      <c r="A251" s="13" t="s">
        <v>6</v>
      </c>
      <c r="B251" s="5">
        <v>30</v>
      </c>
      <c r="C251" s="5">
        <f t="shared" si="579"/>
        <v>720</v>
      </c>
      <c r="D251" s="9">
        <f t="shared" si="566"/>
        <v>40.277777777777779</v>
      </c>
      <c r="E251" s="5">
        <v>29</v>
      </c>
      <c r="H251" s="10"/>
      <c r="J251" s="11">
        <v>1.52</v>
      </c>
      <c r="K251" s="12">
        <f t="shared" si="567"/>
        <v>61.222222222222221</v>
      </c>
      <c r="L251" s="12">
        <f t="shared" si="580"/>
        <v>44.08</v>
      </c>
      <c r="M251" s="11">
        <v>0.47</v>
      </c>
      <c r="N251" s="12">
        <f t="shared" si="568"/>
        <v>18.930555555555554</v>
      </c>
      <c r="O251" s="12">
        <f t="shared" si="581"/>
        <v>13.629999999999999</v>
      </c>
      <c r="P251" s="11">
        <v>0.97</v>
      </c>
      <c r="Q251" s="12">
        <f t="shared" si="569"/>
        <v>39.069444444444443</v>
      </c>
      <c r="R251" s="12">
        <f t="shared" si="582"/>
        <v>28.13</v>
      </c>
      <c r="S251" s="11">
        <v>0.97</v>
      </c>
      <c r="T251" s="12">
        <f t="shared" si="570"/>
        <v>39.069444444444443</v>
      </c>
      <c r="U251" s="12">
        <f t="shared" si="583"/>
        <v>28.13</v>
      </c>
      <c r="X251" s="10"/>
      <c r="Y251" s="10"/>
      <c r="Z251" s="11">
        <v>1.75</v>
      </c>
      <c r="AA251" s="12">
        <f t="shared" si="584"/>
        <v>70.486111111111114</v>
      </c>
      <c r="AB251" s="12">
        <f t="shared" si="571"/>
        <v>50.75</v>
      </c>
      <c r="AC251" s="11">
        <v>0.4</v>
      </c>
      <c r="AD251" s="12">
        <f t="shared" si="585"/>
        <v>16.111111111111111</v>
      </c>
      <c r="AE251" s="12">
        <f t="shared" si="572"/>
        <v>11.600000000000001</v>
      </c>
      <c r="AF251" s="11">
        <v>0.86</v>
      </c>
      <c r="AG251" s="12">
        <f t="shared" si="586"/>
        <v>34.638888888888886</v>
      </c>
      <c r="AH251" s="12">
        <f t="shared" si="573"/>
        <v>24.94</v>
      </c>
      <c r="AI251" s="11">
        <v>0.86</v>
      </c>
      <c r="AJ251" s="12">
        <f t="shared" si="587"/>
        <v>34.638888888888886</v>
      </c>
      <c r="AK251" s="12">
        <f t="shared" si="574"/>
        <v>24.94</v>
      </c>
      <c r="AN251" s="26">
        <f t="shared" si="588"/>
        <v>65.854166666666671</v>
      </c>
      <c r="AO251" s="26">
        <f t="shared" si="601"/>
        <v>47.414999999999999</v>
      </c>
      <c r="AP251" s="26">
        <f t="shared" si="590"/>
        <v>17.520833333333332</v>
      </c>
      <c r="AQ251" s="26">
        <f t="shared" si="602"/>
        <v>12.615</v>
      </c>
      <c r="AR251" s="26">
        <f t="shared" si="592"/>
        <v>36.854166666666664</v>
      </c>
      <c r="AS251" s="26">
        <f t="shared" si="593"/>
        <v>26.535</v>
      </c>
      <c r="AT251" s="26">
        <f t="shared" si="594"/>
        <v>36.854166666666664</v>
      </c>
      <c r="AU251" s="26">
        <f t="shared" si="603"/>
        <v>26.535</v>
      </c>
      <c r="AX251" s="11">
        <v>1.62</v>
      </c>
      <c r="AY251" s="12">
        <f t="shared" si="596"/>
        <v>65.25</v>
      </c>
      <c r="AZ251" s="12">
        <f t="shared" si="575"/>
        <v>46.980000000000004</v>
      </c>
      <c r="BA251" s="11">
        <v>0.37</v>
      </c>
      <c r="BB251" s="12">
        <f t="shared" si="597"/>
        <v>14.902777777777779</v>
      </c>
      <c r="BC251" s="12">
        <f t="shared" si="576"/>
        <v>10.73</v>
      </c>
      <c r="BD251" s="11">
        <v>0.65</v>
      </c>
      <c r="BE251" s="12">
        <f t="shared" si="598"/>
        <v>26.180555555555557</v>
      </c>
      <c r="BF251" s="12">
        <f t="shared" si="577"/>
        <v>18.850000000000001</v>
      </c>
      <c r="BG251" s="11">
        <v>0.65</v>
      </c>
      <c r="BH251" s="12">
        <f t="shared" si="599"/>
        <v>26.180555555555557</v>
      </c>
      <c r="BI251" s="12">
        <f t="shared" si="578"/>
        <v>18.850000000000001</v>
      </c>
    </row>
    <row r="252" spans="1:61" ht="15" thickBot="1" x14ac:dyDescent="0.35">
      <c r="A252" s="14" t="s">
        <v>7</v>
      </c>
      <c r="B252" s="5">
        <v>31</v>
      </c>
      <c r="C252" s="5">
        <f t="shared" si="579"/>
        <v>744</v>
      </c>
      <c r="D252" s="9">
        <f t="shared" si="566"/>
        <v>26.881720430107528</v>
      </c>
      <c r="E252" s="5">
        <v>20</v>
      </c>
      <c r="H252" s="10"/>
      <c r="J252" s="11">
        <v>1.76</v>
      </c>
      <c r="K252" s="12">
        <f t="shared" si="567"/>
        <v>47.311827956989248</v>
      </c>
      <c r="L252" s="12">
        <f t="shared" si="580"/>
        <v>35.200000000000003</v>
      </c>
      <c r="M252" s="11">
        <v>0.48</v>
      </c>
      <c r="N252" s="12">
        <f t="shared" si="568"/>
        <v>12.903225806451612</v>
      </c>
      <c r="O252" s="12">
        <f t="shared" si="581"/>
        <v>9.6</v>
      </c>
      <c r="P252" s="11">
        <v>0.99</v>
      </c>
      <c r="Q252" s="12">
        <f t="shared" si="569"/>
        <v>26.612903225806452</v>
      </c>
      <c r="R252" s="12">
        <f t="shared" si="582"/>
        <v>19.8</v>
      </c>
      <c r="S252" s="11">
        <v>0.99</v>
      </c>
      <c r="T252" s="12">
        <f t="shared" si="570"/>
        <v>26.612903225806452</v>
      </c>
      <c r="U252" s="12">
        <f t="shared" si="583"/>
        <v>19.8</v>
      </c>
      <c r="X252" s="10"/>
      <c r="Y252" s="10"/>
      <c r="Z252" s="11">
        <v>2.15</v>
      </c>
      <c r="AA252" s="12">
        <f t="shared" si="584"/>
        <v>57.795698924731184</v>
      </c>
      <c r="AB252" s="12">
        <f t="shared" si="571"/>
        <v>43</v>
      </c>
      <c r="AC252" s="11">
        <v>0.46</v>
      </c>
      <c r="AD252" s="12">
        <f t="shared" si="585"/>
        <v>12.365591397849464</v>
      </c>
      <c r="AE252" s="12">
        <f t="shared" si="572"/>
        <v>9.2000000000000011</v>
      </c>
      <c r="AF252" s="11">
        <v>0.9</v>
      </c>
      <c r="AG252" s="12">
        <f t="shared" si="586"/>
        <v>24.193548387096776</v>
      </c>
      <c r="AH252" s="12">
        <f t="shared" si="573"/>
        <v>18</v>
      </c>
      <c r="AI252" s="11">
        <v>0.9</v>
      </c>
      <c r="AJ252" s="12">
        <f t="shared" si="587"/>
        <v>24.193548387096776</v>
      </c>
      <c r="AK252" s="12">
        <f t="shared" si="574"/>
        <v>18</v>
      </c>
      <c r="AN252" s="26">
        <f t="shared" si="588"/>
        <v>52.553763440860216</v>
      </c>
      <c r="AO252" s="26">
        <f t="shared" si="601"/>
        <v>39.1</v>
      </c>
      <c r="AP252" s="26">
        <f t="shared" si="590"/>
        <v>12.634408602150538</v>
      </c>
      <c r="AQ252" s="26">
        <f t="shared" si="602"/>
        <v>9.4</v>
      </c>
      <c r="AR252" s="26">
        <f t="shared" si="592"/>
        <v>25.403225806451616</v>
      </c>
      <c r="AS252" s="26">
        <f t="shared" si="593"/>
        <v>18.899999999999999</v>
      </c>
      <c r="AT252" s="26">
        <f t="shared" si="594"/>
        <v>25.403225806451616</v>
      </c>
      <c r="AU252" s="26">
        <f t="shared" si="603"/>
        <v>18.899999999999999</v>
      </c>
      <c r="AX252" s="11">
        <v>2.19</v>
      </c>
      <c r="AY252" s="12">
        <f t="shared" si="596"/>
        <v>58.870967741935488</v>
      </c>
      <c r="AZ252" s="12">
        <f t="shared" si="575"/>
        <v>43.8</v>
      </c>
      <c r="BA252" s="11">
        <v>0.46</v>
      </c>
      <c r="BB252" s="12">
        <f t="shared" si="597"/>
        <v>12.365591397849464</v>
      </c>
      <c r="BC252" s="12">
        <f t="shared" si="576"/>
        <v>9.2000000000000011</v>
      </c>
      <c r="BD252" s="11">
        <v>0.77</v>
      </c>
      <c r="BE252" s="12">
        <f t="shared" si="598"/>
        <v>20.698924731182796</v>
      </c>
      <c r="BF252" s="12">
        <f t="shared" si="577"/>
        <v>15.4</v>
      </c>
      <c r="BG252" s="11">
        <v>0.77</v>
      </c>
      <c r="BH252" s="12">
        <f t="shared" si="599"/>
        <v>20.698924731182796</v>
      </c>
      <c r="BI252" s="12">
        <f t="shared" si="578"/>
        <v>15.4</v>
      </c>
    </row>
    <row r="254" spans="1:61" x14ac:dyDescent="0.25">
      <c r="A254" s="15" t="s">
        <v>44</v>
      </c>
      <c r="B254" s="7" t="s">
        <v>10</v>
      </c>
      <c r="C254" s="7" t="s">
        <v>11</v>
      </c>
      <c r="E254" s="7" t="s">
        <v>12</v>
      </c>
      <c r="F254" s="7"/>
      <c r="G254" s="7"/>
      <c r="J254" s="36" t="s">
        <v>15</v>
      </c>
      <c r="K254" s="37"/>
      <c r="L254" s="38"/>
      <c r="M254" s="36" t="s">
        <v>16</v>
      </c>
      <c r="N254" s="37"/>
      <c r="O254" s="38"/>
      <c r="P254" s="36" t="s">
        <v>17</v>
      </c>
      <c r="Q254" s="37"/>
      <c r="R254" s="37"/>
      <c r="S254" s="34" t="s">
        <v>18</v>
      </c>
      <c r="T254" s="34"/>
      <c r="U254" s="34"/>
      <c r="Z254" s="36" t="s">
        <v>15</v>
      </c>
      <c r="AA254" s="37"/>
      <c r="AB254" s="38"/>
      <c r="AC254" s="36" t="s">
        <v>16</v>
      </c>
      <c r="AD254" s="37"/>
      <c r="AE254" s="38"/>
      <c r="AF254" s="36" t="s">
        <v>17</v>
      </c>
      <c r="AG254" s="37"/>
      <c r="AH254" s="37"/>
      <c r="AI254" s="34" t="s">
        <v>18</v>
      </c>
      <c r="AJ254" s="34"/>
      <c r="AK254" s="34"/>
      <c r="AN254" s="32" t="s">
        <v>15</v>
      </c>
      <c r="AO254" s="33"/>
      <c r="AP254" s="32" t="s">
        <v>16</v>
      </c>
      <c r="AQ254" s="33"/>
      <c r="AR254" s="32" t="s">
        <v>19</v>
      </c>
      <c r="AS254" s="33"/>
      <c r="AT254" s="34" t="s">
        <v>18</v>
      </c>
      <c r="AU254" s="34"/>
      <c r="AX254" s="36" t="s">
        <v>15</v>
      </c>
      <c r="AY254" s="37"/>
      <c r="AZ254" s="38"/>
      <c r="BA254" s="36" t="s">
        <v>16</v>
      </c>
      <c r="BB254" s="37"/>
      <c r="BC254" s="38"/>
      <c r="BD254" s="36" t="s">
        <v>17</v>
      </c>
      <c r="BE254" s="37"/>
      <c r="BF254" s="37"/>
      <c r="BG254" s="34" t="s">
        <v>18</v>
      </c>
      <c r="BH254" s="34"/>
      <c r="BI254" s="34"/>
    </row>
    <row r="255" spans="1:61" ht="13.8" thickBot="1" x14ac:dyDescent="0.3">
      <c r="D255" s="5" t="s">
        <v>14</v>
      </c>
      <c r="E255" s="5" t="s">
        <v>13</v>
      </c>
      <c r="J255" s="4" t="s">
        <v>48</v>
      </c>
      <c r="K255" s="4" t="s">
        <v>14</v>
      </c>
      <c r="L255" s="4" t="s">
        <v>13</v>
      </c>
      <c r="M255" s="4" t="s">
        <v>48</v>
      </c>
      <c r="N255" s="4" t="s">
        <v>14</v>
      </c>
      <c r="O255" s="4" t="s">
        <v>13</v>
      </c>
      <c r="P255" s="4" t="s">
        <v>48</v>
      </c>
      <c r="Q255" s="4" t="s">
        <v>14</v>
      </c>
      <c r="R255" s="4" t="s">
        <v>13</v>
      </c>
      <c r="S255" s="24" t="s">
        <v>48</v>
      </c>
      <c r="T255" s="24" t="s">
        <v>14</v>
      </c>
      <c r="U255" s="24" t="s">
        <v>13</v>
      </c>
      <c r="Z255" s="4" t="s">
        <v>48</v>
      </c>
      <c r="AA255" s="4" t="s">
        <v>14</v>
      </c>
      <c r="AB255" s="4" t="s">
        <v>13</v>
      </c>
      <c r="AC255" s="4" t="s">
        <v>48</v>
      </c>
      <c r="AD255" s="4" t="s">
        <v>14</v>
      </c>
      <c r="AE255" s="4" t="s">
        <v>13</v>
      </c>
      <c r="AF255" s="4" t="s">
        <v>48</v>
      </c>
      <c r="AG255" s="4" t="s">
        <v>14</v>
      </c>
      <c r="AH255" s="4" t="s">
        <v>13</v>
      </c>
      <c r="AI255" s="24" t="s">
        <v>48</v>
      </c>
      <c r="AJ255" s="24" t="s">
        <v>14</v>
      </c>
      <c r="AK255" s="24" t="s">
        <v>13</v>
      </c>
      <c r="AN255" s="24" t="s">
        <v>14</v>
      </c>
      <c r="AO255" s="24" t="s">
        <v>13</v>
      </c>
      <c r="AP255" s="24" t="s">
        <v>14</v>
      </c>
      <c r="AQ255" s="24" t="s">
        <v>13</v>
      </c>
      <c r="AR255" s="24" t="s">
        <v>14</v>
      </c>
      <c r="AS255" s="24" t="s">
        <v>13</v>
      </c>
      <c r="AT255" s="24" t="s">
        <v>14</v>
      </c>
      <c r="AU255" s="24" t="s">
        <v>13</v>
      </c>
      <c r="AX255" s="4" t="s">
        <v>48</v>
      </c>
      <c r="AY255" s="4" t="s">
        <v>14</v>
      </c>
      <c r="AZ255" s="4" t="s">
        <v>13</v>
      </c>
      <c r="BA255" s="4" t="s">
        <v>48</v>
      </c>
      <c r="BB255" s="4" t="s">
        <v>14</v>
      </c>
      <c r="BC255" s="4" t="s">
        <v>13</v>
      </c>
      <c r="BD255" s="4" t="s">
        <v>48</v>
      </c>
      <c r="BE255" s="4" t="s">
        <v>14</v>
      </c>
      <c r="BF255" s="4" t="s">
        <v>13</v>
      </c>
      <c r="BG255" s="24" t="s">
        <v>48</v>
      </c>
      <c r="BH255" s="24" t="s">
        <v>14</v>
      </c>
      <c r="BI255" s="24" t="s">
        <v>13</v>
      </c>
    </row>
    <row r="256" spans="1:61" ht="14.4" x14ac:dyDescent="0.3">
      <c r="A256" s="8" t="s">
        <v>1</v>
      </c>
      <c r="B256" s="5">
        <v>31</v>
      </c>
      <c r="C256" s="5">
        <f>B256*24</f>
        <v>744</v>
      </c>
      <c r="D256" s="9">
        <f t="shared" ref="D256:D267" si="604">E256*1000/C256</f>
        <v>32.258064516129032</v>
      </c>
      <c r="E256" s="5">
        <v>24</v>
      </c>
      <c r="H256" s="10"/>
      <c r="J256" s="11">
        <v>1.61</v>
      </c>
      <c r="K256" s="12">
        <f t="shared" ref="K256:K267" si="605">J256*D256</f>
        <v>51.935483870967744</v>
      </c>
      <c r="L256" s="12">
        <f>$E256*J256</f>
        <v>38.64</v>
      </c>
      <c r="M256" s="11">
        <v>0.52</v>
      </c>
      <c r="N256" s="12">
        <f t="shared" ref="N256:N267" si="606">M256*D256</f>
        <v>16.774193548387096</v>
      </c>
      <c r="O256" s="12">
        <f>$E256*M256</f>
        <v>12.48</v>
      </c>
      <c r="P256" s="11">
        <v>1</v>
      </c>
      <c r="Q256" s="12">
        <f t="shared" ref="Q256:Q267" si="607">P256*D256</f>
        <v>32.258064516129032</v>
      </c>
      <c r="R256" s="12">
        <f>$E256*P256</f>
        <v>24</v>
      </c>
      <c r="S256" s="11">
        <v>1</v>
      </c>
      <c r="T256" s="12">
        <f t="shared" ref="T256:T267" si="608">S256*D256</f>
        <v>32.258064516129032</v>
      </c>
      <c r="U256" s="12">
        <f>$E256*S256</f>
        <v>24</v>
      </c>
      <c r="X256" s="10"/>
      <c r="Y256" s="10"/>
      <c r="Z256" s="11">
        <v>1.94</v>
      </c>
      <c r="AA256" s="12">
        <f>Z256*$D256</f>
        <v>62.58064516129032</v>
      </c>
      <c r="AB256" s="12">
        <f t="shared" ref="AB256:AB267" si="609">$E256*Z256</f>
        <v>46.56</v>
      </c>
      <c r="AC256" s="11">
        <v>0.51</v>
      </c>
      <c r="AD256" s="12">
        <f>AC256*$D256</f>
        <v>16.451612903225808</v>
      </c>
      <c r="AE256" s="12">
        <f t="shared" ref="AE256:AE267" si="610">$E256*AC256</f>
        <v>12.24</v>
      </c>
      <c r="AF256" s="11">
        <v>0.95</v>
      </c>
      <c r="AG256" s="12">
        <f>AF256*$D256</f>
        <v>30.64516129032258</v>
      </c>
      <c r="AH256" s="12">
        <f t="shared" ref="AH256:AH267" si="611">$E256*AF256</f>
        <v>22.799999999999997</v>
      </c>
      <c r="AI256" s="11">
        <v>0.95</v>
      </c>
      <c r="AJ256" s="12">
        <f>AI256*$D256</f>
        <v>30.64516129032258</v>
      </c>
      <c r="AK256" s="12">
        <f t="shared" ref="AK256:AK267" si="612">$E256*AI256</f>
        <v>22.799999999999997</v>
      </c>
      <c r="AN256" s="26">
        <f>(K256+AA256)/2</f>
        <v>57.258064516129032</v>
      </c>
      <c r="AO256" s="26">
        <f>(L256+AB256)/2</f>
        <v>42.6</v>
      </c>
      <c r="AP256" s="26">
        <f>(N256+AD256)/2</f>
        <v>16.612903225806452</v>
      </c>
      <c r="AQ256" s="26">
        <f>(O256+AE256)/2</f>
        <v>12.36</v>
      </c>
      <c r="AR256" s="26">
        <f>(Q256+AG256)/2</f>
        <v>31.451612903225808</v>
      </c>
      <c r="AS256" s="26">
        <f>(R256+AH256)/2</f>
        <v>23.4</v>
      </c>
      <c r="AT256" s="26">
        <f>(T256+AJ256)/2</f>
        <v>31.451612903225808</v>
      </c>
      <c r="AU256" s="26">
        <f>(U256+AK256)/2</f>
        <v>23.4</v>
      </c>
      <c r="AX256" s="11">
        <v>1.92</v>
      </c>
      <c r="AY256" s="12">
        <f>AX256*$D256</f>
        <v>61.935483870967737</v>
      </c>
      <c r="AZ256" s="12">
        <f t="shared" ref="AZ256:AZ267" si="613">$E256*AX256</f>
        <v>46.08</v>
      </c>
      <c r="BA256" s="11">
        <v>0.55000000000000004</v>
      </c>
      <c r="BB256" s="12">
        <f>BA256*$D256</f>
        <v>17.741935483870968</v>
      </c>
      <c r="BC256" s="12">
        <f t="shared" ref="BC256:BC267" si="614">$E256*BA256</f>
        <v>13.200000000000001</v>
      </c>
      <c r="BD256" s="11">
        <v>0.85</v>
      </c>
      <c r="BE256" s="12">
        <f>BD256*$D256</f>
        <v>27.419354838709676</v>
      </c>
      <c r="BF256" s="12">
        <f t="shared" ref="BF256:BF267" si="615">$E256*BD256</f>
        <v>20.399999999999999</v>
      </c>
      <c r="BG256" s="11">
        <v>0.85</v>
      </c>
      <c r="BH256" s="12">
        <f>BG256*$D256</f>
        <v>27.419354838709676</v>
      </c>
      <c r="BI256" s="12">
        <f t="shared" ref="BI256:BI267" si="616">$E256*BG256</f>
        <v>20.399999999999999</v>
      </c>
    </row>
    <row r="257" spans="1:61" ht="14.4" x14ac:dyDescent="0.3">
      <c r="A257" s="13" t="s">
        <v>2</v>
      </c>
      <c r="B257" s="5">
        <v>28</v>
      </c>
      <c r="C257" s="5">
        <f t="shared" ref="C257:C267" si="617">B257*24</f>
        <v>672</v>
      </c>
      <c r="D257" s="9">
        <f t="shared" si="604"/>
        <v>71.428571428571431</v>
      </c>
      <c r="E257" s="5">
        <v>48</v>
      </c>
      <c r="H257" s="10"/>
      <c r="J257" s="11">
        <v>1.45</v>
      </c>
      <c r="K257" s="12">
        <f t="shared" si="605"/>
        <v>103.57142857142857</v>
      </c>
      <c r="L257" s="12">
        <f t="shared" ref="L257:L267" si="618">$E257*J257</f>
        <v>69.599999999999994</v>
      </c>
      <c r="M257" s="11">
        <v>0.45</v>
      </c>
      <c r="N257" s="12">
        <f t="shared" si="606"/>
        <v>32.142857142857146</v>
      </c>
      <c r="O257" s="12">
        <f t="shared" ref="O257:O267" si="619">$E257*M257</f>
        <v>21.6</v>
      </c>
      <c r="P257" s="11">
        <v>0.98</v>
      </c>
      <c r="Q257" s="12">
        <f t="shared" si="607"/>
        <v>70</v>
      </c>
      <c r="R257" s="12">
        <f t="shared" ref="R257:R267" si="620">$E257*P257</f>
        <v>47.04</v>
      </c>
      <c r="S257" s="11">
        <v>0.98</v>
      </c>
      <c r="T257" s="12">
        <f t="shared" si="608"/>
        <v>70</v>
      </c>
      <c r="U257" s="12">
        <f t="shared" ref="U257:U267" si="621">$E257*S257</f>
        <v>47.04</v>
      </c>
      <c r="X257" s="10"/>
      <c r="Y257" s="10"/>
      <c r="Z257" s="11">
        <v>1.64</v>
      </c>
      <c r="AA257" s="12">
        <f t="shared" ref="AA257:AA267" si="622">Z257*$D257</f>
        <v>117.14285714285714</v>
      </c>
      <c r="AB257" s="12">
        <f t="shared" si="609"/>
        <v>78.72</v>
      </c>
      <c r="AC257" s="11">
        <v>0.44</v>
      </c>
      <c r="AD257" s="12">
        <f t="shared" ref="AD257:AD267" si="623">AC257*$D257</f>
        <v>31.428571428571431</v>
      </c>
      <c r="AE257" s="12">
        <f t="shared" si="610"/>
        <v>21.12</v>
      </c>
      <c r="AF257" s="11">
        <v>0.92</v>
      </c>
      <c r="AG257" s="12">
        <f t="shared" ref="AG257:AG267" si="624">AF257*$D257</f>
        <v>65.714285714285722</v>
      </c>
      <c r="AH257" s="12">
        <f t="shared" si="611"/>
        <v>44.160000000000004</v>
      </c>
      <c r="AI257" s="11">
        <v>0.92</v>
      </c>
      <c r="AJ257" s="12">
        <f t="shared" ref="AJ257:AJ267" si="625">AI257*$D257</f>
        <v>65.714285714285722</v>
      </c>
      <c r="AK257" s="12">
        <f t="shared" si="612"/>
        <v>44.160000000000004</v>
      </c>
      <c r="AN257" s="26">
        <f t="shared" ref="AN257:AN267" si="626">(K257+AA257)/2</f>
        <v>110.35714285714286</v>
      </c>
      <c r="AO257" s="26">
        <f t="shared" ref="AO257:AO262" si="627">(L257+AB257)/2</f>
        <v>74.16</v>
      </c>
      <c r="AP257" s="26">
        <f t="shared" ref="AP257:AP267" si="628">(N257+AD257)/2</f>
        <v>31.785714285714288</v>
      </c>
      <c r="AQ257" s="26">
        <f t="shared" ref="AQ257:AQ262" si="629">(O257+AE257)/2</f>
        <v>21.36</v>
      </c>
      <c r="AR257" s="26">
        <f t="shared" ref="AR257:AR267" si="630">(Q257+AG257)/2</f>
        <v>67.857142857142861</v>
      </c>
      <c r="AS257" s="26">
        <f t="shared" ref="AS257:AS267" si="631">(R257+AH257)/2</f>
        <v>45.6</v>
      </c>
      <c r="AT257" s="26">
        <f t="shared" ref="AT257:AT267" si="632">(T257+AJ257)/2</f>
        <v>67.857142857142861</v>
      </c>
      <c r="AU257" s="26">
        <f t="shared" ref="AU257:AU260" si="633">(U257+AK257)/2</f>
        <v>45.6</v>
      </c>
      <c r="AX257" s="11">
        <v>1.54</v>
      </c>
      <c r="AY257" s="12">
        <f t="shared" ref="AY257:AY267" si="634">AX257*$D257</f>
        <v>110</v>
      </c>
      <c r="AZ257" s="12">
        <f t="shared" si="613"/>
        <v>73.92</v>
      </c>
      <c r="BA257" s="11">
        <v>0.47</v>
      </c>
      <c r="BB257" s="12">
        <f t="shared" ref="BB257:BB267" si="635">BA257*$D257</f>
        <v>33.571428571428569</v>
      </c>
      <c r="BC257" s="12">
        <f t="shared" si="614"/>
        <v>22.56</v>
      </c>
      <c r="BD257" s="11">
        <v>0.8</v>
      </c>
      <c r="BE257" s="12">
        <f t="shared" ref="BE257:BE267" si="636">BD257*$D257</f>
        <v>57.142857142857146</v>
      </c>
      <c r="BF257" s="12">
        <f t="shared" si="615"/>
        <v>38.400000000000006</v>
      </c>
      <c r="BG257" s="11">
        <v>0.8</v>
      </c>
      <c r="BH257" s="12">
        <f t="shared" ref="BH257:BH267" si="637">BG257*$D257</f>
        <v>57.142857142857146</v>
      </c>
      <c r="BI257" s="12">
        <f t="shared" si="616"/>
        <v>38.400000000000006</v>
      </c>
    </row>
    <row r="258" spans="1:61" ht="14.4" x14ac:dyDescent="0.3">
      <c r="A258" s="13" t="s">
        <v>3</v>
      </c>
      <c r="B258" s="5">
        <v>31</v>
      </c>
      <c r="C258" s="5">
        <f t="shared" si="617"/>
        <v>744</v>
      </c>
      <c r="D258" s="9">
        <f t="shared" si="604"/>
        <v>112.90322580645162</v>
      </c>
      <c r="E258" s="5">
        <v>84</v>
      </c>
      <c r="H258" s="10"/>
      <c r="J258" s="11">
        <v>1.25</v>
      </c>
      <c r="K258" s="12">
        <f t="shared" si="605"/>
        <v>141.12903225806451</v>
      </c>
      <c r="L258" s="12">
        <f t="shared" si="618"/>
        <v>105</v>
      </c>
      <c r="M258" s="11">
        <v>0.52</v>
      </c>
      <c r="N258" s="12">
        <f t="shared" si="606"/>
        <v>58.70967741935484</v>
      </c>
      <c r="O258" s="12">
        <f t="shared" si="619"/>
        <v>43.68</v>
      </c>
      <c r="P258" s="11">
        <v>0.96</v>
      </c>
      <c r="Q258" s="12">
        <f t="shared" si="607"/>
        <v>108.38709677419355</v>
      </c>
      <c r="R258" s="12">
        <f t="shared" si="620"/>
        <v>80.64</v>
      </c>
      <c r="S258" s="11">
        <v>0.96</v>
      </c>
      <c r="T258" s="12">
        <f t="shared" si="608"/>
        <v>108.38709677419355</v>
      </c>
      <c r="U258" s="12">
        <f t="shared" si="621"/>
        <v>80.64</v>
      </c>
      <c r="X258" s="10"/>
      <c r="Y258" s="10"/>
      <c r="Z258" s="11">
        <v>1.28</v>
      </c>
      <c r="AA258" s="12">
        <f t="shared" si="622"/>
        <v>144.51612903225808</v>
      </c>
      <c r="AB258" s="12">
        <f t="shared" si="609"/>
        <v>107.52</v>
      </c>
      <c r="AC258" s="11">
        <v>0.35</v>
      </c>
      <c r="AD258" s="12">
        <f t="shared" si="623"/>
        <v>39.516129032258064</v>
      </c>
      <c r="AE258" s="12">
        <f t="shared" si="610"/>
        <v>29.4</v>
      </c>
      <c r="AF258" s="11">
        <v>0.85</v>
      </c>
      <c r="AG258" s="12">
        <f t="shared" si="624"/>
        <v>95.967741935483872</v>
      </c>
      <c r="AH258" s="12">
        <f t="shared" si="611"/>
        <v>71.399999999999991</v>
      </c>
      <c r="AI258" s="11">
        <v>0.85</v>
      </c>
      <c r="AJ258" s="12">
        <f t="shared" si="625"/>
        <v>95.967741935483872</v>
      </c>
      <c r="AK258" s="12">
        <f t="shared" si="612"/>
        <v>71.399999999999991</v>
      </c>
      <c r="AN258" s="26">
        <f t="shared" si="626"/>
        <v>142.82258064516128</v>
      </c>
      <c r="AO258" s="26">
        <f t="shared" si="627"/>
        <v>106.25999999999999</v>
      </c>
      <c r="AP258" s="26">
        <f t="shared" si="628"/>
        <v>49.112903225806448</v>
      </c>
      <c r="AQ258" s="26">
        <f t="shared" si="629"/>
        <v>36.54</v>
      </c>
      <c r="AR258" s="26">
        <f t="shared" si="630"/>
        <v>102.17741935483872</v>
      </c>
      <c r="AS258" s="26">
        <f t="shared" si="631"/>
        <v>76.02</v>
      </c>
      <c r="AT258" s="26">
        <f t="shared" si="632"/>
        <v>102.17741935483872</v>
      </c>
      <c r="AU258" s="26">
        <f t="shared" si="633"/>
        <v>76.02</v>
      </c>
      <c r="AX258" s="11">
        <v>1.06</v>
      </c>
      <c r="AY258" s="12">
        <f t="shared" si="634"/>
        <v>119.67741935483872</v>
      </c>
      <c r="AZ258" s="12">
        <f t="shared" si="613"/>
        <v>89.04</v>
      </c>
      <c r="BA258" s="11">
        <v>0.34</v>
      </c>
      <c r="BB258" s="12">
        <f t="shared" si="635"/>
        <v>38.387096774193552</v>
      </c>
      <c r="BC258" s="12">
        <f t="shared" si="614"/>
        <v>28.560000000000002</v>
      </c>
      <c r="BD258" s="11">
        <v>0.67</v>
      </c>
      <c r="BE258" s="12">
        <f t="shared" si="636"/>
        <v>75.645161290322591</v>
      </c>
      <c r="BF258" s="12">
        <f t="shared" si="615"/>
        <v>56.28</v>
      </c>
      <c r="BG258" s="11">
        <v>0.67</v>
      </c>
      <c r="BH258" s="12">
        <f t="shared" si="637"/>
        <v>75.645161290322591</v>
      </c>
      <c r="BI258" s="12">
        <f t="shared" si="616"/>
        <v>56.28</v>
      </c>
    </row>
    <row r="259" spans="1:61" ht="14.4" x14ac:dyDescent="0.3">
      <c r="A259" s="13" t="s">
        <v>4</v>
      </c>
      <c r="B259" s="5">
        <v>30</v>
      </c>
      <c r="C259" s="5">
        <f t="shared" si="617"/>
        <v>720</v>
      </c>
      <c r="D259" s="9">
        <f t="shared" si="604"/>
        <v>179.16666666666666</v>
      </c>
      <c r="E259" s="5">
        <v>129</v>
      </c>
      <c r="H259" s="10"/>
      <c r="J259" s="11">
        <v>1.0900000000000001</v>
      </c>
      <c r="K259" s="12">
        <f t="shared" si="605"/>
        <v>195.29166666666666</v>
      </c>
      <c r="L259" s="12">
        <f t="shared" si="618"/>
        <v>140.61000000000001</v>
      </c>
      <c r="M259" s="11">
        <v>0.68</v>
      </c>
      <c r="N259" s="12">
        <f t="shared" si="606"/>
        <v>121.83333333333333</v>
      </c>
      <c r="O259" s="12">
        <f t="shared" si="619"/>
        <v>87.720000000000013</v>
      </c>
      <c r="P259" s="11">
        <v>0.94</v>
      </c>
      <c r="Q259" s="12">
        <f t="shared" si="607"/>
        <v>168.41666666666666</v>
      </c>
      <c r="R259" s="12">
        <f t="shared" si="620"/>
        <v>121.25999999999999</v>
      </c>
      <c r="S259" s="11">
        <v>0.94</v>
      </c>
      <c r="T259" s="12">
        <f t="shared" si="608"/>
        <v>168.41666666666666</v>
      </c>
      <c r="U259" s="12">
        <f t="shared" si="621"/>
        <v>121.25999999999999</v>
      </c>
      <c r="X259" s="10"/>
      <c r="Y259" s="10"/>
      <c r="Z259" s="11">
        <v>0.99</v>
      </c>
      <c r="AA259" s="12">
        <f>Z259*$D259</f>
        <v>177.375</v>
      </c>
      <c r="AB259" s="12">
        <f t="shared" si="609"/>
        <v>127.71</v>
      </c>
      <c r="AC259" s="11">
        <v>0.34</v>
      </c>
      <c r="AD259" s="12">
        <f>AC259*$D259</f>
        <v>60.916666666666664</v>
      </c>
      <c r="AE259" s="12">
        <f t="shared" si="610"/>
        <v>43.860000000000007</v>
      </c>
      <c r="AF259" s="11">
        <v>0.81</v>
      </c>
      <c r="AG259" s="12">
        <f>AF259*$D259</f>
        <v>145.125</v>
      </c>
      <c r="AH259" s="12">
        <f t="shared" si="611"/>
        <v>104.49000000000001</v>
      </c>
      <c r="AI259" s="11">
        <v>0.81</v>
      </c>
      <c r="AJ259" s="12">
        <f>AI259*$D259</f>
        <v>145.125</v>
      </c>
      <c r="AK259" s="12">
        <f t="shared" si="612"/>
        <v>104.49000000000001</v>
      </c>
      <c r="AN259" s="26">
        <f t="shared" si="626"/>
        <v>186.33333333333331</v>
      </c>
      <c r="AO259" s="26">
        <f t="shared" si="627"/>
        <v>134.16</v>
      </c>
      <c r="AP259" s="26">
        <f t="shared" si="628"/>
        <v>91.375</v>
      </c>
      <c r="AQ259" s="26">
        <f t="shared" si="629"/>
        <v>65.790000000000006</v>
      </c>
      <c r="AR259" s="26">
        <f t="shared" si="630"/>
        <v>156.77083333333331</v>
      </c>
      <c r="AS259" s="26">
        <f t="shared" si="631"/>
        <v>112.875</v>
      </c>
      <c r="AT259" s="26">
        <f t="shared" si="632"/>
        <v>156.77083333333331</v>
      </c>
      <c r="AU259" s="26">
        <f t="shared" si="633"/>
        <v>112.875</v>
      </c>
      <c r="AX259" s="11">
        <v>0.72</v>
      </c>
      <c r="AY259" s="12">
        <f>AX259*$D259</f>
        <v>129</v>
      </c>
      <c r="AZ259" s="12">
        <f t="shared" si="613"/>
        <v>92.88</v>
      </c>
      <c r="BA259" s="11">
        <v>0.3</v>
      </c>
      <c r="BB259" s="12">
        <f>BA259*$D259</f>
        <v>53.749999999999993</v>
      </c>
      <c r="BC259" s="12">
        <f t="shared" si="614"/>
        <v>38.699999999999996</v>
      </c>
      <c r="BD259" s="11">
        <v>0.59</v>
      </c>
      <c r="BE259" s="12">
        <f>BD259*$D259</f>
        <v>105.70833333333333</v>
      </c>
      <c r="BF259" s="12">
        <f t="shared" si="615"/>
        <v>76.11</v>
      </c>
      <c r="BG259" s="11">
        <v>0.59</v>
      </c>
      <c r="BH259" s="12">
        <f>BG259*$D259</f>
        <v>105.70833333333333</v>
      </c>
      <c r="BI259" s="12">
        <f t="shared" si="616"/>
        <v>76.11</v>
      </c>
    </row>
    <row r="260" spans="1:61" ht="14.4" x14ac:dyDescent="0.3">
      <c r="A260" s="13" t="s">
        <v>22</v>
      </c>
      <c r="B260" s="5">
        <v>31</v>
      </c>
      <c r="C260" s="5">
        <f t="shared" si="617"/>
        <v>744</v>
      </c>
      <c r="D260" s="9">
        <f t="shared" si="604"/>
        <v>215.05376344086022</v>
      </c>
      <c r="E260" s="5">
        <v>160</v>
      </c>
      <c r="H260" s="10"/>
      <c r="J260" s="11">
        <v>1.01</v>
      </c>
      <c r="K260" s="12">
        <f t="shared" si="605"/>
        <v>217.20430107526883</v>
      </c>
      <c r="L260" s="12">
        <f t="shared" si="618"/>
        <v>161.6</v>
      </c>
      <c r="M260" s="11">
        <v>0.79</v>
      </c>
      <c r="N260" s="12">
        <f t="shared" si="606"/>
        <v>169.89247311827958</v>
      </c>
      <c r="O260" s="12">
        <f t="shared" si="619"/>
        <v>126.4</v>
      </c>
      <c r="P260" s="11">
        <v>0.94</v>
      </c>
      <c r="Q260" s="12">
        <f t="shared" si="607"/>
        <v>202.15053763440861</v>
      </c>
      <c r="R260" s="12">
        <f t="shared" si="620"/>
        <v>150.39999999999998</v>
      </c>
      <c r="S260" s="11">
        <v>0.94</v>
      </c>
      <c r="T260" s="12">
        <f t="shared" si="608"/>
        <v>202.15053763440861</v>
      </c>
      <c r="U260" s="12">
        <f t="shared" si="621"/>
        <v>150.39999999999998</v>
      </c>
      <c r="X260" s="10"/>
      <c r="Y260" s="10"/>
      <c r="Z260" s="11">
        <v>0.84</v>
      </c>
      <c r="AA260" s="12">
        <f t="shared" si="622"/>
        <v>180.64516129032259</v>
      </c>
      <c r="AB260" s="12">
        <f t="shared" si="609"/>
        <v>134.4</v>
      </c>
      <c r="AC260" s="11">
        <v>0.4</v>
      </c>
      <c r="AD260" s="12">
        <f t="shared" si="623"/>
        <v>86.021505376344095</v>
      </c>
      <c r="AE260" s="12">
        <f t="shared" si="610"/>
        <v>64</v>
      </c>
      <c r="AF260" s="11">
        <v>0.79</v>
      </c>
      <c r="AG260" s="12">
        <f t="shared" si="624"/>
        <v>169.89247311827958</v>
      </c>
      <c r="AH260" s="12">
        <f t="shared" si="611"/>
        <v>126.4</v>
      </c>
      <c r="AI260" s="11">
        <v>0.79</v>
      </c>
      <c r="AJ260" s="12">
        <f t="shared" si="625"/>
        <v>169.89247311827958</v>
      </c>
      <c r="AK260" s="12">
        <f t="shared" si="612"/>
        <v>126.4</v>
      </c>
      <c r="AN260" s="26">
        <f t="shared" si="626"/>
        <v>198.92473118279571</v>
      </c>
      <c r="AO260" s="26">
        <f t="shared" si="627"/>
        <v>148</v>
      </c>
      <c r="AP260" s="26">
        <f t="shared" si="628"/>
        <v>127.95698924731184</v>
      </c>
      <c r="AQ260" s="26">
        <f t="shared" si="629"/>
        <v>95.2</v>
      </c>
      <c r="AR260" s="26">
        <f t="shared" si="630"/>
        <v>186.02150537634409</v>
      </c>
      <c r="AS260" s="26">
        <f t="shared" si="631"/>
        <v>138.39999999999998</v>
      </c>
      <c r="AT260" s="26">
        <f t="shared" si="632"/>
        <v>186.02150537634409</v>
      </c>
      <c r="AU260" s="26">
        <f t="shared" si="633"/>
        <v>138.39999999999998</v>
      </c>
      <c r="AX260" s="11">
        <v>0.55000000000000004</v>
      </c>
      <c r="AY260" s="12">
        <f t="shared" si="634"/>
        <v>118.27956989247313</v>
      </c>
      <c r="AZ260" s="12">
        <f t="shared" si="613"/>
        <v>88</v>
      </c>
      <c r="BA260" s="11">
        <v>0.3</v>
      </c>
      <c r="BB260" s="12">
        <f t="shared" si="635"/>
        <v>64.516129032258064</v>
      </c>
      <c r="BC260" s="12">
        <f t="shared" si="614"/>
        <v>48</v>
      </c>
      <c r="BD260" s="11">
        <v>0.56000000000000005</v>
      </c>
      <c r="BE260" s="12">
        <f t="shared" si="636"/>
        <v>120.43010752688174</v>
      </c>
      <c r="BF260" s="12">
        <f t="shared" si="615"/>
        <v>89.600000000000009</v>
      </c>
      <c r="BG260" s="11">
        <v>0.56000000000000005</v>
      </c>
      <c r="BH260" s="12">
        <f t="shared" si="637"/>
        <v>120.43010752688174</v>
      </c>
      <c r="BI260" s="12">
        <f t="shared" si="616"/>
        <v>89.600000000000009</v>
      </c>
    </row>
    <row r="261" spans="1:61" ht="14.4" x14ac:dyDescent="0.3">
      <c r="A261" s="13" t="s">
        <v>23</v>
      </c>
      <c r="B261" s="5">
        <v>30</v>
      </c>
      <c r="C261" s="5">
        <f t="shared" si="617"/>
        <v>720</v>
      </c>
      <c r="D261" s="9">
        <f t="shared" si="604"/>
        <v>238.88888888888889</v>
      </c>
      <c r="E261" s="5">
        <v>172</v>
      </c>
      <c r="H261" s="10"/>
      <c r="I261" s="4" t="s">
        <v>42</v>
      </c>
      <c r="J261" s="11">
        <v>0.97</v>
      </c>
      <c r="K261" s="12">
        <f t="shared" si="605"/>
        <v>231.7222222222222</v>
      </c>
      <c r="L261" s="12">
        <f t="shared" si="618"/>
        <v>166.84</v>
      </c>
      <c r="M261" s="11">
        <v>0.82</v>
      </c>
      <c r="N261" s="12">
        <f t="shared" si="606"/>
        <v>195.88888888888889</v>
      </c>
      <c r="O261" s="12">
        <f t="shared" si="619"/>
        <v>141.04</v>
      </c>
      <c r="P261" s="11">
        <v>0.93</v>
      </c>
      <c r="Q261" s="12">
        <f t="shared" si="607"/>
        <v>222.16666666666669</v>
      </c>
      <c r="R261" s="12">
        <f t="shared" si="620"/>
        <v>159.96</v>
      </c>
      <c r="S261" s="11">
        <v>0.93</v>
      </c>
      <c r="T261" s="12">
        <f t="shared" si="608"/>
        <v>222.16666666666669</v>
      </c>
      <c r="U261" s="12">
        <f t="shared" si="621"/>
        <v>159.96</v>
      </c>
      <c r="W261" s="4" t="s">
        <v>42</v>
      </c>
      <c r="X261" s="10"/>
      <c r="Y261" s="10"/>
      <c r="Z261" s="11">
        <v>0.78</v>
      </c>
      <c r="AA261" s="12">
        <f t="shared" si="622"/>
        <v>186.33333333333334</v>
      </c>
      <c r="AB261" s="12">
        <f t="shared" si="609"/>
        <v>134.16</v>
      </c>
      <c r="AC261" s="11">
        <v>0.45</v>
      </c>
      <c r="AD261" s="12">
        <f t="shared" si="623"/>
        <v>107.5</v>
      </c>
      <c r="AE261" s="12">
        <f t="shared" si="610"/>
        <v>77.400000000000006</v>
      </c>
      <c r="AF261" s="11">
        <v>0.78</v>
      </c>
      <c r="AG261" s="12">
        <f t="shared" si="624"/>
        <v>186.33333333333334</v>
      </c>
      <c r="AH261" s="12">
        <f t="shared" si="611"/>
        <v>134.16</v>
      </c>
      <c r="AI261" s="11">
        <v>0.78</v>
      </c>
      <c r="AJ261" s="12">
        <f t="shared" si="625"/>
        <v>186.33333333333334</v>
      </c>
      <c r="AK261" s="12">
        <f t="shared" si="612"/>
        <v>134.16</v>
      </c>
      <c r="AM261" s="4" t="s">
        <v>42</v>
      </c>
      <c r="AN261" s="26">
        <f t="shared" si="626"/>
        <v>209.02777777777777</v>
      </c>
      <c r="AO261" s="26">
        <f t="shared" si="627"/>
        <v>150.5</v>
      </c>
      <c r="AP261" s="26">
        <f t="shared" si="628"/>
        <v>151.69444444444446</v>
      </c>
      <c r="AQ261" s="26">
        <f t="shared" si="629"/>
        <v>109.22</v>
      </c>
      <c r="AR261" s="26">
        <f t="shared" si="630"/>
        <v>204.25</v>
      </c>
      <c r="AS261" s="26">
        <f t="shared" si="631"/>
        <v>147.06</v>
      </c>
      <c r="AT261" s="26">
        <f t="shared" si="632"/>
        <v>204.25</v>
      </c>
      <c r="AU261" s="26">
        <f>(U261+AK261)/2</f>
        <v>147.06</v>
      </c>
      <c r="AW261" s="4" t="s">
        <v>42</v>
      </c>
      <c r="AX261" s="11">
        <v>0.5</v>
      </c>
      <c r="AY261" s="12">
        <f t="shared" si="634"/>
        <v>119.44444444444444</v>
      </c>
      <c r="AZ261" s="12">
        <f t="shared" si="613"/>
        <v>86</v>
      </c>
      <c r="BA261" s="11">
        <v>0.32</v>
      </c>
      <c r="BB261" s="12">
        <f t="shared" si="635"/>
        <v>76.444444444444443</v>
      </c>
      <c r="BC261" s="12">
        <f t="shared" si="614"/>
        <v>55.04</v>
      </c>
      <c r="BD261" s="11">
        <v>0.55000000000000004</v>
      </c>
      <c r="BE261" s="12">
        <f t="shared" si="636"/>
        <v>131.38888888888889</v>
      </c>
      <c r="BF261" s="12">
        <f t="shared" si="615"/>
        <v>94.600000000000009</v>
      </c>
      <c r="BG261" s="11">
        <v>0.55000000000000004</v>
      </c>
      <c r="BH261" s="12">
        <f t="shared" si="637"/>
        <v>131.38888888888889</v>
      </c>
      <c r="BI261" s="12">
        <f t="shared" si="616"/>
        <v>94.600000000000009</v>
      </c>
    </row>
    <row r="262" spans="1:61" ht="14.4" x14ac:dyDescent="0.3">
      <c r="A262" s="13" t="s">
        <v>24</v>
      </c>
      <c r="B262" s="5">
        <v>31</v>
      </c>
      <c r="C262" s="5">
        <f t="shared" si="617"/>
        <v>744</v>
      </c>
      <c r="D262" s="9">
        <f t="shared" si="604"/>
        <v>223.11827956989248</v>
      </c>
      <c r="E262" s="5">
        <v>166</v>
      </c>
      <c r="H262" s="10"/>
      <c r="I262" s="4">
        <v>2</v>
      </c>
      <c r="J262" s="11">
        <v>0.98</v>
      </c>
      <c r="K262" s="12">
        <f t="shared" si="605"/>
        <v>218.65591397849462</v>
      </c>
      <c r="L262" s="12">
        <f t="shared" si="618"/>
        <v>162.68</v>
      </c>
      <c r="M262" s="11">
        <v>0.81</v>
      </c>
      <c r="N262" s="12">
        <f t="shared" si="606"/>
        <v>180.72580645161293</v>
      </c>
      <c r="O262" s="12">
        <f t="shared" si="619"/>
        <v>134.46</v>
      </c>
      <c r="P262" s="11">
        <v>0.93</v>
      </c>
      <c r="Q262" s="12">
        <f t="shared" si="607"/>
        <v>207.50000000000003</v>
      </c>
      <c r="R262" s="12">
        <f t="shared" si="620"/>
        <v>154.38</v>
      </c>
      <c r="S262" s="11">
        <v>0.93</v>
      </c>
      <c r="T262" s="12">
        <f t="shared" si="608"/>
        <v>207.50000000000003</v>
      </c>
      <c r="U262" s="12">
        <f t="shared" si="621"/>
        <v>154.38</v>
      </c>
      <c r="W262" s="4">
        <v>2</v>
      </c>
      <c r="X262" s="10"/>
      <c r="Y262" s="10"/>
      <c r="Z262" s="11">
        <v>0.81</v>
      </c>
      <c r="AA262" s="12">
        <f t="shared" si="622"/>
        <v>180.72580645161293</v>
      </c>
      <c r="AB262" s="12">
        <f t="shared" si="609"/>
        <v>134.46</v>
      </c>
      <c r="AC262" s="11">
        <v>0.42</v>
      </c>
      <c r="AD262" s="12">
        <f t="shared" si="623"/>
        <v>93.709677419354833</v>
      </c>
      <c r="AE262" s="12">
        <f t="shared" si="610"/>
        <v>69.72</v>
      </c>
      <c r="AF262" s="11">
        <v>0.78</v>
      </c>
      <c r="AG262" s="12">
        <f t="shared" si="624"/>
        <v>174.03225806451613</v>
      </c>
      <c r="AH262" s="12">
        <f t="shared" si="611"/>
        <v>129.48000000000002</v>
      </c>
      <c r="AI262" s="11">
        <v>0.78</v>
      </c>
      <c r="AJ262" s="12">
        <f t="shared" si="625"/>
        <v>174.03225806451613</v>
      </c>
      <c r="AK262" s="12">
        <f t="shared" si="612"/>
        <v>129.48000000000002</v>
      </c>
      <c r="AM262" s="4">
        <v>2</v>
      </c>
      <c r="AN262" s="26">
        <f t="shared" si="626"/>
        <v>199.69086021505376</v>
      </c>
      <c r="AO262" s="26">
        <f t="shared" si="627"/>
        <v>148.57</v>
      </c>
      <c r="AP262" s="26">
        <f t="shared" si="628"/>
        <v>137.21774193548387</v>
      </c>
      <c r="AQ262" s="26">
        <f t="shared" si="629"/>
        <v>102.09</v>
      </c>
      <c r="AR262" s="26">
        <f t="shared" si="630"/>
        <v>190.76612903225808</v>
      </c>
      <c r="AS262" s="26">
        <f t="shared" si="631"/>
        <v>141.93</v>
      </c>
      <c r="AT262" s="26">
        <f t="shared" si="632"/>
        <v>190.76612903225808</v>
      </c>
      <c r="AU262" s="26">
        <f t="shared" ref="AU262:AU263" si="638">(U262+AK262)/2</f>
        <v>141.93</v>
      </c>
      <c r="AW262" s="4" t="s">
        <v>65</v>
      </c>
      <c r="AX262" s="11">
        <v>0.52</v>
      </c>
      <c r="AY262" s="12">
        <f t="shared" si="634"/>
        <v>116.02150537634409</v>
      </c>
      <c r="AZ262" s="12">
        <f t="shared" si="613"/>
        <v>86.320000000000007</v>
      </c>
      <c r="BA262" s="11">
        <v>0.31</v>
      </c>
      <c r="BB262" s="12">
        <f t="shared" si="635"/>
        <v>69.166666666666671</v>
      </c>
      <c r="BC262" s="12">
        <f t="shared" si="614"/>
        <v>51.46</v>
      </c>
      <c r="BD262" s="11">
        <v>0.55000000000000004</v>
      </c>
      <c r="BE262" s="12">
        <f t="shared" si="636"/>
        <v>122.71505376344088</v>
      </c>
      <c r="BF262" s="12">
        <f t="shared" si="615"/>
        <v>91.300000000000011</v>
      </c>
      <c r="BG262" s="11">
        <v>0.55000000000000004</v>
      </c>
      <c r="BH262" s="12">
        <f t="shared" si="637"/>
        <v>122.71505376344088</v>
      </c>
      <c r="BI262" s="12">
        <f t="shared" si="616"/>
        <v>91.300000000000011</v>
      </c>
    </row>
    <row r="263" spans="1:61" ht="14.4" x14ac:dyDescent="0.3">
      <c r="A263" s="13" t="s">
        <v>25</v>
      </c>
      <c r="B263" s="5">
        <v>31</v>
      </c>
      <c r="C263" s="5">
        <f t="shared" si="617"/>
        <v>744</v>
      </c>
      <c r="D263" s="9">
        <f t="shared" si="604"/>
        <v>193.54838709677421</v>
      </c>
      <c r="E263" s="5">
        <v>144</v>
      </c>
      <c r="H263" s="10"/>
      <c r="J263" s="11">
        <v>1.04</v>
      </c>
      <c r="K263" s="12">
        <f t="shared" si="605"/>
        <v>201.29032258064518</v>
      </c>
      <c r="L263" s="12">
        <f t="shared" si="618"/>
        <v>149.76</v>
      </c>
      <c r="M263" s="11">
        <v>0.73</v>
      </c>
      <c r="N263" s="12">
        <f t="shared" si="606"/>
        <v>141.29032258064515</v>
      </c>
      <c r="O263" s="12">
        <f t="shared" si="619"/>
        <v>105.12</v>
      </c>
      <c r="P263" s="11">
        <v>0.94</v>
      </c>
      <c r="Q263" s="12">
        <f t="shared" si="607"/>
        <v>181.93548387096774</v>
      </c>
      <c r="R263" s="12">
        <f t="shared" si="620"/>
        <v>135.35999999999999</v>
      </c>
      <c r="S263" s="11">
        <v>0.94</v>
      </c>
      <c r="T263" s="12">
        <f t="shared" si="608"/>
        <v>181.93548387096774</v>
      </c>
      <c r="U263" s="12">
        <f t="shared" si="621"/>
        <v>135.35999999999999</v>
      </c>
      <c r="X263" s="10"/>
      <c r="Y263" s="10"/>
      <c r="Z263" s="11">
        <v>0.91</v>
      </c>
      <c r="AA263" s="12">
        <f t="shared" si="622"/>
        <v>176.12903225806454</v>
      </c>
      <c r="AB263" s="12">
        <f t="shared" si="609"/>
        <v>131.04</v>
      </c>
      <c r="AC263" s="11">
        <v>0.35</v>
      </c>
      <c r="AD263" s="12">
        <f t="shared" si="623"/>
        <v>67.741935483870961</v>
      </c>
      <c r="AE263" s="12">
        <f t="shared" si="610"/>
        <v>50.4</v>
      </c>
      <c r="AF263" s="11">
        <v>0.79</v>
      </c>
      <c r="AG263" s="12">
        <f t="shared" si="624"/>
        <v>152.90322580645164</v>
      </c>
      <c r="AH263" s="12">
        <f t="shared" si="611"/>
        <v>113.76</v>
      </c>
      <c r="AI263" s="11">
        <v>0.79</v>
      </c>
      <c r="AJ263" s="12">
        <f t="shared" si="625"/>
        <v>152.90322580645164</v>
      </c>
      <c r="AK263" s="12">
        <f t="shared" si="612"/>
        <v>113.76</v>
      </c>
      <c r="AN263" s="26">
        <f t="shared" si="626"/>
        <v>188.70967741935488</v>
      </c>
      <c r="AO263" s="26">
        <f>(L263+AB263)/2</f>
        <v>140.39999999999998</v>
      </c>
      <c r="AP263" s="26">
        <f t="shared" si="628"/>
        <v>104.51612903225805</v>
      </c>
      <c r="AQ263" s="26">
        <f>(O263+AE263)/2</f>
        <v>77.760000000000005</v>
      </c>
      <c r="AR263" s="26">
        <f t="shared" si="630"/>
        <v>167.41935483870969</v>
      </c>
      <c r="AS263" s="26">
        <f t="shared" si="631"/>
        <v>124.56</v>
      </c>
      <c r="AT263" s="26">
        <f t="shared" si="632"/>
        <v>167.41935483870969</v>
      </c>
      <c r="AU263" s="26">
        <f t="shared" si="638"/>
        <v>124.56</v>
      </c>
      <c r="AX263" s="11">
        <v>0.62</v>
      </c>
      <c r="AY263" s="12">
        <f t="shared" si="634"/>
        <v>120</v>
      </c>
      <c r="AZ263" s="12">
        <f t="shared" si="613"/>
        <v>89.28</v>
      </c>
      <c r="BA263" s="11">
        <v>0.3</v>
      </c>
      <c r="BB263" s="12">
        <f t="shared" si="635"/>
        <v>58.064516129032256</v>
      </c>
      <c r="BC263" s="12">
        <f t="shared" si="614"/>
        <v>43.199999999999996</v>
      </c>
      <c r="BD263" s="11">
        <v>0.56999999999999995</v>
      </c>
      <c r="BE263" s="12">
        <f t="shared" si="636"/>
        <v>110.32258064516128</v>
      </c>
      <c r="BF263" s="12">
        <f t="shared" si="615"/>
        <v>82.08</v>
      </c>
      <c r="BG263" s="11">
        <v>0.56999999999999995</v>
      </c>
      <c r="BH263" s="12">
        <f t="shared" si="637"/>
        <v>110.32258064516128</v>
      </c>
      <c r="BI263" s="12">
        <f t="shared" si="616"/>
        <v>82.08</v>
      </c>
    </row>
    <row r="264" spans="1:61" ht="14.4" x14ac:dyDescent="0.3">
      <c r="A264" s="13" t="s">
        <v>26</v>
      </c>
      <c r="B264" s="5">
        <v>30</v>
      </c>
      <c r="C264" s="5">
        <f t="shared" si="617"/>
        <v>720</v>
      </c>
      <c r="D264" s="9">
        <f t="shared" si="604"/>
        <v>144.44444444444446</v>
      </c>
      <c r="E264" s="5">
        <v>104</v>
      </c>
      <c r="H264" s="10"/>
      <c r="J264" s="11">
        <v>1.17</v>
      </c>
      <c r="K264" s="12">
        <f t="shared" si="605"/>
        <v>169</v>
      </c>
      <c r="L264" s="12">
        <f t="shared" si="618"/>
        <v>121.67999999999999</v>
      </c>
      <c r="M264" s="11">
        <v>0.59</v>
      </c>
      <c r="N264" s="12">
        <f t="shared" si="606"/>
        <v>85.222222222222229</v>
      </c>
      <c r="O264" s="12">
        <f t="shared" si="619"/>
        <v>61.36</v>
      </c>
      <c r="P264" s="11">
        <v>0.95</v>
      </c>
      <c r="Q264" s="12">
        <f t="shared" si="607"/>
        <v>137.22222222222223</v>
      </c>
      <c r="R264" s="12">
        <f t="shared" si="620"/>
        <v>98.8</v>
      </c>
      <c r="S264" s="11">
        <v>0.95</v>
      </c>
      <c r="T264" s="12">
        <f t="shared" si="608"/>
        <v>137.22222222222223</v>
      </c>
      <c r="U264" s="12">
        <f t="shared" si="621"/>
        <v>98.8</v>
      </c>
      <c r="X264" s="10"/>
      <c r="Y264" s="10"/>
      <c r="Z264" s="11">
        <v>1.1100000000000001</v>
      </c>
      <c r="AA264" s="12">
        <f t="shared" si="622"/>
        <v>160.33333333333337</v>
      </c>
      <c r="AB264" s="12">
        <f t="shared" si="609"/>
        <v>115.44000000000001</v>
      </c>
      <c r="AC264" s="11">
        <v>0.31</v>
      </c>
      <c r="AD264" s="12">
        <f t="shared" si="623"/>
        <v>44.777777777777779</v>
      </c>
      <c r="AE264" s="12">
        <f t="shared" si="610"/>
        <v>32.24</v>
      </c>
      <c r="AF264" s="11">
        <v>0.81</v>
      </c>
      <c r="AG264" s="12">
        <f t="shared" si="624"/>
        <v>117.00000000000001</v>
      </c>
      <c r="AH264" s="12">
        <f t="shared" si="611"/>
        <v>84.240000000000009</v>
      </c>
      <c r="AI264" s="11">
        <v>0.81</v>
      </c>
      <c r="AJ264" s="12">
        <f t="shared" si="625"/>
        <v>117.00000000000001</v>
      </c>
      <c r="AK264" s="12">
        <f t="shared" si="612"/>
        <v>84.240000000000009</v>
      </c>
      <c r="AN264" s="26">
        <f t="shared" si="626"/>
        <v>164.66666666666669</v>
      </c>
      <c r="AO264" s="26">
        <f t="shared" ref="AO264:AO267" si="639">(L264+AB264)/2</f>
        <v>118.56</v>
      </c>
      <c r="AP264" s="26">
        <f t="shared" si="628"/>
        <v>65</v>
      </c>
      <c r="AQ264" s="26">
        <f t="shared" ref="AQ264:AQ267" si="640">(O264+AE264)/2</f>
        <v>46.8</v>
      </c>
      <c r="AR264" s="26">
        <f t="shared" si="630"/>
        <v>127.11111111111111</v>
      </c>
      <c r="AS264" s="26">
        <f t="shared" si="631"/>
        <v>91.52000000000001</v>
      </c>
      <c r="AT264" s="26">
        <f t="shared" si="632"/>
        <v>127.11111111111111</v>
      </c>
      <c r="AU264" s="26">
        <f>(U264+AK264)/2</f>
        <v>91.52000000000001</v>
      </c>
      <c r="AX264" s="11">
        <v>0.85</v>
      </c>
      <c r="AY264" s="12">
        <f t="shared" si="634"/>
        <v>122.77777777777779</v>
      </c>
      <c r="AZ264" s="12">
        <f t="shared" si="613"/>
        <v>88.399999999999991</v>
      </c>
      <c r="BA264" s="11">
        <v>0.28000000000000003</v>
      </c>
      <c r="BB264" s="12">
        <f t="shared" si="635"/>
        <v>40.44444444444445</v>
      </c>
      <c r="BC264" s="12">
        <f t="shared" si="614"/>
        <v>29.120000000000005</v>
      </c>
      <c r="BD264" s="11">
        <v>0.6</v>
      </c>
      <c r="BE264" s="12">
        <f t="shared" si="636"/>
        <v>86.666666666666671</v>
      </c>
      <c r="BF264" s="12">
        <f t="shared" si="615"/>
        <v>62.4</v>
      </c>
      <c r="BG264" s="11">
        <v>0.6</v>
      </c>
      <c r="BH264" s="12">
        <f t="shared" si="637"/>
        <v>86.666666666666671</v>
      </c>
      <c r="BI264" s="12">
        <f t="shared" si="616"/>
        <v>62.4</v>
      </c>
    </row>
    <row r="265" spans="1:61" ht="14.4" x14ac:dyDescent="0.3">
      <c r="A265" s="13" t="s">
        <v>5</v>
      </c>
      <c r="B265" s="5">
        <v>31</v>
      </c>
      <c r="C265" s="5">
        <f t="shared" si="617"/>
        <v>744</v>
      </c>
      <c r="D265" s="9">
        <f t="shared" si="604"/>
        <v>80.645161290322577</v>
      </c>
      <c r="E265" s="5">
        <v>60</v>
      </c>
      <c r="H265" s="10"/>
      <c r="J265" s="11">
        <v>1.33</v>
      </c>
      <c r="K265" s="12">
        <f t="shared" si="605"/>
        <v>107.25806451612904</v>
      </c>
      <c r="L265" s="12">
        <f t="shared" si="618"/>
        <v>79.800000000000011</v>
      </c>
      <c r="M265" s="11">
        <v>0.45</v>
      </c>
      <c r="N265" s="12">
        <f t="shared" si="606"/>
        <v>36.29032258064516</v>
      </c>
      <c r="O265" s="12">
        <f t="shared" si="619"/>
        <v>27</v>
      </c>
      <c r="P265" s="11">
        <v>0.96</v>
      </c>
      <c r="Q265" s="12">
        <f t="shared" si="607"/>
        <v>77.419354838709666</v>
      </c>
      <c r="R265" s="12">
        <f t="shared" si="620"/>
        <v>57.599999999999994</v>
      </c>
      <c r="S265" s="11">
        <v>0.96</v>
      </c>
      <c r="T265" s="12">
        <f t="shared" si="608"/>
        <v>77.419354838709666</v>
      </c>
      <c r="U265" s="12">
        <f t="shared" si="621"/>
        <v>57.599999999999994</v>
      </c>
      <c r="X265" s="10"/>
      <c r="Y265" s="10"/>
      <c r="Z265" s="11">
        <v>1.4</v>
      </c>
      <c r="AA265" s="12">
        <f t="shared" si="622"/>
        <v>112.9032258064516</v>
      </c>
      <c r="AB265" s="12">
        <f t="shared" si="609"/>
        <v>84</v>
      </c>
      <c r="AC265" s="11">
        <v>0.34</v>
      </c>
      <c r="AD265" s="12">
        <f t="shared" si="623"/>
        <v>27.41935483870968</v>
      </c>
      <c r="AE265" s="12">
        <f t="shared" si="610"/>
        <v>20.400000000000002</v>
      </c>
      <c r="AF265" s="11">
        <v>0.84</v>
      </c>
      <c r="AG265" s="12">
        <f t="shared" si="624"/>
        <v>67.741935483870961</v>
      </c>
      <c r="AH265" s="12">
        <f t="shared" si="611"/>
        <v>50.4</v>
      </c>
      <c r="AI265" s="11">
        <v>0.84</v>
      </c>
      <c r="AJ265" s="12">
        <f t="shared" si="625"/>
        <v>67.741935483870961</v>
      </c>
      <c r="AK265" s="12">
        <f t="shared" si="612"/>
        <v>50.4</v>
      </c>
      <c r="AN265" s="26">
        <f t="shared" si="626"/>
        <v>110.08064516129032</v>
      </c>
      <c r="AO265" s="26">
        <f t="shared" si="639"/>
        <v>81.900000000000006</v>
      </c>
      <c r="AP265" s="26">
        <f t="shared" si="628"/>
        <v>31.85483870967742</v>
      </c>
      <c r="AQ265" s="26">
        <f t="shared" si="640"/>
        <v>23.700000000000003</v>
      </c>
      <c r="AR265" s="26">
        <f t="shared" si="630"/>
        <v>72.580645161290306</v>
      </c>
      <c r="AS265" s="26">
        <f t="shared" si="631"/>
        <v>54</v>
      </c>
      <c r="AT265" s="26">
        <f t="shared" si="632"/>
        <v>72.580645161290306</v>
      </c>
      <c r="AU265" s="26">
        <f t="shared" ref="AU265:AU267" si="641">(U265+AK265)/2</f>
        <v>54</v>
      </c>
      <c r="AX265" s="11">
        <v>1.19</v>
      </c>
      <c r="AY265" s="12">
        <f t="shared" si="634"/>
        <v>95.967741935483858</v>
      </c>
      <c r="AZ265" s="12">
        <f t="shared" si="613"/>
        <v>71.399999999999991</v>
      </c>
      <c r="BA265" s="11">
        <v>0.3</v>
      </c>
      <c r="BB265" s="12">
        <f t="shared" si="635"/>
        <v>24.193548387096772</v>
      </c>
      <c r="BC265" s="12">
        <f t="shared" si="614"/>
        <v>18</v>
      </c>
      <c r="BD265" s="11">
        <v>0.63</v>
      </c>
      <c r="BE265" s="12">
        <f t="shared" si="636"/>
        <v>50.806451612903224</v>
      </c>
      <c r="BF265" s="12">
        <f t="shared" si="615"/>
        <v>37.799999999999997</v>
      </c>
      <c r="BG265" s="11">
        <v>0.63</v>
      </c>
      <c r="BH265" s="12">
        <f t="shared" si="637"/>
        <v>50.806451612903224</v>
      </c>
      <c r="BI265" s="12">
        <f t="shared" si="616"/>
        <v>37.799999999999997</v>
      </c>
    </row>
    <row r="266" spans="1:61" ht="14.4" x14ac:dyDescent="0.3">
      <c r="A266" s="13" t="s">
        <v>6</v>
      </c>
      <c r="B266" s="5">
        <v>30</v>
      </c>
      <c r="C266" s="5">
        <f t="shared" si="617"/>
        <v>720</v>
      </c>
      <c r="D266" s="9">
        <f t="shared" si="604"/>
        <v>38.888888888888886</v>
      </c>
      <c r="E266" s="5">
        <v>28</v>
      </c>
      <c r="H266" s="10"/>
      <c r="J266" s="11">
        <v>1.52</v>
      </c>
      <c r="K266" s="12">
        <f t="shared" si="605"/>
        <v>59.111111111111107</v>
      </c>
      <c r="L266" s="12">
        <f t="shared" si="618"/>
        <v>42.56</v>
      </c>
      <c r="M266" s="11">
        <v>0.47</v>
      </c>
      <c r="N266" s="12">
        <f t="shared" si="606"/>
        <v>18.277777777777775</v>
      </c>
      <c r="O266" s="12">
        <f t="shared" si="619"/>
        <v>13.16</v>
      </c>
      <c r="P266" s="11">
        <v>0.97</v>
      </c>
      <c r="Q266" s="12">
        <f t="shared" si="607"/>
        <v>37.722222222222221</v>
      </c>
      <c r="R266" s="12">
        <f t="shared" si="620"/>
        <v>27.16</v>
      </c>
      <c r="S266" s="11">
        <v>0.97</v>
      </c>
      <c r="T266" s="12">
        <f t="shared" si="608"/>
        <v>37.722222222222221</v>
      </c>
      <c r="U266" s="12">
        <f t="shared" si="621"/>
        <v>27.16</v>
      </c>
      <c r="X266" s="10"/>
      <c r="Y266" s="10"/>
      <c r="Z266" s="11">
        <v>1.75</v>
      </c>
      <c r="AA266" s="12">
        <f t="shared" si="622"/>
        <v>68.055555555555543</v>
      </c>
      <c r="AB266" s="12">
        <f t="shared" si="609"/>
        <v>49</v>
      </c>
      <c r="AC266" s="11">
        <v>0.4</v>
      </c>
      <c r="AD266" s="12">
        <f t="shared" si="623"/>
        <v>15.555555555555555</v>
      </c>
      <c r="AE266" s="12">
        <f t="shared" si="610"/>
        <v>11.200000000000001</v>
      </c>
      <c r="AF266" s="11">
        <v>0.86</v>
      </c>
      <c r="AG266" s="12">
        <f t="shared" si="624"/>
        <v>33.444444444444443</v>
      </c>
      <c r="AH266" s="12">
        <f t="shared" si="611"/>
        <v>24.08</v>
      </c>
      <c r="AI266" s="11">
        <v>0.86</v>
      </c>
      <c r="AJ266" s="12">
        <f t="shared" si="625"/>
        <v>33.444444444444443</v>
      </c>
      <c r="AK266" s="12">
        <f t="shared" si="612"/>
        <v>24.08</v>
      </c>
      <c r="AN266" s="26">
        <f t="shared" si="626"/>
        <v>63.583333333333329</v>
      </c>
      <c r="AO266" s="26">
        <f t="shared" si="639"/>
        <v>45.78</v>
      </c>
      <c r="AP266" s="26">
        <f t="shared" si="628"/>
        <v>16.916666666666664</v>
      </c>
      <c r="AQ266" s="26">
        <f t="shared" si="640"/>
        <v>12.18</v>
      </c>
      <c r="AR266" s="26">
        <f t="shared" si="630"/>
        <v>35.583333333333329</v>
      </c>
      <c r="AS266" s="26">
        <f t="shared" si="631"/>
        <v>25.619999999999997</v>
      </c>
      <c r="AT266" s="26">
        <f t="shared" si="632"/>
        <v>35.583333333333329</v>
      </c>
      <c r="AU266" s="26">
        <f t="shared" si="641"/>
        <v>25.619999999999997</v>
      </c>
      <c r="AX266" s="11">
        <v>1.62</v>
      </c>
      <c r="AY266" s="12">
        <f t="shared" si="634"/>
        <v>63</v>
      </c>
      <c r="AZ266" s="12">
        <f t="shared" si="613"/>
        <v>45.36</v>
      </c>
      <c r="BA266" s="11">
        <v>0.37</v>
      </c>
      <c r="BB266" s="12">
        <f t="shared" si="635"/>
        <v>14.388888888888888</v>
      </c>
      <c r="BC266" s="12">
        <f t="shared" si="614"/>
        <v>10.36</v>
      </c>
      <c r="BD266" s="11">
        <v>0.65</v>
      </c>
      <c r="BE266" s="12">
        <f t="shared" si="636"/>
        <v>25.277777777777775</v>
      </c>
      <c r="BF266" s="12">
        <f t="shared" si="615"/>
        <v>18.2</v>
      </c>
      <c r="BG266" s="11">
        <v>0.65</v>
      </c>
      <c r="BH266" s="12">
        <f t="shared" si="637"/>
        <v>25.277777777777775</v>
      </c>
      <c r="BI266" s="12">
        <f t="shared" si="616"/>
        <v>18.2</v>
      </c>
    </row>
    <row r="267" spans="1:61" ht="15" thickBot="1" x14ac:dyDescent="0.35">
      <c r="A267" s="14" t="s">
        <v>7</v>
      </c>
      <c r="B267" s="5">
        <v>31</v>
      </c>
      <c r="C267" s="5">
        <f t="shared" si="617"/>
        <v>744</v>
      </c>
      <c r="D267" s="9">
        <f t="shared" si="604"/>
        <v>25.537634408602152</v>
      </c>
      <c r="E267" s="5">
        <v>19</v>
      </c>
      <c r="H267" s="10"/>
      <c r="J267" s="11">
        <v>1.76</v>
      </c>
      <c r="K267" s="12">
        <f t="shared" si="605"/>
        <v>44.946236559139784</v>
      </c>
      <c r="L267" s="12">
        <f t="shared" si="618"/>
        <v>33.44</v>
      </c>
      <c r="M267" s="11">
        <v>0.48</v>
      </c>
      <c r="N267" s="12">
        <f t="shared" si="606"/>
        <v>12.258064516129032</v>
      </c>
      <c r="O267" s="12">
        <f t="shared" si="619"/>
        <v>9.1199999999999992</v>
      </c>
      <c r="P267" s="11">
        <v>0.99</v>
      </c>
      <c r="Q267" s="12">
        <f t="shared" si="607"/>
        <v>25.282258064516132</v>
      </c>
      <c r="R267" s="12">
        <f t="shared" si="620"/>
        <v>18.809999999999999</v>
      </c>
      <c r="S267" s="11">
        <v>0.99</v>
      </c>
      <c r="T267" s="12">
        <f t="shared" si="608"/>
        <v>25.282258064516132</v>
      </c>
      <c r="U267" s="12">
        <f t="shared" si="621"/>
        <v>18.809999999999999</v>
      </c>
      <c r="X267" s="10"/>
      <c r="Y267" s="10"/>
      <c r="Z267" s="11">
        <v>2.15</v>
      </c>
      <c r="AA267" s="12">
        <f t="shared" si="622"/>
        <v>54.905913978494624</v>
      </c>
      <c r="AB267" s="12">
        <f t="shared" si="609"/>
        <v>40.85</v>
      </c>
      <c r="AC267" s="11">
        <v>0.46</v>
      </c>
      <c r="AD267" s="12">
        <f t="shared" si="623"/>
        <v>11.74731182795699</v>
      </c>
      <c r="AE267" s="12">
        <f t="shared" si="610"/>
        <v>8.74</v>
      </c>
      <c r="AF267" s="11">
        <v>0.9</v>
      </c>
      <c r="AG267" s="12">
        <f t="shared" si="624"/>
        <v>22.983870967741936</v>
      </c>
      <c r="AH267" s="12">
        <f t="shared" si="611"/>
        <v>17.100000000000001</v>
      </c>
      <c r="AI267" s="11">
        <v>0.9</v>
      </c>
      <c r="AJ267" s="12">
        <f t="shared" si="625"/>
        <v>22.983870967741936</v>
      </c>
      <c r="AK267" s="12">
        <f t="shared" si="612"/>
        <v>17.100000000000001</v>
      </c>
      <c r="AN267" s="26">
        <f t="shared" si="626"/>
        <v>49.9260752688172</v>
      </c>
      <c r="AO267" s="26">
        <f t="shared" si="639"/>
        <v>37.144999999999996</v>
      </c>
      <c r="AP267" s="26">
        <f t="shared" si="628"/>
        <v>12.002688172043012</v>
      </c>
      <c r="AQ267" s="26">
        <f t="shared" si="640"/>
        <v>8.93</v>
      </c>
      <c r="AR267" s="26">
        <f t="shared" si="630"/>
        <v>24.133064516129032</v>
      </c>
      <c r="AS267" s="26">
        <f t="shared" si="631"/>
        <v>17.954999999999998</v>
      </c>
      <c r="AT267" s="26">
        <f t="shared" si="632"/>
        <v>24.133064516129032</v>
      </c>
      <c r="AU267" s="26">
        <f t="shared" si="641"/>
        <v>17.954999999999998</v>
      </c>
      <c r="AX267" s="11">
        <v>2.19</v>
      </c>
      <c r="AY267" s="12">
        <f t="shared" si="634"/>
        <v>55.927419354838712</v>
      </c>
      <c r="AZ267" s="12">
        <f t="shared" si="613"/>
        <v>41.61</v>
      </c>
      <c r="BA267" s="11">
        <v>0.46</v>
      </c>
      <c r="BB267" s="12">
        <f t="shared" si="635"/>
        <v>11.74731182795699</v>
      </c>
      <c r="BC267" s="12">
        <f t="shared" si="614"/>
        <v>8.74</v>
      </c>
      <c r="BD267" s="11">
        <v>0.77</v>
      </c>
      <c r="BE267" s="12">
        <f t="shared" si="636"/>
        <v>19.663978494623656</v>
      </c>
      <c r="BF267" s="12">
        <f t="shared" si="615"/>
        <v>14.63</v>
      </c>
      <c r="BG267" s="11">
        <v>0.77</v>
      </c>
      <c r="BH267" s="12">
        <f t="shared" si="637"/>
        <v>19.663978494623656</v>
      </c>
      <c r="BI267" s="12">
        <f t="shared" si="616"/>
        <v>14.63</v>
      </c>
    </row>
  </sheetData>
  <mergeCells count="274">
    <mergeCell ref="AX239:AZ239"/>
    <mergeCell ref="BA239:BC239"/>
    <mergeCell ref="BD239:BF239"/>
    <mergeCell ref="BG239:BI239"/>
    <mergeCell ref="AX254:AZ254"/>
    <mergeCell ref="BA254:BC254"/>
    <mergeCell ref="BD254:BF254"/>
    <mergeCell ref="BG254:BI254"/>
    <mergeCell ref="AX194:AZ194"/>
    <mergeCell ref="BA194:BC194"/>
    <mergeCell ref="BD194:BF194"/>
    <mergeCell ref="BG194:BI194"/>
    <mergeCell ref="AX209:AZ209"/>
    <mergeCell ref="BA209:BC209"/>
    <mergeCell ref="BD209:BF209"/>
    <mergeCell ref="BG209:BI209"/>
    <mergeCell ref="AX224:AZ224"/>
    <mergeCell ref="BA224:BC224"/>
    <mergeCell ref="BD224:BF224"/>
    <mergeCell ref="BG224:BI224"/>
    <mergeCell ref="AX149:AZ149"/>
    <mergeCell ref="BA149:BC149"/>
    <mergeCell ref="BD149:BF149"/>
    <mergeCell ref="BG149:BI149"/>
    <mergeCell ref="AX164:AZ164"/>
    <mergeCell ref="BA164:BC164"/>
    <mergeCell ref="BD164:BF164"/>
    <mergeCell ref="BG164:BI164"/>
    <mergeCell ref="AX179:AZ179"/>
    <mergeCell ref="BA179:BC179"/>
    <mergeCell ref="BD179:BF179"/>
    <mergeCell ref="BG179:BI179"/>
    <mergeCell ref="AX102:AZ102"/>
    <mergeCell ref="BA102:BC102"/>
    <mergeCell ref="BD102:BF102"/>
    <mergeCell ref="BG102:BI102"/>
    <mergeCell ref="AX118:AZ118"/>
    <mergeCell ref="BA118:BC118"/>
    <mergeCell ref="BD118:BF118"/>
    <mergeCell ref="BG118:BI118"/>
    <mergeCell ref="AX134:AZ134"/>
    <mergeCell ref="BA134:BC134"/>
    <mergeCell ref="BD134:BF134"/>
    <mergeCell ref="BG134:BI134"/>
    <mergeCell ref="AX54:AZ54"/>
    <mergeCell ref="BA54:BC54"/>
    <mergeCell ref="BD54:BF54"/>
    <mergeCell ref="BG54:BI54"/>
    <mergeCell ref="AX69:AZ69"/>
    <mergeCell ref="BA69:BC69"/>
    <mergeCell ref="BD69:BF69"/>
    <mergeCell ref="BG69:BI69"/>
    <mergeCell ref="AX85:AZ85"/>
    <mergeCell ref="BA85:BC85"/>
    <mergeCell ref="BD85:BF85"/>
    <mergeCell ref="BG85:BI85"/>
    <mergeCell ref="BA9:BC9"/>
    <mergeCell ref="BD9:BF9"/>
    <mergeCell ref="BG9:BI9"/>
    <mergeCell ref="AX24:AZ24"/>
    <mergeCell ref="BA24:BC24"/>
    <mergeCell ref="BD24:BF24"/>
    <mergeCell ref="BG24:BI24"/>
    <mergeCell ref="AX39:AZ39"/>
    <mergeCell ref="BA39:BC39"/>
    <mergeCell ref="BD39:BF39"/>
    <mergeCell ref="BG39:BI39"/>
    <mergeCell ref="AC9:AE9"/>
    <mergeCell ref="AF9:AH9"/>
    <mergeCell ref="AI9:AK9"/>
    <mergeCell ref="D9:E9"/>
    <mergeCell ref="J9:L9"/>
    <mergeCell ref="M9:O9"/>
    <mergeCell ref="P9:R9"/>
    <mergeCell ref="S9:U9"/>
    <mergeCell ref="AX9:AZ9"/>
    <mergeCell ref="J54:L54"/>
    <mergeCell ref="M54:O54"/>
    <mergeCell ref="P54:R54"/>
    <mergeCell ref="S54:U54"/>
    <mergeCell ref="J69:L69"/>
    <mergeCell ref="M69:O69"/>
    <mergeCell ref="P69:R69"/>
    <mergeCell ref="S69:U69"/>
    <mergeCell ref="Z9:AB9"/>
    <mergeCell ref="J24:L24"/>
    <mergeCell ref="M24:O24"/>
    <mergeCell ref="P24:R24"/>
    <mergeCell ref="S24:U24"/>
    <mergeCell ref="J118:L118"/>
    <mergeCell ref="M118:O118"/>
    <mergeCell ref="P118:R118"/>
    <mergeCell ref="S118:U118"/>
    <mergeCell ref="J134:L134"/>
    <mergeCell ref="M134:O134"/>
    <mergeCell ref="P134:R134"/>
    <mergeCell ref="S134:U134"/>
    <mergeCell ref="J85:L85"/>
    <mergeCell ref="M85:O85"/>
    <mergeCell ref="P85:R85"/>
    <mergeCell ref="S85:U85"/>
    <mergeCell ref="J102:L102"/>
    <mergeCell ref="M102:O102"/>
    <mergeCell ref="P102:R102"/>
    <mergeCell ref="S102:U102"/>
    <mergeCell ref="J39:L39"/>
    <mergeCell ref="M39:O39"/>
    <mergeCell ref="P39:R39"/>
    <mergeCell ref="S39:U39"/>
    <mergeCell ref="J179:L179"/>
    <mergeCell ref="M179:O179"/>
    <mergeCell ref="P179:R179"/>
    <mergeCell ref="S179:U179"/>
    <mergeCell ref="J194:L194"/>
    <mergeCell ref="M194:O194"/>
    <mergeCell ref="P194:R194"/>
    <mergeCell ref="S194:U194"/>
    <mergeCell ref="J149:L149"/>
    <mergeCell ref="M149:O149"/>
    <mergeCell ref="P149:R149"/>
    <mergeCell ref="S149:U149"/>
    <mergeCell ref="J164:L164"/>
    <mergeCell ref="M164:O164"/>
    <mergeCell ref="P164:R164"/>
    <mergeCell ref="S164:U164"/>
    <mergeCell ref="J239:L239"/>
    <mergeCell ref="M239:O239"/>
    <mergeCell ref="P239:R239"/>
    <mergeCell ref="S239:U239"/>
    <mergeCell ref="J254:L254"/>
    <mergeCell ref="M254:O254"/>
    <mergeCell ref="P254:R254"/>
    <mergeCell ref="S254:U254"/>
    <mergeCell ref="J209:L209"/>
    <mergeCell ref="M209:O209"/>
    <mergeCell ref="P209:R209"/>
    <mergeCell ref="S209:U209"/>
    <mergeCell ref="J224:L224"/>
    <mergeCell ref="M224:O224"/>
    <mergeCell ref="P224:R224"/>
    <mergeCell ref="S224:U224"/>
    <mergeCell ref="Z54:AB54"/>
    <mergeCell ref="AC54:AE54"/>
    <mergeCell ref="AF54:AH54"/>
    <mergeCell ref="AI54:AK54"/>
    <mergeCell ref="Z69:AB69"/>
    <mergeCell ref="AC69:AE69"/>
    <mergeCell ref="AF69:AH69"/>
    <mergeCell ref="AI69:AK69"/>
    <mergeCell ref="Z24:AB24"/>
    <mergeCell ref="AC24:AE24"/>
    <mergeCell ref="AF24:AH24"/>
    <mergeCell ref="AI24:AK24"/>
    <mergeCell ref="Z39:AB39"/>
    <mergeCell ref="AC39:AE39"/>
    <mergeCell ref="AF39:AH39"/>
    <mergeCell ref="AI39:AK39"/>
    <mergeCell ref="Z118:AB118"/>
    <mergeCell ref="AC118:AE118"/>
    <mergeCell ref="AF118:AH118"/>
    <mergeCell ref="AI118:AK118"/>
    <mergeCell ref="Z134:AB134"/>
    <mergeCell ref="AC134:AE134"/>
    <mergeCell ref="AF134:AH134"/>
    <mergeCell ref="AI134:AK134"/>
    <mergeCell ref="Z85:AB85"/>
    <mergeCell ref="AC85:AE85"/>
    <mergeCell ref="AF85:AH85"/>
    <mergeCell ref="AI85:AK85"/>
    <mergeCell ref="Z102:AB102"/>
    <mergeCell ref="AC102:AE102"/>
    <mergeCell ref="AF102:AH102"/>
    <mergeCell ref="AI102:AK102"/>
    <mergeCell ref="Z179:AB179"/>
    <mergeCell ref="AC179:AE179"/>
    <mergeCell ref="AF179:AH179"/>
    <mergeCell ref="AI179:AK179"/>
    <mergeCell ref="Z194:AB194"/>
    <mergeCell ref="AC194:AE194"/>
    <mergeCell ref="AF194:AH194"/>
    <mergeCell ref="AI194:AK194"/>
    <mergeCell ref="Z149:AB149"/>
    <mergeCell ref="AC149:AE149"/>
    <mergeCell ref="AF149:AH149"/>
    <mergeCell ref="AI149:AK149"/>
    <mergeCell ref="Z164:AB164"/>
    <mergeCell ref="AC164:AE164"/>
    <mergeCell ref="AF164:AH164"/>
    <mergeCell ref="AI164:AK164"/>
    <mergeCell ref="Z239:AB239"/>
    <mergeCell ref="AC239:AE239"/>
    <mergeCell ref="AF239:AH239"/>
    <mergeCell ref="AI239:AK239"/>
    <mergeCell ref="Z254:AB254"/>
    <mergeCell ref="AC254:AE254"/>
    <mergeCell ref="AF254:AH254"/>
    <mergeCell ref="AI254:AK254"/>
    <mergeCell ref="Z209:AB209"/>
    <mergeCell ref="AC209:AE209"/>
    <mergeCell ref="AF209:AH209"/>
    <mergeCell ref="AI209:AK209"/>
    <mergeCell ref="Z224:AB224"/>
    <mergeCell ref="AC224:AE224"/>
    <mergeCell ref="AF224:AH224"/>
    <mergeCell ref="AI224:AK224"/>
    <mergeCell ref="AN39:AO39"/>
    <mergeCell ref="AP39:AQ39"/>
    <mergeCell ref="AR39:AS39"/>
    <mergeCell ref="AT39:AU39"/>
    <mergeCell ref="AN54:AO54"/>
    <mergeCell ref="AP54:AQ54"/>
    <mergeCell ref="AR54:AS54"/>
    <mergeCell ref="AT54:AU54"/>
    <mergeCell ref="AN9:AO9"/>
    <mergeCell ref="AT9:AU9"/>
    <mergeCell ref="AR9:AS9"/>
    <mergeCell ref="AP9:AQ9"/>
    <mergeCell ref="AN24:AO24"/>
    <mergeCell ref="AP24:AQ24"/>
    <mergeCell ref="AR24:AS24"/>
    <mergeCell ref="AT24:AU24"/>
    <mergeCell ref="AN102:AO102"/>
    <mergeCell ref="AP102:AQ102"/>
    <mergeCell ref="AR102:AS102"/>
    <mergeCell ref="AT102:AU102"/>
    <mergeCell ref="AN118:AO118"/>
    <mergeCell ref="AP118:AQ118"/>
    <mergeCell ref="AR118:AS118"/>
    <mergeCell ref="AT118:AU118"/>
    <mergeCell ref="AN69:AO69"/>
    <mergeCell ref="AP69:AQ69"/>
    <mergeCell ref="AR69:AS69"/>
    <mergeCell ref="AT69:AU69"/>
    <mergeCell ref="AN85:AO85"/>
    <mergeCell ref="AP85:AQ85"/>
    <mergeCell ref="AR85:AS85"/>
    <mergeCell ref="AT85:AU85"/>
    <mergeCell ref="AT164:AU164"/>
    <mergeCell ref="AN179:AO179"/>
    <mergeCell ref="AP179:AQ179"/>
    <mergeCell ref="AR179:AS179"/>
    <mergeCell ref="AT179:AU179"/>
    <mergeCell ref="AN134:AO134"/>
    <mergeCell ref="AP134:AQ134"/>
    <mergeCell ref="AR134:AS134"/>
    <mergeCell ref="AT134:AU134"/>
    <mergeCell ref="AN149:AO149"/>
    <mergeCell ref="AP149:AQ149"/>
    <mergeCell ref="AR149:AS149"/>
    <mergeCell ref="AT149:AU149"/>
    <mergeCell ref="AN254:AO254"/>
    <mergeCell ref="AP254:AQ254"/>
    <mergeCell ref="AR254:AS254"/>
    <mergeCell ref="AT254:AU254"/>
    <mergeCell ref="A5:R5"/>
    <mergeCell ref="AN224:AO224"/>
    <mergeCell ref="AP224:AQ224"/>
    <mergeCell ref="AR224:AS224"/>
    <mergeCell ref="AT224:AU224"/>
    <mergeCell ref="AN239:AO239"/>
    <mergeCell ref="AP239:AQ239"/>
    <mergeCell ref="AR239:AS239"/>
    <mergeCell ref="AT239:AU239"/>
    <mergeCell ref="AN194:AO194"/>
    <mergeCell ref="AP194:AQ194"/>
    <mergeCell ref="AR194:AS194"/>
    <mergeCell ref="AT194:AU194"/>
    <mergeCell ref="AN209:AO209"/>
    <mergeCell ref="AP209:AQ209"/>
    <mergeCell ref="AR209:AS209"/>
    <mergeCell ref="AT209:AU209"/>
    <mergeCell ref="AN164:AO164"/>
    <mergeCell ref="AP164:AQ164"/>
    <mergeCell ref="AR164:AS164"/>
  </mergeCells>
  <pageMargins left="0.75" right="0.75" top="1" bottom="1" header="0.5" footer="0.5"/>
  <pageSetup paperSize="2058" orientation="portrait" horizontalDpi="4294967294" vertic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Mesačný priemer vonk. teploty</vt:lpstr>
      <vt:lpstr>Intenzita sln. žiarenia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Krajčík</dc:creator>
  <cp:lastModifiedBy>Karolína Gábrišová</cp:lastModifiedBy>
  <cp:lastPrinted>2021-04-03T13:37:34Z</cp:lastPrinted>
  <dcterms:created xsi:type="dcterms:W3CDTF">2020-05-15T12:16:29Z</dcterms:created>
  <dcterms:modified xsi:type="dcterms:W3CDTF">2025-09-29T08:42:44Z</dcterms:modified>
</cp:coreProperties>
</file>